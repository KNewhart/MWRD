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2.xml" ContentType="application/vnd.openxmlformats-officedocument.drawing+xml"/>
  <Override PartName="/xl/ctrlProps/ctrlProp2.xml" ContentType="application/vnd.ms-excel.controlproperties+xml"/>
  <Override PartName="/xl/queryTables/queryTable3.xml" ContentType="application/vnd.openxmlformats-officedocument.spreadsheetml.query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defaultThemeVersion="164011"/>
  <mc:AlternateContent xmlns:mc="http://schemas.openxmlformats.org/markup-compatibility/2006">
    <mc:Choice Requires="x15">
      <x15ac:absPath xmlns:x15ac="http://schemas.microsoft.com/office/spreadsheetml/2010/11/ac" url="M:\Personal Drives - Common\Leach K\1. RWHTF\Water\Compliance Report\DMR\2019\8. August\"/>
    </mc:Choice>
  </mc:AlternateContent>
  <bookViews>
    <workbookView xWindow="0" yWindow="0" windowWidth="28770" windowHeight="9135" firstSheet="2" activeTab="2"/>
  </bookViews>
  <sheets>
    <sheet name="S" sheetId="3" state="veryHidden" r:id="rId1"/>
    <sheet name="CSV-Monthly" sheetId="16" state="hidden" r:id="rId2"/>
    <sheet name="001-C DMR" sheetId="2" r:id="rId3"/>
    <sheet name="pH Grabs" sheetId="29" r:id="rId4"/>
    <sheet name="X" sheetId="18" state="veryHidden" r:id="rId5"/>
    <sheet name="E.Coli Calculations" sheetId="8" r:id="rId6"/>
    <sheet name="Parameters" sheetId="15" state="hidden" r:id="rId7"/>
    <sheet name="DMR 001C NEW" sheetId="19" r:id="rId8"/>
    <sheet name="TRC Calculations" sheetId="10" state="hidden" r:id="rId9"/>
    <sheet name="Reg 85" sheetId="17" state="hidden" r:id="rId10"/>
    <sheet name="DMR Flows-Effluent" sheetId="22" r:id="rId11"/>
    <sheet name="Report Parameters" sheetId="12" state="hidden" r:id="rId12"/>
  </sheets>
  <externalReferences>
    <externalReference r:id="rId13"/>
  </externalReferences>
  <definedNames>
    <definedName name="_4164_1" localSheetId="7">'DMR 001C NEW'!$A$2:$M$704</definedName>
    <definedName name="_4165_1" localSheetId="10">'DMR Flows-Effluent'!$A$2:$F$72</definedName>
    <definedName name="_xlnm._FilterDatabase" localSheetId="7" hidden="1">'DMR 001C NEW'!$A$2:$M$705</definedName>
    <definedName name="_xlnm._FilterDatabase" localSheetId="10" hidden="1">'DMR Flows-Effluent'!$A$2:$F$72</definedName>
    <definedName name="_xlnm._FilterDatabase" localSheetId="11" hidden="1">'Report Parameters'!$A$1:$G$3</definedName>
    <definedName name="drilldown" localSheetId="7">'DMR 001C NEW'!$XBC$2:$XBC$704</definedName>
    <definedName name="drilldown" localSheetId="10">'DMR Flows-Effluent'!$XBA$2:$XBA$72</definedName>
    <definedName name="_xlnm.Print_Area" localSheetId="2">'001-C DMR'!$A$1:$GN$58</definedName>
    <definedName name="_xlnm.Print_Area" localSheetId="5">'E.Coli Calculations'!$A$1:$T$42</definedName>
    <definedName name="_xlnm.Print_Titles" localSheetId="2">'001-C DMR'!$A:$B</definedName>
  </definedNames>
  <calcPr calcId="162913" calcMode="manual"/>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1" i="29" l="1"/>
  <c r="G4" i="29"/>
  <c r="E12" i="29" s="1"/>
  <c r="X51" i="2" s="1"/>
  <c r="G8" i="29"/>
  <c r="G6" i="29"/>
  <c r="G2" i="29"/>
  <c r="X13" i="16" l="1"/>
  <c r="W13" i="16"/>
  <c r="X50" i="2"/>
  <c r="AE22" i="16" l="1"/>
  <c r="N22" i="16"/>
  <c r="W21" i="16"/>
  <c r="AA18" i="16"/>
  <c r="W18" i="16"/>
  <c r="AF16" i="16"/>
  <c r="AA16" i="16"/>
  <c r="W16" i="16"/>
  <c r="AH15" i="16"/>
  <c r="AF14" i="16"/>
  <c r="AE14" i="16"/>
  <c r="N14" i="16"/>
  <c r="J14" i="16"/>
  <c r="AF13" i="16"/>
  <c r="FV55" i="2" l="1"/>
  <c r="AF20" i="16" s="1"/>
  <c r="FO55" i="2"/>
  <c r="AF19" i="16" s="1"/>
  <c r="GE47" i="2" l="1" a="1"/>
  <c r="GE47" i="2" s="1"/>
  <c r="GF47" i="2" a="1"/>
  <c r="GF47" i="2" s="1"/>
  <c r="GG47" i="2" a="1"/>
  <c r="GG47" i="2" s="1"/>
  <c r="GH47" i="2" a="1"/>
  <c r="GH47" i="2" s="1"/>
  <c r="GI47" i="2" a="1"/>
  <c r="GI47" i="2" s="1"/>
  <c r="GJ47" i="2" a="1"/>
  <c r="GJ47" i="2" s="1"/>
  <c r="GE48" i="2" a="1"/>
  <c r="GE48" i="2" s="1"/>
  <c r="GF48" i="2" a="1"/>
  <c r="GF48" i="2" s="1"/>
  <c r="GG48" i="2" a="1"/>
  <c r="GG48" i="2" s="1"/>
  <c r="GH48" i="2" a="1"/>
  <c r="GH48" i="2" s="1"/>
  <c r="GI48" i="2" a="1"/>
  <c r="GI48" i="2" s="1"/>
  <c r="GJ48" i="2" a="1"/>
  <c r="GJ48" i="2" s="1"/>
  <c r="FP47" i="2" a="1"/>
  <c r="FP47" i="2" s="1"/>
  <c r="FQ47" i="2" a="1"/>
  <c r="FQ47" i="2" s="1"/>
  <c r="FR47" i="2" a="1"/>
  <c r="FR47" i="2" s="1"/>
  <c r="FS47" i="2" a="1"/>
  <c r="FS47" i="2" s="1"/>
  <c r="FT47" i="2" a="1"/>
  <c r="FT47" i="2" s="1"/>
  <c r="FU47" i="2" a="1"/>
  <c r="FU47" i="2" s="1"/>
  <c r="FP48" i="2" a="1"/>
  <c r="FP48" i="2" s="1"/>
  <c r="FQ48" i="2" a="1"/>
  <c r="FQ48" i="2" s="1"/>
  <c r="FR48" i="2" a="1"/>
  <c r="FR48" i="2" s="1"/>
  <c r="FS48" i="2" a="1"/>
  <c r="FS48" i="2" s="1"/>
  <c r="FT48" i="2" a="1"/>
  <c r="FT48" i="2" s="1"/>
  <c r="FU48" i="2" a="1"/>
  <c r="FU48" i="2" s="1"/>
  <c r="DK47" i="2"/>
  <c r="DK48" i="2"/>
  <c r="EW57" i="2"/>
  <c r="AI57" i="2"/>
  <c r="EY47" i="2" l="1" a="1"/>
  <c r="EY47" i="2" s="1"/>
  <c r="EZ47" i="2" a="1"/>
  <c r="EZ47" i="2" s="1"/>
  <c r="FA47" i="2" a="1"/>
  <c r="FA47" i="2" s="1"/>
  <c r="FB47" i="2" a="1"/>
  <c r="FB47" i="2" s="1"/>
  <c r="FC47" i="2" a="1"/>
  <c r="FC47" i="2" s="1"/>
  <c r="FD47" i="2" a="1"/>
  <c r="FD47" i="2" s="1"/>
  <c r="FE47" i="2" a="1"/>
  <c r="FE47" i="2" s="1"/>
  <c r="EY48" i="2" a="1"/>
  <c r="EY48" i="2" s="1"/>
  <c r="EZ48" i="2" a="1"/>
  <c r="EZ48" i="2" s="1"/>
  <c r="FA48" i="2" a="1"/>
  <c r="FA48" i="2" s="1"/>
  <c r="FB48" i="2" a="1"/>
  <c r="FB48" i="2" s="1"/>
  <c r="FC48" i="2" a="1"/>
  <c r="FC48" i="2" s="1"/>
  <c r="FD48" i="2" a="1"/>
  <c r="FD48" i="2" s="1"/>
  <c r="FE48" i="2" a="1"/>
  <c r="FE48" i="2" s="1"/>
  <c r="EV47" i="2" a="1"/>
  <c r="EV47" i="2" s="1"/>
  <c r="EV48" i="2" a="1"/>
  <c r="EV48" i="2" s="1"/>
  <c r="EU47" i="2" a="1"/>
  <c r="EU47" i="2" s="1"/>
  <c r="EU48" i="2" a="1"/>
  <c r="EU48" i="2" s="1"/>
  <c r="EE47" i="2" a="1"/>
  <c r="EE47" i="2" s="1"/>
  <c r="EE48" i="2" a="1"/>
  <c r="EE48" i="2" s="1"/>
  <c r="ED47" i="2" a="1"/>
  <c r="ED47" i="2" s="1"/>
  <c r="EC47" i="2" s="1"/>
  <c r="ED48" i="2" a="1"/>
  <c r="ED48" i="2" s="1"/>
  <c r="EC48" i="2" s="1"/>
  <c r="EA47" i="2" a="1"/>
  <c r="EA47" i="2" s="1"/>
  <c r="EA48" i="2" a="1"/>
  <c r="EA48" i="2" s="1"/>
  <c r="DZ47" i="2" a="1"/>
  <c r="DZ47" i="2" s="1"/>
  <c r="DZ48" i="2" a="1"/>
  <c r="DZ48" i="2" s="1"/>
  <c r="DY48" i="2" l="1"/>
  <c r="EB47" i="2" a="1"/>
  <c r="EB47" i="2" s="1"/>
  <c r="DY47" i="2"/>
  <c r="EB48" i="2" a="1"/>
  <c r="EB48" i="2" s="1"/>
  <c r="EW48" i="2"/>
  <c r="EF48" i="2" a="1"/>
  <c r="EF48" i="2" s="1"/>
  <c r="EF47" i="2" a="1"/>
  <c r="EF47" i="2" s="1"/>
  <c r="DR47" i="2" a="1"/>
  <c r="DR47" i="2" s="1"/>
  <c r="DS47" i="2" a="1"/>
  <c r="DS47" i="2" s="1"/>
  <c r="DT47" i="2" a="1"/>
  <c r="DT47" i="2" s="1"/>
  <c r="DU47" i="2" a="1"/>
  <c r="DU47" i="2" s="1"/>
  <c r="DV47" i="2" a="1"/>
  <c r="DV47" i="2" s="1"/>
  <c r="DW47" i="2" a="1"/>
  <c r="DW47" i="2" s="1"/>
  <c r="DX47" i="2" a="1"/>
  <c r="DX47" i="2" s="1"/>
  <c r="DR48" i="2" a="1"/>
  <c r="DR48" i="2" s="1"/>
  <c r="DS48" i="2" a="1"/>
  <c r="DS48" i="2" s="1"/>
  <c r="DT48" i="2" a="1"/>
  <c r="DT48" i="2" s="1"/>
  <c r="DU48" i="2" a="1"/>
  <c r="DU48" i="2" s="1"/>
  <c r="DV48" i="2" a="1"/>
  <c r="DV48" i="2" s="1"/>
  <c r="DW48" i="2" a="1"/>
  <c r="DW48" i="2" s="1"/>
  <c r="DX48" i="2" a="1"/>
  <c r="DX48" i="2" s="1"/>
  <c r="DD47" i="2" a="1"/>
  <c r="DD47" i="2" s="1"/>
  <c r="DE47" i="2" a="1"/>
  <c r="DE47" i="2" s="1"/>
  <c r="DF47" i="2" a="1"/>
  <c r="DF47" i="2" s="1"/>
  <c r="DG47" i="2" a="1"/>
  <c r="DG47" i="2" s="1"/>
  <c r="DH47" i="2" a="1"/>
  <c r="DH47" i="2" s="1"/>
  <c r="DI47" i="2" a="1"/>
  <c r="DI47" i="2" s="1"/>
  <c r="DJ47" i="2" a="1"/>
  <c r="DJ47" i="2" s="1"/>
  <c r="DD48" i="2" a="1"/>
  <c r="DD48" i="2" s="1"/>
  <c r="DE48" i="2" a="1"/>
  <c r="DE48" i="2" s="1"/>
  <c r="DF48" i="2" a="1"/>
  <c r="DF48" i="2" s="1"/>
  <c r="DG48" i="2" a="1"/>
  <c r="DG48" i="2" s="1"/>
  <c r="DH48" i="2" a="1"/>
  <c r="DH48" i="2" s="1"/>
  <c r="DI48" i="2" a="1"/>
  <c r="DI48" i="2" s="1"/>
  <c r="DJ48" i="2" a="1"/>
  <c r="DJ48" i="2" s="1"/>
  <c r="CR47" i="2" a="1"/>
  <c r="CR47" i="2" s="1"/>
  <c r="CS47" i="2" a="1"/>
  <c r="CS47" i="2" s="1"/>
  <c r="CT47" i="2" a="1"/>
  <c r="CT47" i="2" s="1"/>
  <c r="CU47" i="2" a="1"/>
  <c r="CU47" i="2" s="1"/>
  <c r="CV47" i="2" a="1"/>
  <c r="CV47" i="2" s="1"/>
  <c r="CW47" i="2" a="1"/>
  <c r="CW47" i="2" s="1"/>
  <c r="CX47" i="2" a="1"/>
  <c r="CX47" i="2" s="1"/>
  <c r="CR48" i="2" a="1"/>
  <c r="CR48" i="2" s="1"/>
  <c r="CS48" i="2" a="1"/>
  <c r="CS48" i="2" s="1"/>
  <c r="CT48" i="2" a="1"/>
  <c r="CT48" i="2" s="1"/>
  <c r="CU48" i="2" a="1"/>
  <c r="CU48" i="2" s="1"/>
  <c r="CV48" i="2" a="1"/>
  <c r="CV48" i="2" s="1"/>
  <c r="CW48" i="2" a="1"/>
  <c r="CW48" i="2" s="1"/>
  <c r="CX48" i="2" a="1"/>
  <c r="CX48" i="2" s="1"/>
  <c r="CG47" i="2" a="1"/>
  <c r="CG47" i="2" s="1"/>
  <c r="CH47" i="2" a="1"/>
  <c r="CH47" i="2" s="1"/>
  <c r="CI47" i="2" a="1"/>
  <c r="CI47" i="2" s="1"/>
  <c r="CJ47" i="2" a="1"/>
  <c r="CJ47" i="2" s="1"/>
  <c r="CK47" i="2" a="1"/>
  <c r="CK47" i="2" s="1"/>
  <c r="CL47" i="2" a="1"/>
  <c r="CL47" i="2" s="1"/>
  <c r="CG48" i="2" a="1"/>
  <c r="CG48" i="2" s="1"/>
  <c r="CH48" i="2" a="1"/>
  <c r="CH48" i="2" s="1"/>
  <c r="CI48" i="2" a="1"/>
  <c r="CI48" i="2" s="1"/>
  <c r="CJ48" i="2" a="1"/>
  <c r="CJ48" i="2" s="1"/>
  <c r="CK48" i="2" a="1"/>
  <c r="CK48" i="2" s="1"/>
  <c r="CL48" i="2" a="1"/>
  <c r="CL48" i="2" s="1"/>
  <c r="BQ47" i="2" a="1"/>
  <c r="BQ47" i="2" s="1"/>
  <c r="BR47" i="2" a="1"/>
  <c r="BR47" i="2" s="1"/>
  <c r="BS47" i="2" a="1"/>
  <c r="BS47" i="2" s="1"/>
  <c r="BT47" i="2" a="1"/>
  <c r="BT47" i="2" s="1"/>
  <c r="BU47" i="2" a="1"/>
  <c r="BU47" i="2" s="1"/>
  <c r="BV47" i="2" a="1"/>
  <c r="BV47" i="2" s="1"/>
  <c r="BQ48" i="2" a="1"/>
  <c r="BQ48" i="2" s="1"/>
  <c r="BR48" i="2" a="1"/>
  <c r="BR48" i="2" s="1"/>
  <c r="BS48" i="2" a="1"/>
  <c r="BS48" i="2" s="1"/>
  <c r="BT48" i="2" a="1"/>
  <c r="BT48" i="2" s="1"/>
  <c r="BU48" i="2" a="1"/>
  <c r="BU48" i="2" s="1"/>
  <c r="BV48" i="2" a="1"/>
  <c r="BV48" i="2" s="1"/>
  <c r="BA47" i="2" a="1"/>
  <c r="BA47" i="2" s="1"/>
  <c r="BB47" i="2" a="1"/>
  <c r="BB47" i="2" s="1"/>
  <c r="BC47" i="2" a="1"/>
  <c r="BC47" i="2" s="1"/>
  <c r="BD47" i="2" a="1"/>
  <c r="BD47" i="2" s="1"/>
  <c r="BE47" i="2" a="1"/>
  <c r="BE47" i="2" s="1"/>
  <c r="BF47" i="2" a="1"/>
  <c r="BF47" i="2" s="1"/>
  <c r="BA48" i="2" a="1"/>
  <c r="BA48" i="2" s="1"/>
  <c r="BB48" i="2" a="1"/>
  <c r="BB48" i="2" s="1"/>
  <c r="BC48" i="2" a="1"/>
  <c r="BC48" i="2" s="1"/>
  <c r="BD48" i="2" a="1"/>
  <c r="BD48" i="2" s="1"/>
  <c r="BE48" i="2" a="1"/>
  <c r="BE48" i="2" s="1"/>
  <c r="BF48" i="2" a="1"/>
  <c r="BF48" i="2" s="1"/>
  <c r="AK47" i="2" a="1"/>
  <c r="AK47" i="2" s="1"/>
  <c r="AL47" i="2" a="1"/>
  <c r="AL47" i="2" s="1"/>
  <c r="AM47" i="2" a="1"/>
  <c r="AM47" i="2" s="1"/>
  <c r="AN47" i="2" a="1"/>
  <c r="AN47" i="2" s="1"/>
  <c r="AO47" i="2" a="1"/>
  <c r="AO47" i="2" s="1"/>
  <c r="AP47" i="2" a="1"/>
  <c r="AP47" i="2" s="1"/>
  <c r="AK48" i="2" a="1"/>
  <c r="AK48" i="2" s="1"/>
  <c r="AL48" i="2" a="1"/>
  <c r="AL48" i="2" s="1"/>
  <c r="AM48" i="2" a="1"/>
  <c r="AM48" i="2" s="1"/>
  <c r="AN48" i="2" a="1"/>
  <c r="AN48" i="2" s="1"/>
  <c r="AO48" i="2" a="1"/>
  <c r="AO48" i="2" s="1"/>
  <c r="AP48" i="2" a="1"/>
  <c r="AP48" i="2" s="1"/>
  <c r="U47" i="2" a="1"/>
  <c r="U47" i="2" s="1"/>
  <c r="V47" i="2" a="1"/>
  <c r="V47" i="2" s="1"/>
  <c r="W47" i="2" a="1"/>
  <c r="W47" i="2" s="1"/>
  <c r="X47" i="2" a="1"/>
  <c r="X47" i="2" s="1"/>
  <c r="Y47" i="2" a="1"/>
  <c r="Y47" i="2" s="1"/>
  <c r="Z47" i="2" a="1"/>
  <c r="Z47" i="2" s="1"/>
  <c r="AA47" i="2" a="1"/>
  <c r="AA47" i="2" s="1"/>
  <c r="U48" i="2" a="1"/>
  <c r="U48" i="2" s="1"/>
  <c r="V48" i="2" a="1"/>
  <c r="V48" i="2" s="1"/>
  <c r="W48" i="2" a="1"/>
  <c r="W48" i="2" s="1"/>
  <c r="X48" i="2" a="1"/>
  <c r="X48" i="2" s="1"/>
  <c r="Y48" i="2" a="1"/>
  <c r="Y48" i="2" s="1"/>
  <c r="Z48" i="2" a="1"/>
  <c r="Z48" i="2" s="1"/>
  <c r="AA48" i="2" a="1"/>
  <c r="AA48" i="2" s="1"/>
  <c r="L47" i="2" a="1"/>
  <c r="L47" i="2" s="1"/>
  <c r="M47" i="2" a="1"/>
  <c r="M47" i="2" s="1"/>
  <c r="N47" i="2" a="1"/>
  <c r="N47" i="2" s="1"/>
  <c r="O47" i="2" a="1"/>
  <c r="O47" i="2" s="1"/>
  <c r="P47" i="2" a="1"/>
  <c r="P47" i="2" s="1"/>
  <c r="EW47" i="2" l="1"/>
  <c r="GD55" i="2"/>
  <c r="AF21" i="16" s="1"/>
  <c r="B2" i="2" l="1"/>
  <c r="B1" i="2"/>
  <c r="D21" i="16" l="1"/>
  <c r="D19" i="16"/>
  <c r="D17" i="16"/>
  <c r="D14" i="16"/>
  <c r="D13" i="16"/>
  <c r="D12" i="16"/>
  <c r="D10" i="16"/>
  <c r="D8" i="16"/>
  <c r="D4" i="16"/>
  <c r="D2" i="16"/>
  <c r="D22" i="16"/>
  <c r="D20" i="16"/>
  <c r="D18" i="16"/>
  <c r="D16" i="16"/>
  <c r="D15" i="16"/>
  <c r="D11" i="16"/>
  <c r="D9" i="16"/>
  <c r="D7" i="16"/>
  <c r="D6" i="16"/>
  <c r="D5" i="16"/>
  <c r="D3" i="16"/>
  <c r="F6" i="15"/>
  <c r="GC57" i="2"/>
  <c r="GD56" i="2"/>
  <c r="AE21" i="16" s="1"/>
  <c r="EX56" i="2"/>
  <c r="AE17" i="16" s="1"/>
  <c r="DQ56" i="2"/>
  <c r="DC56" i="2"/>
  <c r="CQ56" i="2"/>
  <c r="AE10" i="16" s="1"/>
  <c r="CF56" i="2"/>
  <c r="AE9" i="16" s="1"/>
  <c r="B12" i="2"/>
  <c r="B5" i="2"/>
  <c r="B4" i="2"/>
  <c r="O3" i="3"/>
  <c r="O2" i="3"/>
  <c r="AE11" i="16" l="1"/>
  <c r="AE12" i="16"/>
  <c r="H6" i="16"/>
  <c r="H5" i="16"/>
  <c r="H12" i="16"/>
  <c r="GF12" i="2" a="1"/>
  <c r="GF12" i="2" s="1"/>
  <c r="GH12" i="2" a="1"/>
  <c r="GH12" i="2" s="1"/>
  <c r="GJ12" i="2" a="1"/>
  <c r="GJ12" i="2" s="1"/>
  <c r="GG12" i="2" a="1"/>
  <c r="GG12" i="2" s="1"/>
  <c r="GI12" i="2" a="1"/>
  <c r="GI12" i="2" s="1"/>
  <c r="GE12" i="2" a="1"/>
  <c r="GE12" i="2" s="1"/>
  <c r="FQ12" i="2" a="1"/>
  <c r="FQ12" i="2" s="1"/>
  <c r="FS12" i="2" a="1"/>
  <c r="FS12" i="2" s="1"/>
  <c r="FP12" i="2" a="1"/>
  <c r="FP12" i="2" s="1"/>
  <c r="FT12" i="2" a="1"/>
  <c r="FT12" i="2" s="1"/>
  <c r="FR12" i="2" a="1"/>
  <c r="FR12" i="2" s="1"/>
  <c r="FU12" i="2" a="1"/>
  <c r="FU12" i="2" s="1"/>
  <c r="FA12" i="2" a="1"/>
  <c r="FA12" i="2" s="1"/>
  <c r="FC12" i="2" a="1"/>
  <c r="FC12" i="2" s="1"/>
  <c r="FE12" i="2" a="1"/>
  <c r="FE12" i="2" s="1"/>
  <c r="EA12" i="2" a="1"/>
  <c r="EA12" i="2" s="1"/>
  <c r="EZ12" i="2" a="1"/>
  <c r="EZ12" i="2" s="1"/>
  <c r="FB12" i="2" a="1"/>
  <c r="FB12" i="2" s="1"/>
  <c r="FD12" i="2" a="1"/>
  <c r="FD12" i="2" s="1"/>
  <c r="EY12" i="2" a="1"/>
  <c r="EY12" i="2" s="1"/>
  <c r="EE12" i="2" a="1"/>
  <c r="EE12" i="2" s="1"/>
  <c r="ED12" i="2" a="1"/>
  <c r="ED12" i="2" s="1"/>
  <c r="DZ12" i="2" a="1"/>
  <c r="DZ12" i="2" s="1"/>
  <c r="DS12" i="2" a="1"/>
  <c r="DS12" i="2" s="1"/>
  <c r="DU12" i="2" a="1"/>
  <c r="DU12" i="2" s="1"/>
  <c r="DW12" i="2" a="1"/>
  <c r="DW12" i="2" s="1"/>
  <c r="DR12" i="2" a="1"/>
  <c r="DR12" i="2" s="1"/>
  <c r="DE12" i="2" a="1"/>
  <c r="DE12" i="2" s="1"/>
  <c r="DG12" i="2" a="1"/>
  <c r="DG12" i="2" s="1"/>
  <c r="DI12" i="2" a="1"/>
  <c r="DI12" i="2" s="1"/>
  <c r="DD12" i="2" a="1"/>
  <c r="DD12" i="2" s="1"/>
  <c r="DT12" i="2" a="1"/>
  <c r="DT12" i="2" s="1"/>
  <c r="DV12" i="2" a="1"/>
  <c r="DV12" i="2" s="1"/>
  <c r="DX12" i="2" a="1"/>
  <c r="DX12" i="2" s="1"/>
  <c r="DF12" i="2" a="1"/>
  <c r="DF12" i="2" s="1"/>
  <c r="DJ12" i="2" a="1"/>
  <c r="DJ12" i="2" s="1"/>
  <c r="CT12" i="2" a="1"/>
  <c r="CT12" i="2" s="1"/>
  <c r="CV12" i="2" a="1"/>
  <c r="CV12" i="2" s="1"/>
  <c r="CX12" i="2" a="1"/>
  <c r="CX12" i="2" s="1"/>
  <c r="CH12" i="2" a="1"/>
  <c r="CH12" i="2" s="1"/>
  <c r="CJ12" i="2" a="1"/>
  <c r="CJ12" i="2" s="1"/>
  <c r="CG12" i="2" a="1"/>
  <c r="CG12" i="2" s="1"/>
  <c r="BS12" i="2" a="1"/>
  <c r="BS12" i="2" s="1"/>
  <c r="BU12" i="2" a="1"/>
  <c r="BU12" i="2" s="1"/>
  <c r="BQ12" i="2" a="1"/>
  <c r="BQ12" i="2" s="1"/>
  <c r="BA12" i="2" a="1"/>
  <c r="BA12" i="2" s="1"/>
  <c r="BD12" i="2" a="1"/>
  <c r="BD12" i="2" s="1"/>
  <c r="BF12" i="2" a="1"/>
  <c r="BF12" i="2" s="1"/>
  <c r="DH12" i="2" a="1"/>
  <c r="DH12" i="2" s="1"/>
  <c r="CS12" i="2" a="1"/>
  <c r="CS12" i="2" s="1"/>
  <c r="CU12" i="2" a="1"/>
  <c r="CU12" i="2" s="1"/>
  <c r="CW12" i="2" a="1"/>
  <c r="CW12" i="2" s="1"/>
  <c r="CR12" i="2" a="1"/>
  <c r="CR12" i="2" s="1"/>
  <c r="CK12" i="2" a="1"/>
  <c r="CK12" i="2" s="1"/>
  <c r="CI12" i="2" a="1"/>
  <c r="CI12" i="2" s="1"/>
  <c r="CL12" i="2" a="1"/>
  <c r="CL12" i="2" s="1"/>
  <c r="BR12" i="2" a="1"/>
  <c r="BR12" i="2" s="1"/>
  <c r="BV12" i="2" a="1"/>
  <c r="BV12" i="2" s="1"/>
  <c r="BB12" i="2" a="1"/>
  <c r="BB12" i="2" s="1"/>
  <c r="BE12" i="2" a="1"/>
  <c r="BE12" i="2" s="1"/>
  <c r="AL12" i="2" a="1"/>
  <c r="AL12" i="2" s="1"/>
  <c r="AM12" i="2" a="1"/>
  <c r="AM12" i="2" s="1"/>
  <c r="AO12" i="2" a="1"/>
  <c r="AO12" i="2" s="1"/>
  <c r="AK12" i="2" a="1"/>
  <c r="AK12" i="2" s="1"/>
  <c r="V12" i="2" a="1"/>
  <c r="V12" i="2" s="1"/>
  <c r="X12" i="2" a="1"/>
  <c r="X12" i="2" s="1"/>
  <c r="Z12" i="2" a="1"/>
  <c r="Z12" i="2" s="1"/>
  <c r="U12" i="2" a="1"/>
  <c r="U12" i="2" s="1"/>
  <c r="N12" i="2" a="1"/>
  <c r="N12" i="2" s="1"/>
  <c r="P12" i="2" a="1"/>
  <c r="P12" i="2" s="1"/>
  <c r="O12" i="2" a="1"/>
  <c r="O12" i="2" s="1"/>
  <c r="M12" i="2" a="1"/>
  <c r="M12" i="2" s="1"/>
  <c r="L12" i="2" a="1"/>
  <c r="L12" i="2" s="1"/>
  <c r="BT12" i="2" a="1"/>
  <c r="BT12" i="2" s="1"/>
  <c r="BC12" i="2" a="1"/>
  <c r="BC12" i="2" s="1"/>
  <c r="AN12" i="2" a="1"/>
  <c r="AN12" i="2" s="1"/>
  <c r="AP12" i="2" a="1"/>
  <c r="AP12" i="2" s="1"/>
  <c r="W12" i="2" a="1"/>
  <c r="W12" i="2" s="1"/>
  <c r="Y12" i="2" a="1"/>
  <c r="Y12" i="2" s="1"/>
  <c r="AA12" i="2" a="1"/>
  <c r="AA12" i="2" s="1"/>
  <c r="G12" i="2" a="1"/>
  <c r="G12" i="2" s="1"/>
  <c r="H12" i="2" s="1" a="1"/>
  <c r="H12" i="2" s="1"/>
  <c r="F12" i="2" a="1"/>
  <c r="F12" i="2" s="1"/>
  <c r="C12" i="2" a="1"/>
  <c r="C12" i="2" s="1"/>
  <c r="GL12" i="2" a="1"/>
  <c r="GL12" i="2" s="1"/>
  <c r="GK12" i="2" a="1"/>
  <c r="GK12" i="2" s="1"/>
  <c r="GA12" i="2" a="1"/>
  <c r="GA12" i="2" s="1"/>
  <c r="FX12" i="2" a="1"/>
  <c r="FX12" i="2" s="1"/>
  <c r="EU12" i="2" a="1"/>
  <c r="EU12" i="2" s="1"/>
  <c r="DL12" i="2" a="1"/>
  <c r="DL12" i="2" s="1"/>
  <c r="BL12" i="2" a="1"/>
  <c r="BL12" i="2" s="1"/>
  <c r="BH12" i="2" a="1"/>
  <c r="BH12" i="2" s="1"/>
  <c r="AV12" i="2" a="1"/>
  <c r="AV12" i="2" s="1"/>
  <c r="CZ12" i="2" a="1"/>
  <c r="CZ12" i="2" s="1"/>
  <c r="CN12" i="2" a="1"/>
  <c r="CN12" i="2" s="1"/>
  <c r="CC12" i="2" a="1"/>
  <c r="CC12" i="2" s="1"/>
  <c r="BZ12" i="2" a="1"/>
  <c r="BZ12" i="2" s="1"/>
  <c r="AR12" i="2" a="1"/>
  <c r="AR12" i="2" s="1"/>
  <c r="DP8" i="2" a="1"/>
  <c r="DP8" i="2" s="1"/>
  <c r="GB12" i="2" a="1"/>
  <c r="GB12" i="2" s="1"/>
  <c r="FY12" i="2" a="1"/>
  <c r="FY12" i="2" s="1"/>
  <c r="FK12" i="2" a="1"/>
  <c r="FK12" i="2" s="1"/>
  <c r="FH12" i="2" a="1"/>
  <c r="FH12" i="2" s="1"/>
  <c r="FJ12" i="2" a="1"/>
  <c r="FJ12" i="2" s="1"/>
  <c r="FG12" i="2" a="1"/>
  <c r="FG12" i="2" s="1"/>
  <c r="CD12" i="2" a="1"/>
  <c r="CD12" i="2" s="1"/>
  <c r="AS12" i="2" a="1"/>
  <c r="AS12" i="2" s="1"/>
  <c r="AD12" i="2" a="1"/>
  <c r="AD12" i="2" s="1"/>
  <c r="CA12" i="2" a="1"/>
  <c r="CA12" i="2" s="1"/>
  <c r="BI12" i="2" a="1"/>
  <c r="BI12" i="2" s="1"/>
  <c r="AW12" i="2" a="1"/>
  <c r="AW12" i="2" s="1"/>
  <c r="AU12" i="2" s="1" a="1"/>
  <c r="AU12" i="2" s="1"/>
  <c r="AC12" i="2" a="1"/>
  <c r="AC12" i="2" s="1"/>
  <c r="D12" i="2" a="1"/>
  <c r="D12" i="2" s="1"/>
  <c r="E12" i="2" s="1" a="1"/>
  <c r="E12" i="2" s="1"/>
  <c r="BM12" i="2" a="1"/>
  <c r="BM12" i="2" s="1"/>
  <c r="AX12" i="2"/>
  <c r="DA12" i="2" a="1"/>
  <c r="DA12" i="2" s="1"/>
  <c r="CY12" i="2" s="1"/>
  <c r="EJ12" i="2" a="1"/>
  <c r="EJ12" i="2" s="1"/>
  <c r="D6" i="8" s="1"/>
  <c r="A12" i="2"/>
  <c r="DQ12" i="2" s="1"/>
  <c r="EI12" i="2" a="1"/>
  <c r="EI12" i="2" s="1"/>
  <c r="C6" i="8" s="1"/>
  <c r="FF12" i="2"/>
  <c r="BY12" i="2"/>
  <c r="AQ8" i="2" a="1"/>
  <c r="AQ8" i="2" s="1"/>
  <c r="AR8" i="2" a="1"/>
  <c r="AR8" i="2" s="1"/>
  <c r="BG8" i="2" a="1"/>
  <c r="BG8" i="2" s="1"/>
  <c r="B5" i="10"/>
  <c r="B6" i="8"/>
  <c r="Q12" i="2" a="1"/>
  <c r="Q12" i="2" s="1"/>
  <c r="S12" i="2" a="1"/>
  <c r="S12" i="2" s="1"/>
  <c r="AF12" i="2" a="1"/>
  <c r="AF12" i="2" s="1"/>
  <c r="AG12" i="2" a="1"/>
  <c r="AG12" i="2" s="1"/>
  <c r="CO12" i="2" a="1"/>
  <c r="CO12" i="2" s="1"/>
  <c r="DM12" i="2" a="1"/>
  <c r="DM12" i="2" s="1"/>
  <c r="EV12" i="2" a="1"/>
  <c r="EV12" i="2" s="1"/>
  <c r="EW12" i="2" s="1"/>
  <c r="GM50" i="2" a="1"/>
  <c r="GM50" i="2" s="1"/>
  <c r="O22" i="16" s="1"/>
  <c r="B13" i="2"/>
  <c r="AJ12" i="2"/>
  <c r="CQ12" i="2"/>
  <c r="GD12" i="2"/>
  <c r="AI12" i="2" l="1"/>
  <c r="EC12" i="2"/>
  <c r="DY12" i="2"/>
  <c r="EB12" i="2" a="1"/>
  <c r="EB12" i="2" s="1"/>
  <c r="GE13" i="2" a="1"/>
  <c r="GE13" i="2" s="1"/>
  <c r="GG13" i="2" a="1"/>
  <c r="GG13" i="2" s="1"/>
  <c r="GI13" i="2" a="1"/>
  <c r="GI13" i="2" s="1"/>
  <c r="GF13" i="2" a="1"/>
  <c r="GF13" i="2" s="1"/>
  <c r="GH13" i="2" a="1"/>
  <c r="GH13" i="2" s="1"/>
  <c r="GJ13" i="2" a="1"/>
  <c r="GJ13" i="2" s="1"/>
  <c r="FR13" i="2" a="1"/>
  <c r="FR13" i="2" s="1"/>
  <c r="FT13" i="2" a="1"/>
  <c r="FT13" i="2" s="1"/>
  <c r="FP13" i="2" a="1"/>
  <c r="FP13" i="2" s="1"/>
  <c r="FQ13" i="2" a="1"/>
  <c r="FQ13" i="2" s="1"/>
  <c r="FS13" i="2" a="1"/>
  <c r="FS13" i="2" s="1"/>
  <c r="FU13" i="2" a="1"/>
  <c r="FU13" i="2" s="1"/>
  <c r="EY13" i="2" a="1"/>
  <c r="EY13" i="2" s="1"/>
  <c r="FA13" i="2" a="1"/>
  <c r="FA13" i="2" s="1"/>
  <c r="FC13" i="2" a="1"/>
  <c r="FC13" i="2" s="1"/>
  <c r="FE13" i="2" a="1"/>
  <c r="FE13" i="2" s="1"/>
  <c r="EE13" i="2" a="1"/>
  <c r="EE13" i="2" s="1"/>
  <c r="ED13" i="2" a="1"/>
  <c r="ED13" i="2" s="1"/>
  <c r="EZ13" i="2" a="1"/>
  <c r="EZ13" i="2" s="1"/>
  <c r="FB13" i="2" a="1"/>
  <c r="FB13" i="2" s="1"/>
  <c r="FD13" i="2" a="1"/>
  <c r="FD13" i="2" s="1"/>
  <c r="EA13" i="2" a="1"/>
  <c r="EA13" i="2" s="1"/>
  <c r="DZ13" i="2" a="1"/>
  <c r="DZ13" i="2" s="1"/>
  <c r="DT13" i="2" a="1"/>
  <c r="DT13" i="2" s="1"/>
  <c r="DV13" i="2" a="1"/>
  <c r="DV13" i="2" s="1"/>
  <c r="DX13" i="2" a="1"/>
  <c r="DX13" i="2" s="1"/>
  <c r="DF13" i="2" a="1"/>
  <c r="DF13" i="2" s="1"/>
  <c r="DH13" i="2" a="1"/>
  <c r="DH13" i="2" s="1"/>
  <c r="DJ13" i="2" a="1"/>
  <c r="DJ13" i="2" s="1"/>
  <c r="DS13" i="2" a="1"/>
  <c r="DS13" i="2" s="1"/>
  <c r="DU13" i="2" a="1"/>
  <c r="DU13" i="2" s="1"/>
  <c r="DW13" i="2" a="1"/>
  <c r="DW13" i="2" s="1"/>
  <c r="DR13" i="2" a="1"/>
  <c r="DR13" i="2" s="1"/>
  <c r="DE13" i="2" a="1"/>
  <c r="DE13" i="2" s="1"/>
  <c r="DI13" i="2" a="1"/>
  <c r="DI13" i="2" s="1"/>
  <c r="CS13" i="2" a="1"/>
  <c r="CS13" i="2" s="1"/>
  <c r="CU13" i="2" a="1"/>
  <c r="CU13" i="2" s="1"/>
  <c r="CW13" i="2" a="1"/>
  <c r="CW13" i="2" s="1"/>
  <c r="CR13" i="2" a="1"/>
  <c r="CR13" i="2" s="1"/>
  <c r="CI13" i="2" a="1"/>
  <c r="CI13" i="2" s="1"/>
  <c r="CK13" i="2" a="1"/>
  <c r="CK13" i="2" s="1"/>
  <c r="CG13" i="2" a="1"/>
  <c r="CG13" i="2" s="1"/>
  <c r="BR13" i="2" a="1"/>
  <c r="BR13" i="2" s="1"/>
  <c r="BU13" i="2" a="1"/>
  <c r="BU13" i="2" s="1"/>
  <c r="BQ13" i="2" a="1"/>
  <c r="BQ13" i="2" s="1"/>
  <c r="BC13" i="2" a="1"/>
  <c r="BC13" i="2" s="1"/>
  <c r="BE13" i="2" a="1"/>
  <c r="BE13" i="2" s="1"/>
  <c r="BA13" i="2" a="1"/>
  <c r="BA13" i="2" s="1"/>
  <c r="DG13" i="2" a="1"/>
  <c r="DG13" i="2" s="1"/>
  <c r="DD13" i="2" a="1"/>
  <c r="DD13" i="2" s="1"/>
  <c r="CT13" i="2" a="1"/>
  <c r="CT13" i="2" s="1"/>
  <c r="CV13" i="2" a="1"/>
  <c r="CV13" i="2" s="1"/>
  <c r="CX13" i="2" a="1"/>
  <c r="CX13" i="2" s="1"/>
  <c r="CH13" i="2" a="1"/>
  <c r="CH13" i="2" s="1"/>
  <c r="CJ13" i="2" a="1"/>
  <c r="CJ13" i="2" s="1"/>
  <c r="CL13" i="2" a="1"/>
  <c r="CL13" i="2" s="1"/>
  <c r="BS13" i="2" a="1"/>
  <c r="BS13" i="2" s="1"/>
  <c r="BD13" i="2" a="1"/>
  <c r="BD13" i="2" s="1"/>
  <c r="AM13" i="2" a="1"/>
  <c r="AM13" i="2" s="1"/>
  <c r="AP13" i="2" a="1"/>
  <c r="AP13" i="2" s="1"/>
  <c r="W13" i="2" a="1"/>
  <c r="W13" i="2" s="1"/>
  <c r="Y13" i="2" a="1"/>
  <c r="Y13" i="2" s="1"/>
  <c r="AA13" i="2" a="1"/>
  <c r="AA13" i="2" s="1"/>
  <c r="M13" i="2" a="1"/>
  <c r="M13" i="2" s="1"/>
  <c r="O13" i="2" a="1"/>
  <c r="O13" i="2" s="1"/>
  <c r="L13" i="2" a="1"/>
  <c r="L13" i="2" s="1"/>
  <c r="N13" i="2" a="1"/>
  <c r="N13" i="2" s="1"/>
  <c r="P13" i="2" a="1"/>
  <c r="P13" i="2" s="1"/>
  <c r="BT13" i="2" a="1"/>
  <c r="BT13" i="2" s="1"/>
  <c r="BV13" i="2" a="1"/>
  <c r="BV13" i="2" s="1"/>
  <c r="BB13" i="2" a="1"/>
  <c r="BB13" i="2" s="1"/>
  <c r="BF13" i="2" a="1"/>
  <c r="BF13" i="2" s="1"/>
  <c r="AN13" i="2" a="1"/>
  <c r="AN13" i="2" s="1"/>
  <c r="AL13" i="2" a="1"/>
  <c r="AL13" i="2" s="1"/>
  <c r="AO13" i="2" a="1"/>
  <c r="AO13" i="2" s="1"/>
  <c r="AK13" i="2" a="1"/>
  <c r="AK13" i="2" s="1"/>
  <c r="V13" i="2" a="1"/>
  <c r="V13" i="2" s="1"/>
  <c r="X13" i="2" a="1"/>
  <c r="X13" i="2" s="1"/>
  <c r="Z13" i="2" a="1"/>
  <c r="Z13" i="2" s="1"/>
  <c r="U13" i="2" a="1"/>
  <c r="U13" i="2" s="1"/>
  <c r="FN12" i="2"/>
  <c r="BP12" i="2"/>
  <c r="K12" i="2"/>
  <c r="GN12" i="2"/>
  <c r="FM12" i="2"/>
  <c r="ES12" i="2"/>
  <c r="DC12" i="2"/>
  <c r="CF12" i="2"/>
  <c r="EF12" i="2"/>
  <c r="FW12" i="2"/>
  <c r="DB12" i="2"/>
  <c r="D13" i="2" a="1"/>
  <c r="D13" i="2" s="1"/>
  <c r="E13" i="2" s="1" a="1"/>
  <c r="E13" i="2" s="1"/>
  <c r="I12" i="2"/>
  <c r="AZ12" i="2"/>
  <c r="GK13" i="2" a="1"/>
  <c r="GK13" i="2" s="1"/>
  <c r="GA13" i="2" a="1"/>
  <c r="GA13" i="2" s="1"/>
  <c r="FX13" i="2" a="1"/>
  <c r="FX13" i="2" s="1"/>
  <c r="CN13" i="2" a="1"/>
  <c r="CN13" i="2" s="1"/>
  <c r="CC13" i="2" a="1"/>
  <c r="CC13" i="2" s="1"/>
  <c r="BZ13" i="2" a="1"/>
  <c r="BZ13" i="2" s="1"/>
  <c r="BL13" i="2" a="1"/>
  <c r="BL13" i="2" s="1"/>
  <c r="C13" i="2" a="1"/>
  <c r="C13" i="2" s="1"/>
  <c r="EU13" i="2" a="1"/>
  <c r="EU13" i="2" s="1"/>
  <c r="DL13" i="2" a="1"/>
  <c r="DL13" i="2" s="1"/>
  <c r="CZ13" i="2" a="1"/>
  <c r="CZ13" i="2" s="1"/>
  <c r="BH13" i="2" a="1"/>
  <c r="BH13" i="2" s="1"/>
  <c r="AV13" i="2" a="1"/>
  <c r="AV13" i="2" s="1"/>
  <c r="AR13" i="2" a="1"/>
  <c r="AR13" i="2" s="1"/>
  <c r="A5" i="10"/>
  <c r="J12" i="2"/>
  <c r="EK12" i="2"/>
  <c r="E6" i="8" s="1"/>
  <c r="A6" i="8"/>
  <c r="GB13" i="2" a="1"/>
  <c r="GB13" i="2" s="1"/>
  <c r="FK13" i="2" a="1"/>
  <c r="FK13" i="2" s="1"/>
  <c r="FG13" i="2" a="1"/>
  <c r="FG13" i="2" s="1"/>
  <c r="FJ13" i="2" a="1"/>
  <c r="FJ13" i="2" s="1"/>
  <c r="CA13" i="2" a="1"/>
  <c r="CA13" i="2" s="1"/>
  <c r="BM13" i="2" a="1"/>
  <c r="BM13" i="2" s="1"/>
  <c r="AW13" i="2" a="1"/>
  <c r="AW13" i="2" s="1"/>
  <c r="AD13" i="2" a="1"/>
  <c r="AD13" i="2" s="1"/>
  <c r="AC13" i="2" a="1"/>
  <c r="AC13" i="2" s="1"/>
  <c r="FH13" i="2" a="1"/>
  <c r="FH13" i="2" s="1"/>
  <c r="CD13" i="2" a="1"/>
  <c r="CD13" i="2" s="1"/>
  <c r="AS13" i="2" a="1"/>
  <c r="AS13" i="2" s="1"/>
  <c r="F13" i="2" a="1"/>
  <c r="F13" i="2" s="1"/>
  <c r="FY13" i="2" a="1"/>
  <c r="FY13" i="2" s="1"/>
  <c r="BI13" i="2" a="1"/>
  <c r="BI13" i="2" s="1"/>
  <c r="DN12" i="2"/>
  <c r="FI12" i="2"/>
  <c r="B6" i="10"/>
  <c r="B7" i="8"/>
  <c r="DM13" i="2" a="1"/>
  <c r="DM13" i="2" s="1"/>
  <c r="CO13" i="2" a="1"/>
  <c r="CO13" i="2" s="1"/>
  <c r="G13" i="2" a="1"/>
  <c r="G13" i="2" s="1"/>
  <c r="H13" i="2" s="1" a="1"/>
  <c r="H13" i="2" s="1"/>
  <c r="A13" i="2"/>
  <c r="DQ13" i="2" s="1"/>
  <c r="B14" i="2"/>
  <c r="GL13" i="2" a="1"/>
  <c r="GL13" i="2" s="1"/>
  <c r="EV13" i="2" a="1"/>
  <c r="EV13" i="2" s="1"/>
  <c r="EJ13" i="2" a="1"/>
  <c r="EJ13" i="2" s="1"/>
  <c r="D7" i="8" s="1"/>
  <c r="EI13" i="2" a="1"/>
  <c r="EI13" i="2" s="1"/>
  <c r="DA13" i="2" a="1"/>
  <c r="DA13" i="2" s="1"/>
  <c r="AG13" i="2" a="1"/>
  <c r="AG13" i="2" s="1"/>
  <c r="AF13" i="2" a="1"/>
  <c r="AF13" i="2" s="1"/>
  <c r="S13" i="2" a="1"/>
  <c r="S13" i="2" s="1"/>
  <c r="Q13" i="2" a="1"/>
  <c r="Q13" i="2" s="1"/>
  <c r="FZ12" i="2"/>
  <c r="CB12" i="2"/>
  <c r="BK12" i="2"/>
  <c r="BN12" i="2"/>
  <c r="BG12" i="2"/>
  <c r="BJ12" i="2"/>
  <c r="BO12" i="2" s="1" a="1"/>
  <c r="BO12" i="2" s="1"/>
  <c r="AE12" i="2" a="1"/>
  <c r="AE12" i="2" s="1"/>
  <c r="AH12" i="2" a="1"/>
  <c r="AH12" i="2" s="1"/>
  <c r="AB12" i="2" a="1"/>
  <c r="AB12" i="2" s="1"/>
  <c r="CE12" i="2" a="1"/>
  <c r="CE12" i="2" s="1"/>
  <c r="FL12" i="2" a="1"/>
  <c r="FL12" i="2" s="1"/>
  <c r="ET12" i="2"/>
  <c r="DK12" i="2"/>
  <c r="CM12" i="2"/>
  <c r="CP12" i="2"/>
  <c r="AT12" i="2"/>
  <c r="AQ12" i="2" a="1"/>
  <c r="AQ12" i="2" s="1"/>
  <c r="I6" i="8" a="1"/>
  <c r="I6" i="8" s="1"/>
  <c r="M6" i="8" s="1"/>
  <c r="G6" i="8" a="1"/>
  <c r="G6" i="8" s="1"/>
  <c r="H6" i="8" s="1" a="1"/>
  <c r="H6" i="8" s="1"/>
  <c r="J6" i="8" a="1"/>
  <c r="J6" i="8" s="1"/>
  <c r="K6" i="8" s="1" a="1"/>
  <c r="K6" i="8" s="1"/>
  <c r="F6" i="8" a="1"/>
  <c r="F6" i="8" s="1"/>
  <c r="L6" i="8" s="1"/>
  <c r="AY12" i="2" l="1" a="1"/>
  <c r="AY12" i="2" s="1"/>
  <c r="GC12" i="2"/>
  <c r="EW13" i="2"/>
  <c r="EC13" i="2"/>
  <c r="EB13" i="2" a="1"/>
  <c r="EB13" i="2" s="1"/>
  <c r="DY13" i="2"/>
  <c r="GE14" i="2" a="1"/>
  <c r="GE14" i="2" s="1"/>
  <c r="GG14" i="2" a="1"/>
  <c r="GG14" i="2" s="1"/>
  <c r="GI14" i="2" a="1"/>
  <c r="GI14" i="2" s="1"/>
  <c r="FP14" i="2" a="1"/>
  <c r="FP14" i="2" s="1"/>
  <c r="FR14" i="2" a="1"/>
  <c r="FR14" i="2" s="1"/>
  <c r="FT14" i="2" a="1"/>
  <c r="FT14" i="2" s="1"/>
  <c r="GF14" i="2" a="1"/>
  <c r="GF14" i="2" s="1"/>
  <c r="GH14" i="2" a="1"/>
  <c r="GH14" i="2" s="1"/>
  <c r="GJ14" i="2" a="1"/>
  <c r="GJ14" i="2" s="1"/>
  <c r="FQ14" i="2" a="1"/>
  <c r="FQ14" i="2" s="1"/>
  <c r="FS14" i="2" a="1"/>
  <c r="FS14" i="2" s="1"/>
  <c r="FU14" i="2" a="1"/>
  <c r="FU14" i="2" s="1"/>
  <c r="EZ14" i="2" a="1"/>
  <c r="EZ14" i="2" s="1"/>
  <c r="FB14" i="2" a="1"/>
  <c r="FB14" i="2" s="1"/>
  <c r="FD14" i="2" a="1"/>
  <c r="FD14" i="2" s="1"/>
  <c r="EE14" i="2" a="1"/>
  <c r="EE14" i="2" s="1"/>
  <c r="ED14" i="2" a="1"/>
  <c r="ED14" i="2" s="1"/>
  <c r="EA14" i="2" a="1"/>
  <c r="EA14" i="2" s="1"/>
  <c r="DZ14" i="2" a="1"/>
  <c r="DZ14" i="2" s="1"/>
  <c r="EY14" i="2" a="1"/>
  <c r="EY14" i="2" s="1"/>
  <c r="FA14" i="2" a="1"/>
  <c r="FA14" i="2" s="1"/>
  <c r="FC14" i="2" a="1"/>
  <c r="FC14" i="2" s="1"/>
  <c r="FE14" i="2" a="1"/>
  <c r="FE14" i="2" s="1"/>
  <c r="DS14" i="2" a="1"/>
  <c r="DS14" i="2" s="1"/>
  <c r="DU14" i="2" a="1"/>
  <c r="DU14" i="2" s="1"/>
  <c r="DW14" i="2" a="1"/>
  <c r="DW14" i="2" s="1"/>
  <c r="DE14" i="2" a="1"/>
  <c r="DE14" i="2" s="1"/>
  <c r="DG14" i="2" a="1"/>
  <c r="DG14" i="2" s="1"/>
  <c r="DI14" i="2" a="1"/>
  <c r="DI14" i="2" s="1"/>
  <c r="CS14" i="2" a="1"/>
  <c r="CS14" i="2" s="1"/>
  <c r="CU14" i="2" a="1"/>
  <c r="CU14" i="2" s="1"/>
  <c r="CW14" i="2" a="1"/>
  <c r="CW14" i="2" s="1"/>
  <c r="DR14" i="2" a="1"/>
  <c r="DR14" i="2" s="1"/>
  <c r="DT14" i="2" a="1"/>
  <c r="DT14" i="2" s="1"/>
  <c r="DV14" i="2" a="1"/>
  <c r="DV14" i="2" s="1"/>
  <c r="DX14" i="2" a="1"/>
  <c r="DX14" i="2" s="1"/>
  <c r="DF14" i="2" a="1"/>
  <c r="DF14" i="2" s="1"/>
  <c r="DJ14" i="2" a="1"/>
  <c r="DJ14" i="2" s="1"/>
  <c r="CT14" i="2" a="1"/>
  <c r="CT14" i="2" s="1"/>
  <c r="CX14" i="2" a="1"/>
  <c r="CX14" i="2" s="1"/>
  <c r="CH14" i="2" a="1"/>
  <c r="CH14" i="2" s="1"/>
  <c r="CJ14" i="2" a="1"/>
  <c r="CJ14" i="2" s="1"/>
  <c r="CL14" i="2" a="1"/>
  <c r="CL14" i="2" s="1"/>
  <c r="BR14" i="2" a="1"/>
  <c r="BR14" i="2" s="1"/>
  <c r="BT14" i="2" a="1"/>
  <c r="BT14" i="2" s="1"/>
  <c r="BV14" i="2" a="1"/>
  <c r="BV14" i="2" s="1"/>
  <c r="BB14" i="2" a="1"/>
  <c r="BB14" i="2" s="1"/>
  <c r="BD14" i="2" a="1"/>
  <c r="BD14" i="2" s="1"/>
  <c r="BF14" i="2" a="1"/>
  <c r="BF14" i="2" s="1"/>
  <c r="AL14" i="2" a="1"/>
  <c r="AL14" i="2" s="1"/>
  <c r="AN14" i="2" a="1"/>
  <c r="AN14" i="2" s="1"/>
  <c r="AP14" i="2" a="1"/>
  <c r="AP14" i="2" s="1"/>
  <c r="DD14" i="2" a="1"/>
  <c r="DD14" i="2" s="1"/>
  <c r="DH14" i="2" a="1"/>
  <c r="DH14" i="2" s="1"/>
  <c r="CR14" i="2" a="1"/>
  <c r="CR14" i="2" s="1"/>
  <c r="CV14" i="2" a="1"/>
  <c r="CV14" i="2" s="1"/>
  <c r="CG14" i="2" a="1"/>
  <c r="CG14" i="2" s="1"/>
  <c r="CI14" i="2" a="1"/>
  <c r="CI14" i="2" s="1"/>
  <c r="CK14" i="2" a="1"/>
  <c r="CK14" i="2" s="1"/>
  <c r="BQ14" i="2" a="1"/>
  <c r="BQ14" i="2" s="1"/>
  <c r="BS14" i="2" a="1"/>
  <c r="BS14" i="2" s="1"/>
  <c r="BU14" i="2" a="1"/>
  <c r="BU14" i="2" s="1"/>
  <c r="BC14" i="2" a="1"/>
  <c r="BC14" i="2" s="1"/>
  <c r="AM14" i="2" a="1"/>
  <c r="AM14" i="2" s="1"/>
  <c r="V14" i="2" a="1"/>
  <c r="V14" i="2" s="1"/>
  <c r="X14" i="2" a="1"/>
  <c r="X14" i="2" s="1"/>
  <c r="Z14" i="2" a="1"/>
  <c r="Z14" i="2" s="1"/>
  <c r="M14" i="2" a="1"/>
  <c r="M14" i="2" s="1"/>
  <c r="O14" i="2" a="1"/>
  <c r="O14" i="2" s="1"/>
  <c r="BA14" i="2" a="1"/>
  <c r="BA14" i="2" s="1"/>
  <c r="BE14" i="2" a="1"/>
  <c r="BE14" i="2" s="1"/>
  <c r="AK14" i="2" a="1"/>
  <c r="AK14" i="2" s="1"/>
  <c r="AO14" i="2" a="1"/>
  <c r="AO14" i="2" s="1"/>
  <c r="U14" i="2" a="1"/>
  <c r="U14" i="2" s="1"/>
  <c r="W14" i="2" a="1"/>
  <c r="W14" i="2" s="1"/>
  <c r="Y14" i="2" a="1"/>
  <c r="Y14" i="2" s="1"/>
  <c r="AA14" i="2" a="1"/>
  <c r="AA14" i="2" s="1"/>
  <c r="L14" i="2" a="1"/>
  <c r="L14" i="2" s="1"/>
  <c r="N14" i="2" a="1"/>
  <c r="N14" i="2" s="1"/>
  <c r="P14" i="2" a="1"/>
  <c r="P14" i="2" s="1"/>
  <c r="EF13" i="2" a="1"/>
  <c r="EF13" i="2" s="1"/>
  <c r="D14" i="2" a="1"/>
  <c r="D14" i="2" s="1"/>
  <c r="E14" i="2" s="1" a="1"/>
  <c r="E14" i="2" s="1"/>
  <c r="GA14" i="2" a="1"/>
  <c r="GA14" i="2" s="1"/>
  <c r="C14" i="2" a="1"/>
  <c r="C14" i="2" s="1"/>
  <c r="EU14" i="2" a="1"/>
  <c r="EU14" i="2" s="1"/>
  <c r="DL14" i="2" a="1"/>
  <c r="DL14" i="2" s="1"/>
  <c r="BL14" i="2" a="1"/>
  <c r="BL14" i="2" s="1"/>
  <c r="GK14" i="2" a="1"/>
  <c r="GK14" i="2" s="1"/>
  <c r="FX14" i="2" a="1"/>
  <c r="FX14" i="2" s="1"/>
  <c r="CZ14" i="2" a="1"/>
  <c r="CZ14" i="2" s="1"/>
  <c r="CN14" i="2" a="1"/>
  <c r="CN14" i="2" s="1"/>
  <c r="CC14" i="2" a="1"/>
  <c r="CC14" i="2" s="1"/>
  <c r="BZ14" i="2" a="1"/>
  <c r="BZ14" i="2" s="1"/>
  <c r="BH14" i="2" a="1"/>
  <c r="BH14" i="2" s="1"/>
  <c r="AV14" i="2" a="1"/>
  <c r="AV14" i="2" s="1"/>
  <c r="AR14" i="2" a="1"/>
  <c r="AR14" i="2" s="1"/>
  <c r="AB13" i="2" a="1"/>
  <c r="AB13" i="2" s="1"/>
  <c r="GB14" i="2" a="1"/>
  <c r="GB14" i="2" s="1"/>
  <c r="FK14" i="2" a="1"/>
  <c r="FK14" i="2" s="1"/>
  <c r="FY14" i="2" a="1"/>
  <c r="FY14" i="2" s="1"/>
  <c r="FG14" i="2" a="1"/>
  <c r="FG14" i="2" s="1"/>
  <c r="FH14" i="2" a="1"/>
  <c r="FH14" i="2" s="1"/>
  <c r="CD14" i="2" a="1"/>
  <c r="CD14" i="2" s="1"/>
  <c r="BM14" i="2" a="1"/>
  <c r="BM14" i="2" s="1"/>
  <c r="AW14" i="2" a="1"/>
  <c r="AW14" i="2" s="1"/>
  <c r="AD14" i="2" a="1"/>
  <c r="AD14" i="2" s="1"/>
  <c r="BI14" i="2" a="1"/>
  <c r="BI14" i="2" s="1"/>
  <c r="FJ14" i="2" a="1"/>
  <c r="FJ14" i="2" s="1"/>
  <c r="CA14" i="2" a="1"/>
  <c r="CA14" i="2" s="1"/>
  <c r="AS14" i="2" a="1"/>
  <c r="AS14" i="2" s="1"/>
  <c r="AC14" i="2" a="1"/>
  <c r="AC14" i="2" s="1"/>
  <c r="F14" i="2" a="1"/>
  <c r="F14" i="2" s="1"/>
  <c r="DN13" i="2"/>
  <c r="N6" i="8"/>
  <c r="BJ13" i="2"/>
  <c r="CB13" i="2"/>
  <c r="FI13" i="2"/>
  <c r="FZ13" i="2"/>
  <c r="C7" i="8"/>
  <c r="EK13" i="2"/>
  <c r="FL13" i="2" s="1" a="1"/>
  <c r="FL13" i="2" s="1"/>
  <c r="B7" i="10"/>
  <c r="B8" i="8"/>
  <c r="DM14" i="2" a="1"/>
  <c r="DM14" i="2" s="1"/>
  <c r="CO14" i="2" a="1"/>
  <c r="CO14" i="2" s="1"/>
  <c r="G14" i="2" a="1"/>
  <c r="G14" i="2" s="1"/>
  <c r="H14" i="2" s="1" a="1"/>
  <c r="H14" i="2" s="1"/>
  <c r="A14" i="2"/>
  <c r="DQ14" i="2" s="1"/>
  <c r="B15" i="2"/>
  <c r="GL14" i="2" a="1"/>
  <c r="GL14" i="2" s="1"/>
  <c r="EV14" i="2" a="1"/>
  <c r="EV14" i="2" s="1"/>
  <c r="EW14" i="2" s="1"/>
  <c r="EJ14" i="2" a="1"/>
  <c r="EJ14" i="2" s="1"/>
  <c r="D8" i="8" s="1"/>
  <c r="EI14" i="2" a="1"/>
  <c r="EI14" i="2" s="1"/>
  <c r="DA14" i="2" a="1"/>
  <c r="DA14" i="2" s="1"/>
  <c r="AG14" i="2" a="1"/>
  <c r="AG14" i="2" s="1"/>
  <c r="AF14" i="2" a="1"/>
  <c r="AF14" i="2" s="1"/>
  <c r="S14" i="2" a="1"/>
  <c r="S14" i="2" s="1"/>
  <c r="Q14" i="2" a="1"/>
  <c r="Q14" i="2" s="1"/>
  <c r="I13" i="2"/>
  <c r="DK13" i="2"/>
  <c r="FF13" i="2"/>
  <c r="FW13" i="2"/>
  <c r="O6" i="8"/>
  <c r="AH13" i="2" a="1"/>
  <c r="AH13" i="2" s="1"/>
  <c r="AE13" i="2" a="1"/>
  <c r="AE13" i="2" s="1"/>
  <c r="AT13" i="2"/>
  <c r="AQ13" i="2" a="1"/>
  <c r="AQ13" i="2" s="1"/>
  <c r="CE13" i="2" a="1"/>
  <c r="CE13" i="2" s="1"/>
  <c r="BY13" i="2"/>
  <c r="CY13" i="2"/>
  <c r="DB13" i="2"/>
  <c r="ET13" i="2"/>
  <c r="A7" i="8"/>
  <c r="A6" i="10"/>
  <c r="GD13" i="2"/>
  <c r="FN13" i="2"/>
  <c r="DC13" i="2"/>
  <c r="CF13" i="2"/>
  <c r="AJ13" i="2"/>
  <c r="K13" i="2"/>
  <c r="GN13" i="2"/>
  <c r="FM13" i="2"/>
  <c r="ES13" i="2"/>
  <c r="CQ13" i="2"/>
  <c r="BP13" i="2"/>
  <c r="AZ13" i="2"/>
  <c r="AI13" i="2"/>
  <c r="J13" i="2"/>
  <c r="AX13" i="2"/>
  <c r="AU13" i="2" a="1"/>
  <c r="AU13" i="2" s="1"/>
  <c r="BN13" i="2"/>
  <c r="BK13" i="2"/>
  <c r="CP13" i="2"/>
  <c r="CM13" i="2"/>
  <c r="I7" i="8" a="1"/>
  <c r="I7" i="8" s="1"/>
  <c r="M7" i="8" s="1"/>
  <c r="G7" i="8" a="1"/>
  <c r="G7" i="8" s="1"/>
  <c r="H7" i="8" s="1" a="1"/>
  <c r="H7" i="8" s="1"/>
  <c r="J7" i="8" a="1"/>
  <c r="J7" i="8" s="1"/>
  <c r="K7" i="8" s="1" a="1"/>
  <c r="K7" i="8" s="1"/>
  <c r="F7" i="8" a="1"/>
  <c r="F7" i="8" s="1"/>
  <c r="L7" i="8" s="1"/>
  <c r="BO13" i="2" l="1" a="1"/>
  <c r="BO13" i="2" s="1"/>
  <c r="GC13" i="2"/>
  <c r="EB14" i="2" a="1"/>
  <c r="EB14" i="2" s="1"/>
  <c r="GE15" i="2" a="1"/>
  <c r="GE15" i="2" s="1"/>
  <c r="GG15" i="2" a="1"/>
  <c r="GG15" i="2" s="1"/>
  <c r="GI15" i="2" a="1"/>
  <c r="GI15" i="2" s="1"/>
  <c r="FP15" i="2" a="1"/>
  <c r="FP15" i="2" s="1"/>
  <c r="FR15" i="2" a="1"/>
  <c r="FR15" i="2" s="1"/>
  <c r="FT15" i="2" a="1"/>
  <c r="FT15" i="2" s="1"/>
  <c r="GF15" i="2" a="1"/>
  <c r="GF15" i="2" s="1"/>
  <c r="GH15" i="2" a="1"/>
  <c r="GH15" i="2" s="1"/>
  <c r="GJ15" i="2" a="1"/>
  <c r="GJ15" i="2" s="1"/>
  <c r="FQ15" i="2" a="1"/>
  <c r="FQ15" i="2" s="1"/>
  <c r="FS15" i="2" a="1"/>
  <c r="FS15" i="2" s="1"/>
  <c r="FU15" i="2" a="1"/>
  <c r="FU15" i="2" s="1"/>
  <c r="EY15" i="2" a="1"/>
  <c r="EY15" i="2" s="1"/>
  <c r="FA15" i="2" a="1"/>
  <c r="FA15" i="2" s="1"/>
  <c r="FC15" i="2" a="1"/>
  <c r="FC15" i="2" s="1"/>
  <c r="FE15" i="2" a="1"/>
  <c r="FE15" i="2" s="1"/>
  <c r="EZ15" i="2" a="1"/>
  <c r="EZ15" i="2" s="1"/>
  <c r="FB15" i="2" a="1"/>
  <c r="FB15" i="2" s="1"/>
  <c r="FD15" i="2" a="1"/>
  <c r="FD15" i="2" s="1"/>
  <c r="EE15" i="2" a="1"/>
  <c r="EE15" i="2" s="1"/>
  <c r="ED15" i="2" a="1"/>
  <c r="ED15" i="2" s="1"/>
  <c r="EA15" i="2" a="1"/>
  <c r="EA15" i="2" s="1"/>
  <c r="DZ15" i="2" a="1"/>
  <c r="DZ15" i="2" s="1"/>
  <c r="DR15" i="2" a="1"/>
  <c r="DR15" i="2" s="1"/>
  <c r="DT15" i="2" a="1"/>
  <c r="DT15" i="2" s="1"/>
  <c r="DV15" i="2" a="1"/>
  <c r="DV15" i="2" s="1"/>
  <c r="DX15" i="2" a="1"/>
  <c r="DX15" i="2" s="1"/>
  <c r="DD15" i="2" a="1"/>
  <c r="DD15" i="2" s="1"/>
  <c r="DF15" i="2" a="1"/>
  <c r="DF15" i="2" s="1"/>
  <c r="DH15" i="2" a="1"/>
  <c r="DH15" i="2" s="1"/>
  <c r="DJ15" i="2" a="1"/>
  <c r="DJ15" i="2" s="1"/>
  <c r="CR15" i="2" a="1"/>
  <c r="CR15" i="2" s="1"/>
  <c r="CT15" i="2" a="1"/>
  <c r="CT15" i="2" s="1"/>
  <c r="CV15" i="2" a="1"/>
  <c r="CV15" i="2" s="1"/>
  <c r="CX15" i="2" a="1"/>
  <c r="CX15" i="2" s="1"/>
  <c r="DS15" i="2" a="1"/>
  <c r="DS15" i="2" s="1"/>
  <c r="DU15" i="2" a="1"/>
  <c r="DU15" i="2" s="1"/>
  <c r="DW15" i="2" a="1"/>
  <c r="DW15" i="2" s="1"/>
  <c r="DG15" i="2" a="1"/>
  <c r="DG15" i="2" s="1"/>
  <c r="CU15" i="2" a="1"/>
  <c r="CU15" i="2" s="1"/>
  <c r="CH15" i="2" a="1"/>
  <c r="CH15" i="2" s="1"/>
  <c r="CJ15" i="2" a="1"/>
  <c r="CJ15" i="2" s="1"/>
  <c r="CL15" i="2" a="1"/>
  <c r="CL15" i="2" s="1"/>
  <c r="BR15" i="2" a="1"/>
  <c r="BR15" i="2" s="1"/>
  <c r="BT15" i="2" a="1"/>
  <c r="BT15" i="2" s="1"/>
  <c r="BV15" i="2" a="1"/>
  <c r="BV15" i="2" s="1"/>
  <c r="BB15" i="2" a="1"/>
  <c r="BB15" i="2" s="1"/>
  <c r="BD15" i="2" a="1"/>
  <c r="BD15" i="2" s="1"/>
  <c r="BF15" i="2" a="1"/>
  <c r="BF15" i="2" s="1"/>
  <c r="AL15" i="2" a="1"/>
  <c r="AL15" i="2" s="1"/>
  <c r="AN15" i="2" a="1"/>
  <c r="AN15" i="2" s="1"/>
  <c r="AP15" i="2" a="1"/>
  <c r="AP15" i="2" s="1"/>
  <c r="DE15" i="2" a="1"/>
  <c r="DE15" i="2" s="1"/>
  <c r="DI15" i="2" a="1"/>
  <c r="DI15" i="2" s="1"/>
  <c r="CS15" i="2" a="1"/>
  <c r="CS15" i="2" s="1"/>
  <c r="CW15" i="2" a="1"/>
  <c r="CW15" i="2" s="1"/>
  <c r="CG15" i="2" a="1"/>
  <c r="CG15" i="2" s="1"/>
  <c r="CI15" i="2" a="1"/>
  <c r="CI15" i="2" s="1"/>
  <c r="CK15" i="2" a="1"/>
  <c r="CK15" i="2" s="1"/>
  <c r="BQ15" i="2" a="1"/>
  <c r="BQ15" i="2" s="1"/>
  <c r="BS15" i="2" a="1"/>
  <c r="BS15" i="2" s="1"/>
  <c r="BU15" i="2" a="1"/>
  <c r="BU15" i="2" s="1"/>
  <c r="BA15" i="2" a="1"/>
  <c r="BA15" i="2" s="1"/>
  <c r="BE15" i="2" a="1"/>
  <c r="BE15" i="2" s="1"/>
  <c r="AK15" i="2" a="1"/>
  <c r="AK15" i="2" s="1"/>
  <c r="AO15" i="2" a="1"/>
  <c r="AO15" i="2" s="1"/>
  <c r="U15" i="2" a="1"/>
  <c r="U15" i="2" s="1"/>
  <c r="W15" i="2" a="1"/>
  <c r="W15" i="2" s="1"/>
  <c r="Y15" i="2" a="1"/>
  <c r="Y15" i="2" s="1"/>
  <c r="AA15" i="2" a="1"/>
  <c r="AA15" i="2" s="1"/>
  <c r="L15" i="2" a="1"/>
  <c r="L15" i="2" s="1"/>
  <c r="N15" i="2" a="1"/>
  <c r="N15" i="2" s="1"/>
  <c r="P15" i="2" a="1"/>
  <c r="P15" i="2" s="1"/>
  <c r="BC15" i="2" a="1"/>
  <c r="BC15" i="2" s="1"/>
  <c r="AM15" i="2" a="1"/>
  <c r="AM15" i="2" s="1"/>
  <c r="V15" i="2" a="1"/>
  <c r="V15" i="2" s="1"/>
  <c r="X15" i="2" a="1"/>
  <c r="X15" i="2" s="1"/>
  <c r="Z15" i="2" a="1"/>
  <c r="Z15" i="2" s="1"/>
  <c r="M15" i="2" a="1"/>
  <c r="M15" i="2" s="1"/>
  <c r="O15" i="2" a="1"/>
  <c r="O15" i="2" s="1"/>
  <c r="EC14" i="2"/>
  <c r="EF14" i="2" a="1"/>
  <c r="EF14" i="2" s="1"/>
  <c r="DY14" i="2"/>
  <c r="P6" i="8"/>
  <c r="Q6" i="8" s="1"/>
  <c r="R6" i="8" s="1"/>
  <c r="EQ12" i="2" s="1" a="1"/>
  <c r="EQ12" i="2" s="1"/>
  <c r="D15" i="2" a="1"/>
  <c r="D15" i="2" s="1"/>
  <c r="E15" i="2" s="1" a="1"/>
  <c r="E15" i="2" s="1"/>
  <c r="AB14" i="2" a="1"/>
  <c r="AB14" i="2" s="1"/>
  <c r="GK15" i="2" a="1"/>
  <c r="GK15" i="2" s="1"/>
  <c r="GA15" i="2" a="1"/>
  <c r="GA15" i="2" s="1"/>
  <c r="FX15" i="2" a="1"/>
  <c r="FX15" i="2" s="1"/>
  <c r="C15" i="2" a="1"/>
  <c r="C15" i="2" s="1"/>
  <c r="CZ15" i="2" a="1"/>
  <c r="CZ15" i="2" s="1"/>
  <c r="CN15" i="2" a="1"/>
  <c r="CN15" i="2" s="1"/>
  <c r="CC15" i="2" a="1"/>
  <c r="CC15" i="2" s="1"/>
  <c r="BZ15" i="2" a="1"/>
  <c r="BZ15" i="2" s="1"/>
  <c r="EU15" i="2" a="1"/>
  <c r="EU15" i="2" s="1"/>
  <c r="DL15" i="2" a="1"/>
  <c r="DL15" i="2" s="1"/>
  <c r="AR15" i="2" a="1"/>
  <c r="AR15" i="2" s="1"/>
  <c r="BL15" i="2" a="1"/>
  <c r="BL15" i="2" s="1"/>
  <c r="BH15" i="2" a="1"/>
  <c r="BH15" i="2" s="1"/>
  <c r="AV15" i="2" a="1"/>
  <c r="AV15" i="2" s="1"/>
  <c r="GB15" i="2" a="1"/>
  <c r="GB15" i="2" s="1"/>
  <c r="FK15" i="2" a="1"/>
  <c r="FK15" i="2" s="1"/>
  <c r="FJ15" i="2" a="1"/>
  <c r="FJ15" i="2" s="1"/>
  <c r="FG15" i="2" a="1"/>
  <c r="FG15" i="2" s="1"/>
  <c r="FY15" i="2" a="1"/>
  <c r="FY15" i="2" s="1"/>
  <c r="CA15" i="2" a="1"/>
  <c r="CA15" i="2" s="1"/>
  <c r="BM15" i="2" a="1"/>
  <c r="BM15" i="2" s="1"/>
  <c r="AW15" i="2" a="1"/>
  <c r="AW15" i="2" s="1"/>
  <c r="AD15" i="2" a="1"/>
  <c r="AD15" i="2" s="1"/>
  <c r="AC15" i="2" a="1"/>
  <c r="AC15" i="2" s="1"/>
  <c r="AS15" i="2" a="1"/>
  <c r="AS15" i="2" s="1"/>
  <c r="F15" i="2" a="1"/>
  <c r="F15" i="2" s="1"/>
  <c r="FH15" i="2" a="1"/>
  <c r="FH15" i="2" s="1"/>
  <c r="CD15" i="2" a="1"/>
  <c r="CD15" i="2" s="1"/>
  <c r="BI15" i="2" a="1"/>
  <c r="BI15" i="2" s="1"/>
  <c r="N7" i="8"/>
  <c r="DN14" i="2"/>
  <c r="O7" i="8"/>
  <c r="AY13" i="2" a="1"/>
  <c r="AY13" i="2" s="1"/>
  <c r="AE14" i="2" a="1"/>
  <c r="AE14" i="2" s="1"/>
  <c r="AT14" i="2"/>
  <c r="AQ14" i="2" a="1"/>
  <c r="AQ14" i="2" s="1"/>
  <c r="BY14" i="2"/>
  <c r="CY14" i="2"/>
  <c r="DB14" i="2"/>
  <c r="ET14" i="2"/>
  <c r="FI14" i="2"/>
  <c r="FZ14" i="2"/>
  <c r="A7" i="10"/>
  <c r="A8" i="8"/>
  <c r="GD14" i="2"/>
  <c r="FN14" i="2"/>
  <c r="DC14" i="2"/>
  <c r="CF14" i="2"/>
  <c r="AJ14" i="2"/>
  <c r="K14" i="2"/>
  <c r="GN14" i="2"/>
  <c r="FM14" i="2"/>
  <c r="ES14" i="2"/>
  <c r="CQ14" i="2"/>
  <c r="BP14" i="2"/>
  <c r="AZ14" i="2"/>
  <c r="AI14" i="2"/>
  <c r="J14" i="2"/>
  <c r="AX14" i="2"/>
  <c r="AU14" i="2" a="1"/>
  <c r="AU14" i="2" s="1"/>
  <c r="BJ14" i="2"/>
  <c r="BN14" i="2"/>
  <c r="BK14" i="2"/>
  <c r="CB14" i="2"/>
  <c r="CP14" i="2"/>
  <c r="CM14" i="2"/>
  <c r="I8" i="8" a="1"/>
  <c r="I8" i="8" s="1"/>
  <c r="M8" i="8" s="1"/>
  <c r="G8" i="8" a="1"/>
  <c r="G8" i="8" s="1"/>
  <c r="H8" i="8" s="1" a="1"/>
  <c r="H8" i="8" s="1"/>
  <c r="J8" i="8" a="1"/>
  <c r="J8" i="8" s="1"/>
  <c r="K8" i="8" s="1" a="1"/>
  <c r="K8" i="8" s="1"/>
  <c r="F8" i="8" a="1"/>
  <c r="F8" i="8" s="1"/>
  <c r="L8" i="8" s="1"/>
  <c r="E7" i="8"/>
  <c r="C8" i="8"/>
  <c r="EK14" i="2"/>
  <c r="E8" i="8" s="1"/>
  <c r="B8" i="10"/>
  <c r="B9" i="8"/>
  <c r="DM15" i="2" a="1"/>
  <c r="DM15" i="2" s="1"/>
  <c r="CO15" i="2" a="1"/>
  <c r="CO15" i="2" s="1"/>
  <c r="G15" i="2" a="1"/>
  <c r="G15" i="2" s="1"/>
  <c r="H15" i="2" s="1" a="1"/>
  <c r="H15" i="2" s="1"/>
  <c r="A15" i="2"/>
  <c r="DQ15" i="2" s="1"/>
  <c r="B16" i="2"/>
  <c r="GL15" i="2" a="1"/>
  <c r="GL15" i="2" s="1"/>
  <c r="EV15" i="2" a="1"/>
  <c r="EV15" i="2" s="1"/>
  <c r="EW15" i="2" s="1"/>
  <c r="EJ15" i="2" a="1"/>
  <c r="EJ15" i="2" s="1"/>
  <c r="D9" i="8" s="1"/>
  <c r="EI15" i="2" a="1"/>
  <c r="EI15" i="2" s="1"/>
  <c r="DA15" i="2" a="1"/>
  <c r="DA15" i="2" s="1"/>
  <c r="AG15" i="2" a="1"/>
  <c r="AG15" i="2" s="1"/>
  <c r="AF15" i="2" a="1"/>
  <c r="AF15" i="2" s="1"/>
  <c r="S15" i="2" a="1"/>
  <c r="S15" i="2" s="1"/>
  <c r="Q15" i="2" a="1"/>
  <c r="Q15" i="2" s="1"/>
  <c r="I14" i="2"/>
  <c r="DK14" i="2"/>
  <c r="FF14" i="2"/>
  <c r="FW14" i="2"/>
  <c r="DY15" i="2" l="1"/>
  <c r="EB15" i="2" a="1"/>
  <c r="EB15" i="2" s="1"/>
  <c r="EC15" i="2"/>
  <c r="EF15" i="2" a="1"/>
  <c r="EF15" i="2" s="1"/>
  <c r="GC14" i="2"/>
  <c r="FL14" i="2" a="1"/>
  <c r="FL14" i="2" s="1"/>
  <c r="GE16" i="2" a="1"/>
  <c r="GE16" i="2" s="1"/>
  <c r="GG16" i="2" a="1"/>
  <c r="GG16" i="2" s="1"/>
  <c r="GI16" i="2" a="1"/>
  <c r="GI16" i="2" s="1"/>
  <c r="FP16" i="2" a="1"/>
  <c r="FP16" i="2" s="1"/>
  <c r="FR16" i="2" a="1"/>
  <c r="FR16" i="2" s="1"/>
  <c r="FT16" i="2" a="1"/>
  <c r="FT16" i="2" s="1"/>
  <c r="GF16" i="2" a="1"/>
  <c r="GF16" i="2" s="1"/>
  <c r="GH16" i="2" a="1"/>
  <c r="GH16" i="2" s="1"/>
  <c r="GJ16" i="2" a="1"/>
  <c r="GJ16" i="2" s="1"/>
  <c r="FQ16" i="2" a="1"/>
  <c r="FQ16" i="2" s="1"/>
  <c r="FS16" i="2" a="1"/>
  <c r="FS16" i="2" s="1"/>
  <c r="FU16" i="2" a="1"/>
  <c r="FU16" i="2" s="1"/>
  <c r="EZ16" i="2" a="1"/>
  <c r="EZ16" i="2" s="1"/>
  <c r="FB16" i="2" a="1"/>
  <c r="FB16" i="2" s="1"/>
  <c r="FD16" i="2" a="1"/>
  <c r="FD16" i="2" s="1"/>
  <c r="EE16" i="2" a="1"/>
  <c r="EE16" i="2" s="1"/>
  <c r="ED16" i="2" a="1"/>
  <c r="ED16" i="2" s="1"/>
  <c r="EA16" i="2" a="1"/>
  <c r="EA16" i="2" s="1"/>
  <c r="DZ16" i="2" a="1"/>
  <c r="DZ16" i="2" s="1"/>
  <c r="EY16" i="2" a="1"/>
  <c r="EY16" i="2" s="1"/>
  <c r="FA16" i="2" a="1"/>
  <c r="FA16" i="2" s="1"/>
  <c r="FC16" i="2" a="1"/>
  <c r="FC16" i="2" s="1"/>
  <c r="FE16" i="2" a="1"/>
  <c r="FE16" i="2" s="1"/>
  <c r="DS16" i="2" a="1"/>
  <c r="DS16" i="2" s="1"/>
  <c r="DU16" i="2" a="1"/>
  <c r="DU16" i="2" s="1"/>
  <c r="DW16" i="2" a="1"/>
  <c r="DW16" i="2" s="1"/>
  <c r="DE16" i="2" a="1"/>
  <c r="DE16" i="2" s="1"/>
  <c r="DG16" i="2" a="1"/>
  <c r="DG16" i="2" s="1"/>
  <c r="DI16" i="2" a="1"/>
  <c r="DI16" i="2" s="1"/>
  <c r="CS16" i="2" a="1"/>
  <c r="CS16" i="2" s="1"/>
  <c r="CU16" i="2" a="1"/>
  <c r="CU16" i="2" s="1"/>
  <c r="CW16" i="2" a="1"/>
  <c r="CW16" i="2" s="1"/>
  <c r="DR16" i="2" a="1"/>
  <c r="DR16" i="2" s="1"/>
  <c r="DT16" i="2" a="1"/>
  <c r="DT16" i="2" s="1"/>
  <c r="DV16" i="2" a="1"/>
  <c r="DV16" i="2" s="1"/>
  <c r="DX16" i="2" a="1"/>
  <c r="DX16" i="2" s="1"/>
  <c r="DD16" i="2" a="1"/>
  <c r="DD16" i="2" s="1"/>
  <c r="DH16" i="2" a="1"/>
  <c r="DH16" i="2" s="1"/>
  <c r="CR16" i="2" a="1"/>
  <c r="CR16" i="2" s="1"/>
  <c r="CV16" i="2" a="1"/>
  <c r="CV16" i="2" s="1"/>
  <c r="CH16" i="2" a="1"/>
  <c r="CH16" i="2" s="1"/>
  <c r="CJ16" i="2" a="1"/>
  <c r="CJ16" i="2" s="1"/>
  <c r="CL16" i="2" a="1"/>
  <c r="CL16" i="2" s="1"/>
  <c r="BR16" i="2" a="1"/>
  <c r="BR16" i="2" s="1"/>
  <c r="BT16" i="2" a="1"/>
  <c r="BT16" i="2" s="1"/>
  <c r="BV16" i="2" a="1"/>
  <c r="BV16" i="2" s="1"/>
  <c r="BB16" i="2" a="1"/>
  <c r="BB16" i="2" s="1"/>
  <c r="BD16" i="2" a="1"/>
  <c r="BD16" i="2" s="1"/>
  <c r="BF16" i="2" a="1"/>
  <c r="BF16" i="2" s="1"/>
  <c r="AL16" i="2" a="1"/>
  <c r="AL16" i="2" s="1"/>
  <c r="AN16" i="2" a="1"/>
  <c r="AN16" i="2" s="1"/>
  <c r="AP16" i="2" a="1"/>
  <c r="AP16" i="2" s="1"/>
  <c r="DF16" i="2" a="1"/>
  <c r="DF16" i="2" s="1"/>
  <c r="DJ16" i="2" a="1"/>
  <c r="DJ16" i="2" s="1"/>
  <c r="CT16" i="2" a="1"/>
  <c r="CT16" i="2" s="1"/>
  <c r="CX16" i="2" a="1"/>
  <c r="CX16" i="2" s="1"/>
  <c r="CG16" i="2" a="1"/>
  <c r="CG16" i="2" s="1"/>
  <c r="CI16" i="2" a="1"/>
  <c r="CI16" i="2" s="1"/>
  <c r="CK16" i="2" a="1"/>
  <c r="CK16" i="2" s="1"/>
  <c r="BQ16" i="2" a="1"/>
  <c r="BQ16" i="2" s="1"/>
  <c r="BS16" i="2" a="1"/>
  <c r="BS16" i="2" s="1"/>
  <c r="BU16" i="2" a="1"/>
  <c r="BU16" i="2" s="1"/>
  <c r="BC16" i="2" a="1"/>
  <c r="BC16" i="2" s="1"/>
  <c r="AM16" i="2" a="1"/>
  <c r="AM16" i="2" s="1"/>
  <c r="V16" i="2" a="1"/>
  <c r="V16" i="2" s="1"/>
  <c r="X16" i="2" a="1"/>
  <c r="X16" i="2" s="1"/>
  <c r="Z16" i="2" a="1"/>
  <c r="Z16" i="2" s="1"/>
  <c r="M16" i="2" a="1"/>
  <c r="M16" i="2" s="1"/>
  <c r="O16" i="2" a="1"/>
  <c r="O16" i="2" s="1"/>
  <c r="BA16" i="2" a="1"/>
  <c r="BA16" i="2" s="1"/>
  <c r="BE16" i="2" a="1"/>
  <c r="BE16" i="2" s="1"/>
  <c r="AK16" i="2" a="1"/>
  <c r="AK16" i="2" s="1"/>
  <c r="AO16" i="2" a="1"/>
  <c r="AO16" i="2" s="1"/>
  <c r="U16" i="2" a="1"/>
  <c r="U16" i="2" s="1"/>
  <c r="W16" i="2" a="1"/>
  <c r="W16" i="2" s="1"/>
  <c r="Y16" i="2" a="1"/>
  <c r="Y16" i="2" s="1"/>
  <c r="AA16" i="2" a="1"/>
  <c r="AA16" i="2" s="1"/>
  <c r="L16" i="2" a="1"/>
  <c r="L16" i="2" s="1"/>
  <c r="N16" i="2" a="1"/>
  <c r="N16" i="2" s="1"/>
  <c r="P16" i="2" a="1"/>
  <c r="P16" i="2" s="1"/>
  <c r="D16" i="2" a="1"/>
  <c r="D16" i="2" s="1"/>
  <c r="E16" i="2" s="1" a="1"/>
  <c r="E16" i="2" s="1"/>
  <c r="P7" i="8"/>
  <c r="Q7" i="8" s="1"/>
  <c r="R7" i="8" s="1"/>
  <c r="EQ13" i="2" s="1"/>
  <c r="GA16" i="2" a="1"/>
  <c r="GA16" i="2" s="1"/>
  <c r="C16" i="2" a="1"/>
  <c r="C16" i="2" s="1"/>
  <c r="GK16" i="2" a="1"/>
  <c r="GK16" i="2" s="1"/>
  <c r="FX16" i="2" a="1"/>
  <c r="FX16" i="2" s="1"/>
  <c r="EU16" i="2" a="1"/>
  <c r="EU16" i="2" s="1"/>
  <c r="DL16" i="2" a="1"/>
  <c r="DL16" i="2" s="1"/>
  <c r="BL16" i="2" a="1"/>
  <c r="BL16" i="2" s="1"/>
  <c r="BH16" i="2" a="1"/>
  <c r="BH16" i="2" s="1"/>
  <c r="AV16" i="2" a="1"/>
  <c r="AV16" i="2" s="1"/>
  <c r="CZ16" i="2" a="1"/>
  <c r="CZ16" i="2" s="1"/>
  <c r="CN16" i="2" a="1"/>
  <c r="CN16" i="2" s="1"/>
  <c r="CC16" i="2" a="1"/>
  <c r="CC16" i="2" s="1"/>
  <c r="BZ16" i="2" a="1"/>
  <c r="BZ16" i="2" s="1"/>
  <c r="AR16" i="2" a="1"/>
  <c r="AR16" i="2" s="1"/>
  <c r="AB15" i="2" a="1"/>
  <c r="AB15" i="2" s="1"/>
  <c r="GB16" i="2" a="1"/>
  <c r="GB16" i="2" s="1"/>
  <c r="FY16" i="2" a="1"/>
  <c r="FY16" i="2" s="1"/>
  <c r="FK16" i="2" a="1"/>
  <c r="FK16" i="2" s="1"/>
  <c r="FJ16" i="2" a="1"/>
  <c r="FJ16" i="2" s="1"/>
  <c r="FH16" i="2" a="1"/>
  <c r="FH16" i="2" s="1"/>
  <c r="FG16" i="2" a="1"/>
  <c r="FG16" i="2" s="1"/>
  <c r="CD16" i="2" a="1"/>
  <c r="CD16" i="2" s="1"/>
  <c r="BM16" i="2" a="1"/>
  <c r="BM16" i="2" s="1"/>
  <c r="AW16" i="2" a="1"/>
  <c r="AW16" i="2" s="1"/>
  <c r="AD16" i="2" a="1"/>
  <c r="AD16" i="2" s="1"/>
  <c r="CA16" i="2" a="1"/>
  <c r="CA16" i="2" s="1"/>
  <c r="BI16" i="2" a="1"/>
  <c r="BI16" i="2" s="1"/>
  <c r="AC16" i="2" a="1"/>
  <c r="AC16" i="2" s="1"/>
  <c r="AS16" i="2" a="1"/>
  <c r="AS16" i="2" s="1"/>
  <c r="F16" i="2" a="1"/>
  <c r="F16" i="2" s="1"/>
  <c r="N8" i="8"/>
  <c r="DN15" i="2"/>
  <c r="C9" i="8"/>
  <c r="EK15" i="2"/>
  <c r="B9" i="10"/>
  <c r="B10" i="8"/>
  <c r="DM16" i="2" a="1"/>
  <c r="DM16" i="2" s="1"/>
  <c r="CO16" i="2" a="1"/>
  <c r="CO16" i="2" s="1"/>
  <c r="G16" i="2" a="1"/>
  <c r="G16" i="2" s="1"/>
  <c r="H16" i="2" s="1" a="1"/>
  <c r="H16" i="2" s="1"/>
  <c r="A16" i="2"/>
  <c r="DQ16" i="2" s="1"/>
  <c r="B17" i="2"/>
  <c r="GL16" i="2" a="1"/>
  <c r="GL16" i="2" s="1"/>
  <c r="EV16" i="2" a="1"/>
  <c r="EV16" i="2" s="1"/>
  <c r="EW16" i="2" s="1"/>
  <c r="EJ16" i="2" a="1"/>
  <c r="EJ16" i="2" s="1"/>
  <c r="D10" i="8" s="1"/>
  <c r="EI16" i="2" a="1"/>
  <c r="EI16" i="2" s="1"/>
  <c r="DA16" i="2" a="1"/>
  <c r="DA16" i="2" s="1"/>
  <c r="AG16" i="2" a="1"/>
  <c r="AG16" i="2" s="1"/>
  <c r="AF16" i="2" a="1"/>
  <c r="AF16" i="2" s="1"/>
  <c r="S16" i="2" a="1"/>
  <c r="S16" i="2" s="1"/>
  <c r="Q16" i="2" a="1"/>
  <c r="Q16" i="2" s="1"/>
  <c r="I15" i="2"/>
  <c r="DK15" i="2"/>
  <c r="FL15" i="2" a="1"/>
  <c r="FL15" i="2" s="1"/>
  <c r="FF15" i="2"/>
  <c r="GC15" i="2"/>
  <c r="FW15" i="2"/>
  <c r="O8" i="8"/>
  <c r="P8" i="8" s="1"/>
  <c r="Q8" i="8" s="1"/>
  <c r="R8" i="8" s="1"/>
  <c r="EQ14" i="2" s="1"/>
  <c r="AH14" i="2" a="1"/>
  <c r="AH14" i="2" s="1"/>
  <c r="AH15" i="2" a="1"/>
  <c r="AH15" i="2" s="1"/>
  <c r="AE15" i="2" a="1"/>
  <c r="AE15" i="2" s="1"/>
  <c r="AT15" i="2"/>
  <c r="AQ15" i="2" a="1"/>
  <c r="AQ15" i="2" s="1"/>
  <c r="CE15" i="2" a="1"/>
  <c r="CE15" i="2" s="1"/>
  <c r="BY15" i="2"/>
  <c r="CY15" i="2"/>
  <c r="DB15" i="2"/>
  <c r="ET15" i="2"/>
  <c r="FI15" i="2"/>
  <c r="FZ15" i="2"/>
  <c r="A8" i="10"/>
  <c r="A9" i="8"/>
  <c r="GD15" i="2"/>
  <c r="FN15" i="2"/>
  <c r="DC15" i="2"/>
  <c r="CF15" i="2"/>
  <c r="AJ15" i="2"/>
  <c r="K15" i="2"/>
  <c r="GN15" i="2"/>
  <c r="FM15" i="2"/>
  <c r="ES15" i="2"/>
  <c r="CQ15" i="2"/>
  <c r="BP15" i="2"/>
  <c r="AZ15" i="2"/>
  <c r="AI15" i="2"/>
  <c r="J15" i="2"/>
  <c r="AX15" i="2"/>
  <c r="AU15" i="2" a="1"/>
  <c r="AU15" i="2" s="1"/>
  <c r="BJ15" i="2"/>
  <c r="BN15" i="2"/>
  <c r="BK15" i="2"/>
  <c r="CB15" i="2"/>
  <c r="CP15" i="2"/>
  <c r="CM15" i="2"/>
  <c r="I9" i="8" a="1"/>
  <c r="I9" i="8" s="1"/>
  <c r="M9" i="8" s="1"/>
  <c r="G9" i="8" a="1"/>
  <c r="G9" i="8" s="1"/>
  <c r="H9" i="8" s="1" a="1"/>
  <c r="H9" i="8" s="1"/>
  <c r="J9" i="8" a="1"/>
  <c r="J9" i="8" s="1"/>
  <c r="K9" i="8" s="1" a="1"/>
  <c r="K9" i="8" s="1"/>
  <c r="F9" i="8" a="1"/>
  <c r="F9" i="8" s="1"/>
  <c r="L9" i="8" s="1"/>
  <c r="BO14" i="2" a="1"/>
  <c r="BO14" i="2" s="1"/>
  <c r="CE14" i="2" a="1"/>
  <c r="CE14" i="2" s="1"/>
  <c r="AY14" i="2" a="1"/>
  <c r="AY14" i="2" s="1"/>
  <c r="DY16" i="2" l="1"/>
  <c r="EB16" i="2" a="1"/>
  <c r="EB16" i="2" s="1"/>
  <c r="EC16" i="2"/>
  <c r="EF16" i="2" a="1"/>
  <c r="EF16" i="2" s="1"/>
  <c r="GE17" i="2" a="1"/>
  <c r="GE17" i="2" s="1"/>
  <c r="GG17" i="2" a="1"/>
  <c r="GG17" i="2" s="1"/>
  <c r="GI17" i="2" a="1"/>
  <c r="GI17" i="2" s="1"/>
  <c r="FP17" i="2" a="1"/>
  <c r="FP17" i="2" s="1"/>
  <c r="FR17" i="2" a="1"/>
  <c r="FR17" i="2" s="1"/>
  <c r="FT17" i="2" a="1"/>
  <c r="FT17" i="2" s="1"/>
  <c r="GF17" i="2" a="1"/>
  <c r="GF17" i="2" s="1"/>
  <c r="GH17" i="2" a="1"/>
  <c r="GH17" i="2" s="1"/>
  <c r="GJ17" i="2" a="1"/>
  <c r="GJ17" i="2" s="1"/>
  <c r="FQ17" i="2" a="1"/>
  <c r="FQ17" i="2" s="1"/>
  <c r="FS17" i="2" a="1"/>
  <c r="FS17" i="2" s="1"/>
  <c r="FU17" i="2" a="1"/>
  <c r="FU17" i="2" s="1"/>
  <c r="EY17" i="2" a="1"/>
  <c r="EY17" i="2" s="1"/>
  <c r="FA17" i="2" a="1"/>
  <c r="FA17" i="2" s="1"/>
  <c r="FC17" i="2" a="1"/>
  <c r="FC17" i="2" s="1"/>
  <c r="FE17" i="2" a="1"/>
  <c r="FE17" i="2" s="1"/>
  <c r="EZ17" i="2" a="1"/>
  <c r="EZ17" i="2" s="1"/>
  <c r="FB17" i="2" a="1"/>
  <c r="FB17" i="2" s="1"/>
  <c r="FD17" i="2" a="1"/>
  <c r="FD17" i="2" s="1"/>
  <c r="EE17" i="2" a="1"/>
  <c r="EE17" i="2" s="1"/>
  <c r="ED17" i="2" a="1"/>
  <c r="ED17" i="2" s="1"/>
  <c r="EA17" i="2" a="1"/>
  <c r="EA17" i="2" s="1"/>
  <c r="DZ17" i="2" a="1"/>
  <c r="DZ17" i="2" s="1"/>
  <c r="DR17" i="2" a="1"/>
  <c r="DR17" i="2" s="1"/>
  <c r="DT17" i="2" a="1"/>
  <c r="DT17" i="2" s="1"/>
  <c r="DV17" i="2" a="1"/>
  <c r="DV17" i="2" s="1"/>
  <c r="DX17" i="2" a="1"/>
  <c r="DX17" i="2" s="1"/>
  <c r="DD17" i="2" a="1"/>
  <c r="DD17" i="2" s="1"/>
  <c r="DF17" i="2" a="1"/>
  <c r="DF17" i="2" s="1"/>
  <c r="DH17" i="2" a="1"/>
  <c r="DH17" i="2" s="1"/>
  <c r="DJ17" i="2" a="1"/>
  <c r="DJ17" i="2" s="1"/>
  <c r="CR17" i="2" a="1"/>
  <c r="CR17" i="2" s="1"/>
  <c r="CT17" i="2" a="1"/>
  <c r="CT17" i="2" s="1"/>
  <c r="CV17" i="2" a="1"/>
  <c r="CV17" i="2" s="1"/>
  <c r="CX17" i="2" a="1"/>
  <c r="CX17" i="2" s="1"/>
  <c r="DS17" i="2" a="1"/>
  <c r="DS17" i="2" s="1"/>
  <c r="DU17" i="2" a="1"/>
  <c r="DU17" i="2" s="1"/>
  <c r="DW17" i="2" a="1"/>
  <c r="DW17" i="2" s="1"/>
  <c r="DE17" i="2" a="1"/>
  <c r="DE17" i="2" s="1"/>
  <c r="DI17" i="2" a="1"/>
  <c r="DI17" i="2" s="1"/>
  <c r="CS17" i="2" a="1"/>
  <c r="CS17" i="2" s="1"/>
  <c r="CW17" i="2" a="1"/>
  <c r="CW17" i="2" s="1"/>
  <c r="CH17" i="2" a="1"/>
  <c r="CH17" i="2" s="1"/>
  <c r="CJ17" i="2" a="1"/>
  <c r="CJ17" i="2" s="1"/>
  <c r="CL17" i="2" a="1"/>
  <c r="CL17" i="2" s="1"/>
  <c r="BR17" i="2" a="1"/>
  <c r="BR17" i="2" s="1"/>
  <c r="BT17" i="2" a="1"/>
  <c r="BT17" i="2" s="1"/>
  <c r="BV17" i="2" a="1"/>
  <c r="BV17" i="2" s="1"/>
  <c r="BB17" i="2" a="1"/>
  <c r="BB17" i="2" s="1"/>
  <c r="BD17" i="2" a="1"/>
  <c r="BD17" i="2" s="1"/>
  <c r="BF17" i="2" a="1"/>
  <c r="BF17" i="2" s="1"/>
  <c r="AL17" i="2" a="1"/>
  <c r="AL17" i="2" s="1"/>
  <c r="AN17" i="2" a="1"/>
  <c r="AN17" i="2" s="1"/>
  <c r="AP17" i="2" a="1"/>
  <c r="AP17" i="2" s="1"/>
  <c r="DG17" i="2" a="1"/>
  <c r="DG17" i="2" s="1"/>
  <c r="CU17" i="2" a="1"/>
  <c r="CU17" i="2" s="1"/>
  <c r="CG17" i="2" a="1"/>
  <c r="CG17" i="2" s="1"/>
  <c r="CI17" i="2" a="1"/>
  <c r="CI17" i="2" s="1"/>
  <c r="CK17" i="2" a="1"/>
  <c r="CK17" i="2" s="1"/>
  <c r="BQ17" i="2" a="1"/>
  <c r="BQ17" i="2" s="1"/>
  <c r="BS17" i="2" a="1"/>
  <c r="BS17" i="2" s="1"/>
  <c r="BU17" i="2" a="1"/>
  <c r="BU17" i="2" s="1"/>
  <c r="BA17" i="2" a="1"/>
  <c r="BA17" i="2" s="1"/>
  <c r="BE17" i="2" a="1"/>
  <c r="BE17" i="2" s="1"/>
  <c r="AK17" i="2" a="1"/>
  <c r="AK17" i="2" s="1"/>
  <c r="AO17" i="2" a="1"/>
  <c r="AO17" i="2" s="1"/>
  <c r="U17" i="2" a="1"/>
  <c r="U17" i="2" s="1"/>
  <c r="W17" i="2" a="1"/>
  <c r="W17" i="2" s="1"/>
  <c r="Y17" i="2" a="1"/>
  <c r="Y17" i="2" s="1"/>
  <c r="AA17" i="2" a="1"/>
  <c r="AA17" i="2" s="1"/>
  <c r="L17" i="2" a="1"/>
  <c r="L17" i="2" s="1"/>
  <c r="N17" i="2" a="1"/>
  <c r="N17" i="2" s="1"/>
  <c r="P17" i="2" a="1"/>
  <c r="P17" i="2" s="1"/>
  <c r="BC17" i="2" a="1"/>
  <c r="BC17" i="2" s="1"/>
  <c r="AM17" i="2" a="1"/>
  <c r="AM17" i="2" s="1"/>
  <c r="V17" i="2" a="1"/>
  <c r="V17" i="2" s="1"/>
  <c r="X17" i="2" a="1"/>
  <c r="X17" i="2" s="1"/>
  <c r="Z17" i="2" a="1"/>
  <c r="Z17" i="2" s="1"/>
  <c r="M17" i="2" a="1"/>
  <c r="M17" i="2" s="1"/>
  <c r="O17" i="2" a="1"/>
  <c r="O17" i="2" s="1"/>
  <c r="D17" i="2" a="1"/>
  <c r="D17" i="2" s="1"/>
  <c r="E17" i="2" s="1" a="1"/>
  <c r="E17" i="2" s="1"/>
  <c r="AB16" i="2" a="1"/>
  <c r="AB16" i="2" s="1"/>
  <c r="C17" i="2" a="1"/>
  <c r="C17" i="2" s="1"/>
  <c r="GK17" i="2" a="1"/>
  <c r="GK17" i="2" s="1"/>
  <c r="FX17" i="2" a="1"/>
  <c r="FX17" i="2" s="1"/>
  <c r="CZ17" i="2" a="1"/>
  <c r="CZ17" i="2" s="1"/>
  <c r="CN17" i="2" a="1"/>
  <c r="CN17" i="2" s="1"/>
  <c r="CC17" i="2" a="1"/>
  <c r="CC17" i="2" s="1"/>
  <c r="BZ17" i="2" a="1"/>
  <c r="BZ17" i="2" s="1"/>
  <c r="BL17" i="2" a="1"/>
  <c r="BL17" i="2" s="1"/>
  <c r="AR17" i="2" a="1"/>
  <c r="AR17" i="2" s="1"/>
  <c r="GA17" i="2" a="1"/>
  <c r="GA17" i="2" s="1"/>
  <c r="EU17" i="2" a="1"/>
  <c r="EU17" i="2" s="1"/>
  <c r="DL17" i="2" a="1"/>
  <c r="DL17" i="2" s="1"/>
  <c r="BH17" i="2" a="1"/>
  <c r="BH17" i="2" s="1"/>
  <c r="AV17" i="2" a="1"/>
  <c r="AV17" i="2" s="1"/>
  <c r="GB17" i="2" a="1"/>
  <c r="GB17" i="2" s="1"/>
  <c r="FK17" i="2" a="1"/>
  <c r="FK17" i="2" s="1"/>
  <c r="FY17" i="2" a="1"/>
  <c r="FY17" i="2" s="1"/>
  <c r="FJ17" i="2" a="1"/>
  <c r="FJ17" i="2" s="1"/>
  <c r="FG17" i="2" a="1"/>
  <c r="FG17" i="2" s="1"/>
  <c r="CA17" i="2" a="1"/>
  <c r="CA17" i="2" s="1"/>
  <c r="BM17" i="2" a="1"/>
  <c r="BM17" i="2" s="1"/>
  <c r="BI17" i="2" a="1"/>
  <c r="BI17" i="2" s="1"/>
  <c r="AW17" i="2" a="1"/>
  <c r="AW17" i="2" s="1"/>
  <c r="AD17" i="2" a="1"/>
  <c r="AD17" i="2" s="1"/>
  <c r="AC17" i="2" a="1"/>
  <c r="AC17" i="2" s="1"/>
  <c r="FH17" i="2" a="1"/>
  <c r="FH17" i="2" s="1"/>
  <c r="CD17" i="2" a="1"/>
  <c r="CD17" i="2" s="1"/>
  <c r="AS17" i="2" a="1"/>
  <c r="AS17" i="2" s="1"/>
  <c r="F17" i="2" a="1"/>
  <c r="F17" i="2" s="1"/>
  <c r="N9" i="8"/>
  <c r="DN16" i="2"/>
  <c r="BO15" i="2" a="1"/>
  <c r="BO15" i="2" s="1"/>
  <c r="AY15" i="2" a="1"/>
  <c r="AY15" i="2" s="1"/>
  <c r="AE16" i="2" a="1"/>
  <c r="AE16" i="2" s="1"/>
  <c r="AT16" i="2"/>
  <c r="AQ16" i="2" a="1"/>
  <c r="AQ16" i="2" s="1"/>
  <c r="BY16" i="2"/>
  <c r="CY16" i="2"/>
  <c r="DB16" i="2"/>
  <c r="ET16" i="2"/>
  <c r="FI16" i="2"/>
  <c r="FZ16" i="2"/>
  <c r="A9" i="10"/>
  <c r="A10" i="8"/>
  <c r="GD16" i="2"/>
  <c r="FN16" i="2"/>
  <c r="DC16" i="2"/>
  <c r="CF16" i="2"/>
  <c r="AJ16" i="2"/>
  <c r="K16" i="2"/>
  <c r="GN16" i="2"/>
  <c r="FM16" i="2"/>
  <c r="ES16" i="2"/>
  <c r="CQ16" i="2"/>
  <c r="BP16" i="2"/>
  <c r="AZ16" i="2"/>
  <c r="AI16" i="2"/>
  <c r="J16" i="2"/>
  <c r="AX16" i="2"/>
  <c r="AU16" i="2" a="1"/>
  <c r="AU16" i="2" s="1"/>
  <c r="BJ16" i="2"/>
  <c r="BN16" i="2"/>
  <c r="BK16" i="2"/>
  <c r="CB16" i="2"/>
  <c r="CP16" i="2"/>
  <c r="CM16" i="2"/>
  <c r="I10" i="8" a="1"/>
  <c r="I10" i="8" s="1"/>
  <c r="M10" i="8" s="1"/>
  <c r="G10" i="8" a="1"/>
  <c r="G10" i="8" s="1"/>
  <c r="H10" i="8" s="1" a="1"/>
  <c r="H10" i="8" s="1"/>
  <c r="J10" i="8" a="1"/>
  <c r="J10" i="8" s="1"/>
  <c r="K10" i="8" s="1" a="1"/>
  <c r="K10" i="8" s="1"/>
  <c r="F10" i="8" a="1"/>
  <c r="F10" i="8" s="1"/>
  <c r="L10" i="8" s="1"/>
  <c r="E9" i="8"/>
  <c r="O9" i="8"/>
  <c r="C10" i="8"/>
  <c r="EK16" i="2"/>
  <c r="E10" i="8" s="1"/>
  <c r="B10" i="10"/>
  <c r="B11" i="8"/>
  <c r="DM17" i="2" a="1"/>
  <c r="DM17" i="2" s="1"/>
  <c r="CO17" i="2" a="1"/>
  <c r="CO17" i="2" s="1"/>
  <c r="G17" i="2" a="1"/>
  <c r="G17" i="2" s="1"/>
  <c r="H17" i="2" s="1" a="1"/>
  <c r="H17" i="2" s="1"/>
  <c r="A17" i="2"/>
  <c r="DQ17" i="2" s="1"/>
  <c r="B18" i="2"/>
  <c r="GL17" i="2" a="1"/>
  <c r="GL17" i="2" s="1"/>
  <c r="EV17" i="2" a="1"/>
  <c r="EV17" i="2" s="1"/>
  <c r="EW17" i="2" s="1"/>
  <c r="EJ17" i="2" a="1"/>
  <c r="EJ17" i="2" s="1"/>
  <c r="D11" i="8" s="1"/>
  <c r="EI17" i="2" a="1"/>
  <c r="EI17" i="2" s="1"/>
  <c r="DA17" i="2" a="1"/>
  <c r="DA17" i="2" s="1"/>
  <c r="AG17" i="2" a="1"/>
  <c r="AG17" i="2" s="1"/>
  <c r="AF17" i="2" a="1"/>
  <c r="AF17" i="2" s="1"/>
  <c r="S17" i="2" a="1"/>
  <c r="S17" i="2" s="1"/>
  <c r="Q17" i="2" a="1"/>
  <c r="Q17" i="2" s="1"/>
  <c r="I16" i="2"/>
  <c r="DK16" i="2"/>
  <c r="FL16" i="2" a="1"/>
  <c r="FL16" i="2" s="1"/>
  <c r="FF16" i="2"/>
  <c r="GC16" i="2"/>
  <c r="FW16" i="2"/>
  <c r="GE18" i="2" l="1" a="1"/>
  <c r="GE18" i="2" s="1"/>
  <c r="GG18" i="2" a="1"/>
  <c r="GG18" i="2" s="1"/>
  <c r="GI18" i="2" a="1"/>
  <c r="GI18" i="2" s="1"/>
  <c r="FP18" i="2" a="1"/>
  <c r="FP18" i="2" s="1"/>
  <c r="FR18" i="2" a="1"/>
  <c r="FR18" i="2" s="1"/>
  <c r="FT18" i="2" a="1"/>
  <c r="FT18" i="2" s="1"/>
  <c r="GF18" i="2" a="1"/>
  <c r="GF18" i="2" s="1"/>
  <c r="GH18" i="2" a="1"/>
  <c r="GH18" i="2" s="1"/>
  <c r="GJ18" i="2" a="1"/>
  <c r="GJ18" i="2" s="1"/>
  <c r="FQ18" i="2" a="1"/>
  <c r="FQ18" i="2" s="1"/>
  <c r="FS18" i="2" a="1"/>
  <c r="FS18" i="2" s="1"/>
  <c r="FU18" i="2" a="1"/>
  <c r="FU18" i="2" s="1"/>
  <c r="EZ18" i="2" a="1"/>
  <c r="EZ18" i="2" s="1"/>
  <c r="FB18" i="2" a="1"/>
  <c r="FB18" i="2" s="1"/>
  <c r="FD18" i="2" a="1"/>
  <c r="FD18" i="2" s="1"/>
  <c r="EE18" i="2" a="1"/>
  <c r="EE18" i="2" s="1"/>
  <c r="ED18" i="2" a="1"/>
  <c r="ED18" i="2" s="1"/>
  <c r="EA18" i="2" a="1"/>
  <c r="EA18" i="2" s="1"/>
  <c r="DZ18" i="2" a="1"/>
  <c r="DZ18" i="2" s="1"/>
  <c r="EY18" i="2" a="1"/>
  <c r="EY18" i="2" s="1"/>
  <c r="FA18" i="2" a="1"/>
  <c r="FA18" i="2" s="1"/>
  <c r="FC18" i="2" a="1"/>
  <c r="FC18" i="2" s="1"/>
  <c r="FE18" i="2" a="1"/>
  <c r="FE18" i="2" s="1"/>
  <c r="DS18" i="2" a="1"/>
  <c r="DS18" i="2" s="1"/>
  <c r="DU18" i="2" a="1"/>
  <c r="DU18" i="2" s="1"/>
  <c r="DW18" i="2" a="1"/>
  <c r="DW18" i="2" s="1"/>
  <c r="DE18" i="2" a="1"/>
  <c r="DE18" i="2" s="1"/>
  <c r="DG18" i="2" a="1"/>
  <c r="DG18" i="2" s="1"/>
  <c r="DI18" i="2" a="1"/>
  <c r="DI18" i="2" s="1"/>
  <c r="CS18" i="2" a="1"/>
  <c r="CS18" i="2" s="1"/>
  <c r="CU18" i="2" a="1"/>
  <c r="CU18" i="2" s="1"/>
  <c r="CW18" i="2" a="1"/>
  <c r="CW18" i="2" s="1"/>
  <c r="DR18" i="2" a="1"/>
  <c r="DR18" i="2" s="1"/>
  <c r="DT18" i="2" a="1"/>
  <c r="DT18" i="2" s="1"/>
  <c r="DV18" i="2" a="1"/>
  <c r="DV18" i="2" s="1"/>
  <c r="DX18" i="2" a="1"/>
  <c r="DX18" i="2" s="1"/>
  <c r="DF18" i="2" a="1"/>
  <c r="DF18" i="2" s="1"/>
  <c r="DJ18" i="2" a="1"/>
  <c r="DJ18" i="2" s="1"/>
  <c r="CT18" i="2" a="1"/>
  <c r="CT18" i="2" s="1"/>
  <c r="CX18" i="2" a="1"/>
  <c r="CX18" i="2" s="1"/>
  <c r="CH18" i="2" a="1"/>
  <c r="CH18" i="2" s="1"/>
  <c r="CJ18" i="2" a="1"/>
  <c r="CJ18" i="2" s="1"/>
  <c r="CL18" i="2" a="1"/>
  <c r="CL18" i="2" s="1"/>
  <c r="BR18" i="2" a="1"/>
  <c r="BR18" i="2" s="1"/>
  <c r="BT18" i="2" a="1"/>
  <c r="BT18" i="2" s="1"/>
  <c r="BV18" i="2" a="1"/>
  <c r="BV18" i="2" s="1"/>
  <c r="BB18" i="2" a="1"/>
  <c r="BB18" i="2" s="1"/>
  <c r="BD18" i="2" a="1"/>
  <c r="BD18" i="2" s="1"/>
  <c r="BF18" i="2" a="1"/>
  <c r="BF18" i="2" s="1"/>
  <c r="AL18" i="2" a="1"/>
  <c r="AL18" i="2" s="1"/>
  <c r="AN18" i="2" a="1"/>
  <c r="AN18" i="2" s="1"/>
  <c r="AP18" i="2" a="1"/>
  <c r="AP18" i="2" s="1"/>
  <c r="DD18" i="2" a="1"/>
  <c r="DD18" i="2" s="1"/>
  <c r="DH18" i="2" a="1"/>
  <c r="DH18" i="2" s="1"/>
  <c r="CR18" i="2" a="1"/>
  <c r="CR18" i="2" s="1"/>
  <c r="CV18" i="2" a="1"/>
  <c r="CV18" i="2" s="1"/>
  <c r="CG18" i="2" a="1"/>
  <c r="CG18" i="2" s="1"/>
  <c r="CI18" i="2" a="1"/>
  <c r="CI18" i="2" s="1"/>
  <c r="CK18" i="2" a="1"/>
  <c r="CK18" i="2" s="1"/>
  <c r="BQ18" i="2" a="1"/>
  <c r="BQ18" i="2" s="1"/>
  <c r="BS18" i="2" a="1"/>
  <c r="BS18" i="2" s="1"/>
  <c r="BU18" i="2" a="1"/>
  <c r="BU18" i="2" s="1"/>
  <c r="BC18" i="2" a="1"/>
  <c r="BC18" i="2" s="1"/>
  <c r="AM18" i="2" a="1"/>
  <c r="AM18" i="2" s="1"/>
  <c r="V18" i="2" a="1"/>
  <c r="V18" i="2" s="1"/>
  <c r="X18" i="2" a="1"/>
  <c r="X18" i="2" s="1"/>
  <c r="Z18" i="2" a="1"/>
  <c r="Z18" i="2" s="1"/>
  <c r="M18" i="2" a="1"/>
  <c r="M18" i="2" s="1"/>
  <c r="O18" i="2" a="1"/>
  <c r="O18" i="2" s="1"/>
  <c r="BA18" i="2" a="1"/>
  <c r="BA18" i="2" s="1"/>
  <c r="BE18" i="2" a="1"/>
  <c r="BE18" i="2" s="1"/>
  <c r="AK18" i="2" a="1"/>
  <c r="AK18" i="2" s="1"/>
  <c r="AO18" i="2" a="1"/>
  <c r="AO18" i="2" s="1"/>
  <c r="U18" i="2" a="1"/>
  <c r="U18" i="2" s="1"/>
  <c r="W18" i="2" a="1"/>
  <c r="W18" i="2" s="1"/>
  <c r="Y18" i="2" a="1"/>
  <c r="Y18" i="2" s="1"/>
  <c r="AA18" i="2" a="1"/>
  <c r="AA18" i="2" s="1"/>
  <c r="L18" i="2" a="1"/>
  <c r="L18" i="2" s="1"/>
  <c r="N18" i="2" a="1"/>
  <c r="N18" i="2" s="1"/>
  <c r="P18" i="2" a="1"/>
  <c r="P18" i="2" s="1"/>
  <c r="EB17" i="2" a="1"/>
  <c r="EB17" i="2" s="1"/>
  <c r="DY17" i="2"/>
  <c r="EC17" i="2"/>
  <c r="EF17" i="2" a="1"/>
  <c r="EF17" i="2" s="1"/>
  <c r="D18" i="2" a="1"/>
  <c r="D18" i="2" s="1"/>
  <c r="E18" i="2" s="1" a="1"/>
  <c r="E18" i="2" s="1"/>
  <c r="P9" i="8"/>
  <c r="Q9" i="8" s="1"/>
  <c r="R9" i="8" s="1"/>
  <c r="EQ15" i="2" s="1"/>
  <c r="AB17" i="2" a="1"/>
  <c r="AB17" i="2" s="1"/>
  <c r="GA18" i="2" a="1"/>
  <c r="GA18" i="2" s="1"/>
  <c r="GK18" i="2" a="1"/>
  <c r="GK18" i="2" s="1"/>
  <c r="EU18" i="2" a="1"/>
  <c r="EU18" i="2" s="1"/>
  <c r="DL18" i="2" a="1"/>
  <c r="DL18" i="2" s="1"/>
  <c r="BL18" i="2" a="1"/>
  <c r="BL18" i="2" s="1"/>
  <c r="C18" i="2" a="1"/>
  <c r="C18" i="2" s="1"/>
  <c r="CZ18" i="2" a="1"/>
  <c r="CZ18" i="2" s="1"/>
  <c r="CN18" i="2" a="1"/>
  <c r="CN18" i="2" s="1"/>
  <c r="CC18" i="2" a="1"/>
  <c r="CC18" i="2" s="1"/>
  <c r="BZ18" i="2" a="1"/>
  <c r="BZ18" i="2" s="1"/>
  <c r="BH18" i="2" a="1"/>
  <c r="BH18" i="2" s="1"/>
  <c r="AV18" i="2" a="1"/>
  <c r="AV18" i="2" s="1"/>
  <c r="FX18" i="2" a="1"/>
  <c r="FX18" i="2" s="1"/>
  <c r="AR18" i="2" a="1"/>
  <c r="AR18" i="2" s="1"/>
  <c r="GB18" i="2" a="1"/>
  <c r="GB18" i="2" s="1"/>
  <c r="FY18" i="2" a="1"/>
  <c r="FY18" i="2" s="1"/>
  <c r="FK18" i="2" a="1"/>
  <c r="FK18" i="2" s="1"/>
  <c r="FH18" i="2" a="1"/>
  <c r="FH18" i="2" s="1"/>
  <c r="CD18" i="2" a="1"/>
  <c r="CD18" i="2" s="1"/>
  <c r="BM18" i="2" a="1"/>
  <c r="BM18" i="2" s="1"/>
  <c r="AW18" i="2" a="1"/>
  <c r="AW18" i="2" s="1"/>
  <c r="AD18" i="2" a="1"/>
  <c r="AD18" i="2" s="1"/>
  <c r="FJ18" i="2" a="1"/>
  <c r="FJ18" i="2" s="1"/>
  <c r="FG18" i="2" a="1"/>
  <c r="FG18" i="2" s="1"/>
  <c r="CA18" i="2" a="1"/>
  <c r="CA18" i="2" s="1"/>
  <c r="BI18" i="2" a="1"/>
  <c r="BI18" i="2" s="1"/>
  <c r="AS18" i="2" a="1"/>
  <c r="AS18" i="2" s="1"/>
  <c r="AC18" i="2" a="1"/>
  <c r="AC18" i="2" s="1"/>
  <c r="AB18" i="2" s="1" a="1"/>
  <c r="AB18" i="2" s="1"/>
  <c r="F18" i="2" a="1"/>
  <c r="F18" i="2" s="1"/>
  <c r="CE16" i="2" a="1"/>
  <c r="CE16" i="2" s="1"/>
  <c r="DN17" i="2"/>
  <c r="BO16" i="2" a="1"/>
  <c r="BO16" i="2" s="1"/>
  <c r="B11" i="10"/>
  <c r="B12" i="8"/>
  <c r="EJ18" i="2" a="1"/>
  <c r="EJ18" i="2" s="1"/>
  <c r="D12" i="8" s="1"/>
  <c r="EI18" i="2" a="1"/>
  <c r="EI18" i="2" s="1"/>
  <c r="DA18" i="2" a="1"/>
  <c r="DA18" i="2" s="1"/>
  <c r="AG18" i="2" a="1"/>
  <c r="AG18" i="2" s="1"/>
  <c r="AF18" i="2" a="1"/>
  <c r="AF18" i="2" s="1"/>
  <c r="G18" i="2" a="1"/>
  <c r="G18" i="2" s="1"/>
  <c r="H18" i="2" s="1" a="1"/>
  <c r="H18" i="2" s="1"/>
  <c r="A18" i="2"/>
  <c r="B19" i="2"/>
  <c r="GL18" i="2" a="1"/>
  <c r="GL18" i="2" s="1"/>
  <c r="EV18" i="2" a="1"/>
  <c r="EV18" i="2" s="1"/>
  <c r="EW18" i="2" s="1"/>
  <c r="DM18" i="2" a="1"/>
  <c r="DM18" i="2" s="1"/>
  <c r="CO18" i="2" a="1"/>
  <c r="CO18" i="2" s="1"/>
  <c r="S18" i="2" a="1"/>
  <c r="S18" i="2" s="1"/>
  <c r="Q18" i="2" a="1"/>
  <c r="Q18" i="2" s="1"/>
  <c r="I17" i="2"/>
  <c r="AE17" i="2" a="1"/>
  <c r="AE17" i="2" s="1"/>
  <c r="AT17" i="2"/>
  <c r="AQ17" i="2" a="1"/>
  <c r="AQ17" i="2" s="1"/>
  <c r="BY17" i="2"/>
  <c r="CY17" i="2"/>
  <c r="DB17" i="2"/>
  <c r="ET17" i="2"/>
  <c r="FI17" i="2"/>
  <c r="FZ17" i="2"/>
  <c r="A10" i="10"/>
  <c r="A11" i="8"/>
  <c r="GD17" i="2"/>
  <c r="FN17" i="2"/>
  <c r="DC17" i="2"/>
  <c r="CF17" i="2"/>
  <c r="AJ17" i="2"/>
  <c r="K17" i="2"/>
  <c r="GN17" i="2"/>
  <c r="FM17" i="2"/>
  <c r="ES17" i="2"/>
  <c r="CQ17" i="2"/>
  <c r="BP17" i="2"/>
  <c r="AZ17" i="2"/>
  <c r="AI17" i="2"/>
  <c r="J17" i="2"/>
  <c r="AX17" i="2"/>
  <c r="AU17" i="2" a="1"/>
  <c r="AU17" i="2" s="1"/>
  <c r="BJ17" i="2"/>
  <c r="BN17" i="2"/>
  <c r="BK17" i="2"/>
  <c r="CB17" i="2"/>
  <c r="CP17" i="2"/>
  <c r="CM17" i="2"/>
  <c r="I11" i="8" a="1"/>
  <c r="I11" i="8" s="1"/>
  <c r="M11" i="8" s="1"/>
  <c r="G11" i="8" a="1"/>
  <c r="G11" i="8" s="1"/>
  <c r="H11" i="8" s="1" a="1"/>
  <c r="H11" i="8" s="1"/>
  <c r="J11" i="8" a="1"/>
  <c r="J11" i="8" s="1"/>
  <c r="K11" i="8" s="1" a="1"/>
  <c r="K11" i="8" s="1"/>
  <c r="F11" i="8" a="1"/>
  <c r="F11" i="8" s="1"/>
  <c r="L11" i="8" s="1"/>
  <c r="N10" i="8"/>
  <c r="O10" i="8"/>
  <c r="AH16" i="2" a="1"/>
  <c r="AH16" i="2" s="1"/>
  <c r="C11" i="8"/>
  <c r="EK17" i="2"/>
  <c r="E11" i="8" s="1"/>
  <c r="DK17" i="2"/>
  <c r="FL17" i="2" a="1"/>
  <c r="FL17" i="2" s="1"/>
  <c r="FF17" i="2"/>
  <c r="GC17" i="2"/>
  <c r="FW17" i="2"/>
  <c r="AY16" i="2" a="1"/>
  <c r="AY16" i="2" s="1"/>
  <c r="EB18" i="2" l="1" a="1"/>
  <c r="EB18" i="2" s="1"/>
  <c r="EC18" i="2"/>
  <c r="EF18" i="2" a="1"/>
  <c r="EF18" i="2" s="1"/>
  <c r="GE19" i="2" a="1"/>
  <c r="GE19" i="2" s="1"/>
  <c r="GG19" i="2" a="1"/>
  <c r="GG19" i="2" s="1"/>
  <c r="GI19" i="2" a="1"/>
  <c r="GI19" i="2" s="1"/>
  <c r="FP19" i="2" a="1"/>
  <c r="FP19" i="2" s="1"/>
  <c r="FR19" i="2" a="1"/>
  <c r="FR19" i="2" s="1"/>
  <c r="FT19" i="2" a="1"/>
  <c r="FT19" i="2" s="1"/>
  <c r="GF19" i="2" a="1"/>
  <c r="GF19" i="2" s="1"/>
  <c r="GH19" i="2" a="1"/>
  <c r="GH19" i="2" s="1"/>
  <c r="GJ19" i="2" a="1"/>
  <c r="GJ19" i="2" s="1"/>
  <c r="FQ19" i="2" a="1"/>
  <c r="FQ19" i="2" s="1"/>
  <c r="FS19" i="2" a="1"/>
  <c r="FS19" i="2" s="1"/>
  <c r="FU19" i="2" a="1"/>
  <c r="FU19" i="2" s="1"/>
  <c r="EY19" i="2" a="1"/>
  <c r="EY19" i="2" s="1"/>
  <c r="FA19" i="2" a="1"/>
  <c r="FA19" i="2" s="1"/>
  <c r="FC19" i="2" a="1"/>
  <c r="FC19" i="2" s="1"/>
  <c r="FE19" i="2" a="1"/>
  <c r="FE19" i="2" s="1"/>
  <c r="EZ19" i="2" a="1"/>
  <c r="EZ19" i="2" s="1"/>
  <c r="FB19" i="2" a="1"/>
  <c r="FB19" i="2" s="1"/>
  <c r="FD19" i="2" a="1"/>
  <c r="FD19" i="2" s="1"/>
  <c r="EE19" i="2" a="1"/>
  <c r="EE19" i="2" s="1"/>
  <c r="ED19" i="2" a="1"/>
  <c r="ED19" i="2" s="1"/>
  <c r="EA19" i="2" a="1"/>
  <c r="EA19" i="2" s="1"/>
  <c r="DZ19" i="2" a="1"/>
  <c r="DZ19" i="2" s="1"/>
  <c r="DR19" i="2" a="1"/>
  <c r="DR19" i="2" s="1"/>
  <c r="DT19" i="2" a="1"/>
  <c r="DT19" i="2" s="1"/>
  <c r="DV19" i="2" a="1"/>
  <c r="DV19" i="2" s="1"/>
  <c r="DX19" i="2" a="1"/>
  <c r="DX19" i="2" s="1"/>
  <c r="DD19" i="2" a="1"/>
  <c r="DD19" i="2" s="1"/>
  <c r="DF19" i="2" a="1"/>
  <c r="DF19" i="2" s="1"/>
  <c r="DH19" i="2" a="1"/>
  <c r="DH19" i="2" s="1"/>
  <c r="DJ19" i="2" a="1"/>
  <c r="DJ19" i="2" s="1"/>
  <c r="CR19" i="2" a="1"/>
  <c r="CR19" i="2" s="1"/>
  <c r="CT19" i="2" a="1"/>
  <c r="CT19" i="2" s="1"/>
  <c r="CV19" i="2" a="1"/>
  <c r="CV19" i="2" s="1"/>
  <c r="CX19" i="2" a="1"/>
  <c r="CX19" i="2" s="1"/>
  <c r="DS19" i="2" a="1"/>
  <c r="DS19" i="2" s="1"/>
  <c r="DU19" i="2" a="1"/>
  <c r="DU19" i="2" s="1"/>
  <c r="DW19" i="2" a="1"/>
  <c r="DW19" i="2" s="1"/>
  <c r="DG19" i="2" a="1"/>
  <c r="DG19" i="2" s="1"/>
  <c r="CU19" i="2" a="1"/>
  <c r="CU19" i="2" s="1"/>
  <c r="CH19" i="2" a="1"/>
  <c r="CH19" i="2" s="1"/>
  <c r="CJ19" i="2" a="1"/>
  <c r="CJ19" i="2" s="1"/>
  <c r="CL19" i="2" a="1"/>
  <c r="CL19" i="2" s="1"/>
  <c r="BR19" i="2" a="1"/>
  <c r="BR19" i="2" s="1"/>
  <c r="BT19" i="2" a="1"/>
  <c r="BT19" i="2" s="1"/>
  <c r="BV19" i="2" a="1"/>
  <c r="BV19" i="2" s="1"/>
  <c r="BB19" i="2" a="1"/>
  <c r="BB19" i="2" s="1"/>
  <c r="BD19" i="2" a="1"/>
  <c r="BD19" i="2" s="1"/>
  <c r="BF19" i="2" a="1"/>
  <c r="BF19" i="2" s="1"/>
  <c r="AL19" i="2" a="1"/>
  <c r="AL19" i="2" s="1"/>
  <c r="AN19" i="2" a="1"/>
  <c r="AN19" i="2" s="1"/>
  <c r="AP19" i="2" a="1"/>
  <c r="AP19" i="2" s="1"/>
  <c r="DE19" i="2" a="1"/>
  <c r="DE19" i="2" s="1"/>
  <c r="DI19" i="2" a="1"/>
  <c r="DI19" i="2" s="1"/>
  <c r="CS19" i="2" a="1"/>
  <c r="CS19" i="2" s="1"/>
  <c r="CW19" i="2" a="1"/>
  <c r="CW19" i="2" s="1"/>
  <c r="CG19" i="2" a="1"/>
  <c r="CG19" i="2" s="1"/>
  <c r="CI19" i="2" a="1"/>
  <c r="CI19" i="2" s="1"/>
  <c r="CK19" i="2" a="1"/>
  <c r="CK19" i="2" s="1"/>
  <c r="BQ19" i="2" a="1"/>
  <c r="BQ19" i="2" s="1"/>
  <c r="BS19" i="2" a="1"/>
  <c r="BS19" i="2" s="1"/>
  <c r="BU19" i="2" a="1"/>
  <c r="BU19" i="2" s="1"/>
  <c r="BA19" i="2" a="1"/>
  <c r="BA19" i="2" s="1"/>
  <c r="BE19" i="2" a="1"/>
  <c r="BE19" i="2" s="1"/>
  <c r="AK19" i="2" a="1"/>
  <c r="AK19" i="2" s="1"/>
  <c r="AO19" i="2" a="1"/>
  <c r="AO19" i="2" s="1"/>
  <c r="U19" i="2" a="1"/>
  <c r="U19" i="2" s="1"/>
  <c r="W19" i="2" a="1"/>
  <c r="W19" i="2" s="1"/>
  <c r="Y19" i="2" a="1"/>
  <c r="Y19" i="2" s="1"/>
  <c r="AA19" i="2" a="1"/>
  <c r="AA19" i="2" s="1"/>
  <c r="L19" i="2" a="1"/>
  <c r="L19" i="2" s="1"/>
  <c r="N19" i="2" a="1"/>
  <c r="N19" i="2" s="1"/>
  <c r="P19" i="2" a="1"/>
  <c r="P19" i="2" s="1"/>
  <c r="BC19" i="2" a="1"/>
  <c r="BC19" i="2" s="1"/>
  <c r="AM19" i="2" a="1"/>
  <c r="AM19" i="2" s="1"/>
  <c r="V19" i="2" a="1"/>
  <c r="V19" i="2" s="1"/>
  <c r="X19" i="2" a="1"/>
  <c r="X19" i="2" s="1"/>
  <c r="Z19" i="2" a="1"/>
  <c r="Z19" i="2" s="1"/>
  <c r="M19" i="2" a="1"/>
  <c r="M19" i="2" s="1"/>
  <c r="O19" i="2" a="1"/>
  <c r="O19" i="2" s="1"/>
  <c r="DY18" i="2"/>
  <c r="D19" i="2" a="1"/>
  <c r="D19" i="2" s="1"/>
  <c r="E19" i="2" s="1" a="1"/>
  <c r="E19" i="2" s="1"/>
  <c r="C19" i="2" a="1"/>
  <c r="C19" i="2" s="1"/>
  <c r="GK19" i="2" a="1"/>
  <c r="GK19" i="2" s="1"/>
  <c r="GA19" i="2" a="1"/>
  <c r="GA19" i="2" s="1"/>
  <c r="FX19" i="2" a="1"/>
  <c r="FX19" i="2" s="1"/>
  <c r="CZ19" i="2" a="1"/>
  <c r="CZ19" i="2" s="1"/>
  <c r="CN19" i="2" a="1"/>
  <c r="CN19" i="2" s="1"/>
  <c r="CC19" i="2" a="1"/>
  <c r="CC19" i="2" s="1"/>
  <c r="BZ19" i="2" a="1"/>
  <c r="BZ19" i="2" s="1"/>
  <c r="EU19" i="2" a="1"/>
  <c r="EU19" i="2" s="1"/>
  <c r="DL19" i="2" a="1"/>
  <c r="DL19" i="2" s="1"/>
  <c r="AR19" i="2" a="1"/>
  <c r="AR19" i="2" s="1"/>
  <c r="BL19" i="2" a="1"/>
  <c r="BL19" i="2" s="1"/>
  <c r="BH19" i="2" a="1"/>
  <c r="BH19" i="2" s="1"/>
  <c r="AV19" i="2" a="1"/>
  <c r="AV19" i="2" s="1"/>
  <c r="GB19" i="2" a="1"/>
  <c r="GB19" i="2" s="1"/>
  <c r="FK19" i="2" a="1"/>
  <c r="FK19" i="2" s="1"/>
  <c r="FJ19" i="2" a="1"/>
  <c r="FJ19" i="2" s="1"/>
  <c r="FG19" i="2" a="1"/>
  <c r="FG19" i="2" s="1"/>
  <c r="CA19" i="2" a="1"/>
  <c r="CA19" i="2" s="1"/>
  <c r="BM19" i="2" a="1"/>
  <c r="BM19" i="2" s="1"/>
  <c r="BI19" i="2" a="1"/>
  <c r="BI19" i="2" s="1"/>
  <c r="AW19" i="2" a="1"/>
  <c r="AW19" i="2" s="1"/>
  <c r="AC19" i="2" a="1"/>
  <c r="AC19" i="2" s="1"/>
  <c r="FY19" i="2" a="1"/>
  <c r="FY19" i="2" s="1"/>
  <c r="AS19" i="2" a="1"/>
  <c r="AS19" i="2" s="1"/>
  <c r="F19" i="2" a="1"/>
  <c r="F19" i="2" s="1"/>
  <c r="FH19" i="2" a="1"/>
  <c r="FH19" i="2" s="1"/>
  <c r="CD19" i="2" a="1"/>
  <c r="CD19" i="2" s="1"/>
  <c r="AD19" i="2" a="1"/>
  <c r="AD19" i="2" s="1"/>
  <c r="CE17" i="2" a="1"/>
  <c r="CE17" i="2" s="1"/>
  <c r="FI18" i="2"/>
  <c r="FZ18" i="2"/>
  <c r="DN18" i="2"/>
  <c r="DQ18" i="2"/>
  <c r="P10" i="8"/>
  <c r="Q10" i="8" s="1"/>
  <c r="R10" i="8" s="1"/>
  <c r="EQ16" i="2" s="1"/>
  <c r="BO17" i="2" a="1"/>
  <c r="BO17" i="2" s="1"/>
  <c r="AY17" i="2" a="1"/>
  <c r="AY17" i="2" s="1"/>
  <c r="DK18" i="2"/>
  <c r="ET18" i="2"/>
  <c r="A11" i="10"/>
  <c r="A12" i="8"/>
  <c r="GD18" i="2"/>
  <c r="CQ18" i="2"/>
  <c r="BP18" i="2"/>
  <c r="AZ18" i="2"/>
  <c r="GN18" i="2"/>
  <c r="DC18" i="2"/>
  <c r="T18" i="2"/>
  <c r="C12" i="8"/>
  <c r="EK18" i="2"/>
  <c r="I12" i="8" a="1"/>
  <c r="I12" i="8" s="1"/>
  <c r="M12" i="8" s="1"/>
  <c r="G12" i="8" a="1"/>
  <c r="G12" i="8" s="1"/>
  <c r="H12" i="8" s="1" a="1"/>
  <c r="H12" i="8" s="1"/>
  <c r="J12" i="8" a="1"/>
  <c r="J12" i="8" s="1"/>
  <c r="K12" i="8" s="1" a="1"/>
  <c r="K12" i="8" s="1"/>
  <c r="F12" i="8" a="1"/>
  <c r="F12" i="8" s="1"/>
  <c r="L12" i="8" s="1"/>
  <c r="N11" i="8"/>
  <c r="O11" i="8"/>
  <c r="AH17" i="2" a="1"/>
  <c r="AH17" i="2" s="1"/>
  <c r="AX18" i="2"/>
  <c r="AU18" i="2" a="1"/>
  <c r="AU18" i="2" s="1"/>
  <c r="BJ18" i="2"/>
  <c r="BK18" i="2"/>
  <c r="BN18" i="2"/>
  <c r="CB18" i="2"/>
  <c r="CM18" i="2"/>
  <c r="CP18" i="2"/>
  <c r="B12" i="10"/>
  <c r="B13" i="8"/>
  <c r="B20" i="2"/>
  <c r="GL19" i="2" a="1"/>
  <c r="GL19" i="2" s="1"/>
  <c r="EV19" i="2" a="1"/>
  <c r="EV19" i="2" s="1"/>
  <c r="EW19" i="2" s="1"/>
  <c r="EJ19" i="2" a="1"/>
  <c r="EJ19" i="2" s="1"/>
  <c r="D13" i="8" s="1"/>
  <c r="EI19" i="2" a="1"/>
  <c r="EI19" i="2" s="1"/>
  <c r="DA19" i="2" a="1"/>
  <c r="DA19" i="2" s="1"/>
  <c r="AG19" i="2" a="1"/>
  <c r="AG19" i="2" s="1"/>
  <c r="AF19" i="2" a="1"/>
  <c r="AF19" i="2" s="1"/>
  <c r="G19" i="2" a="1"/>
  <c r="G19" i="2" s="1"/>
  <c r="H19" i="2" s="1" a="1"/>
  <c r="H19" i="2" s="1"/>
  <c r="A19" i="2"/>
  <c r="DQ19" i="2" s="1"/>
  <c r="DM19" i="2" a="1"/>
  <c r="DM19" i="2" s="1"/>
  <c r="CO19" i="2" a="1"/>
  <c r="CO19" i="2" s="1"/>
  <c r="S19" i="2" a="1"/>
  <c r="S19" i="2" s="1"/>
  <c r="Q19" i="2" a="1"/>
  <c r="Q19" i="2" s="1"/>
  <c r="I18" i="2"/>
  <c r="AH18" i="2" a="1"/>
  <c r="AH18" i="2" s="1"/>
  <c r="AE18" i="2" a="1"/>
  <c r="AE18" i="2" s="1"/>
  <c r="AT18" i="2"/>
  <c r="AQ18" i="2" a="1"/>
  <c r="AQ18" i="2" s="1"/>
  <c r="CE18" i="2" a="1"/>
  <c r="CE18" i="2" s="1"/>
  <c r="BY18" i="2"/>
  <c r="DB18" i="2"/>
  <c r="CY18" i="2"/>
  <c r="FL18" i="2" a="1"/>
  <c r="FL18" i="2" s="1"/>
  <c r="FF18" i="2"/>
  <c r="GC18" i="2"/>
  <c r="FW18" i="2"/>
  <c r="GE20" i="2" l="1" a="1"/>
  <c r="GE20" i="2" s="1"/>
  <c r="GG20" i="2" a="1"/>
  <c r="GG20" i="2" s="1"/>
  <c r="GI20" i="2" a="1"/>
  <c r="GI20" i="2" s="1"/>
  <c r="FP20" i="2" a="1"/>
  <c r="FP20" i="2" s="1"/>
  <c r="FR20" i="2" a="1"/>
  <c r="FR20" i="2" s="1"/>
  <c r="FT20" i="2" a="1"/>
  <c r="FT20" i="2" s="1"/>
  <c r="GF20" i="2" a="1"/>
  <c r="GF20" i="2" s="1"/>
  <c r="GH20" i="2" a="1"/>
  <c r="GH20" i="2" s="1"/>
  <c r="GJ20" i="2" a="1"/>
  <c r="GJ20" i="2" s="1"/>
  <c r="FQ20" i="2" a="1"/>
  <c r="FQ20" i="2" s="1"/>
  <c r="FS20" i="2" a="1"/>
  <c r="FS20" i="2" s="1"/>
  <c r="FU20" i="2" a="1"/>
  <c r="FU20" i="2" s="1"/>
  <c r="EZ20" i="2" a="1"/>
  <c r="EZ20" i="2" s="1"/>
  <c r="FB20" i="2" a="1"/>
  <c r="FB20" i="2" s="1"/>
  <c r="FD20" i="2" a="1"/>
  <c r="FD20" i="2" s="1"/>
  <c r="EE20" i="2" a="1"/>
  <c r="EE20" i="2" s="1"/>
  <c r="ED20" i="2" a="1"/>
  <c r="ED20" i="2" s="1"/>
  <c r="EA20" i="2" a="1"/>
  <c r="EA20" i="2" s="1"/>
  <c r="DZ20" i="2" a="1"/>
  <c r="DZ20" i="2" s="1"/>
  <c r="EY20" i="2" a="1"/>
  <c r="EY20" i="2" s="1"/>
  <c r="FA20" i="2" a="1"/>
  <c r="FA20" i="2" s="1"/>
  <c r="FC20" i="2" a="1"/>
  <c r="FC20" i="2" s="1"/>
  <c r="FE20" i="2" a="1"/>
  <c r="FE20" i="2" s="1"/>
  <c r="DS20" i="2" a="1"/>
  <c r="DS20" i="2" s="1"/>
  <c r="DU20" i="2" a="1"/>
  <c r="DU20" i="2" s="1"/>
  <c r="DW20" i="2" a="1"/>
  <c r="DW20" i="2" s="1"/>
  <c r="DE20" i="2" a="1"/>
  <c r="DE20" i="2" s="1"/>
  <c r="DG20" i="2" a="1"/>
  <c r="DG20" i="2" s="1"/>
  <c r="DI20" i="2" a="1"/>
  <c r="DI20" i="2" s="1"/>
  <c r="CS20" i="2" a="1"/>
  <c r="CS20" i="2" s="1"/>
  <c r="CU20" i="2" a="1"/>
  <c r="CU20" i="2" s="1"/>
  <c r="CW20" i="2" a="1"/>
  <c r="CW20" i="2" s="1"/>
  <c r="DR20" i="2" a="1"/>
  <c r="DR20" i="2" s="1"/>
  <c r="DT20" i="2" a="1"/>
  <c r="DT20" i="2" s="1"/>
  <c r="DV20" i="2" a="1"/>
  <c r="DV20" i="2" s="1"/>
  <c r="DX20" i="2" a="1"/>
  <c r="DX20" i="2" s="1"/>
  <c r="DD20" i="2" a="1"/>
  <c r="DD20" i="2" s="1"/>
  <c r="DH20" i="2" a="1"/>
  <c r="DH20" i="2" s="1"/>
  <c r="CR20" i="2" a="1"/>
  <c r="CR20" i="2" s="1"/>
  <c r="CV20" i="2" a="1"/>
  <c r="CV20" i="2" s="1"/>
  <c r="CH20" i="2" a="1"/>
  <c r="CH20" i="2" s="1"/>
  <c r="CJ20" i="2" a="1"/>
  <c r="CJ20" i="2" s="1"/>
  <c r="CL20" i="2" a="1"/>
  <c r="CL20" i="2" s="1"/>
  <c r="BR20" i="2" a="1"/>
  <c r="BR20" i="2" s="1"/>
  <c r="BT20" i="2" a="1"/>
  <c r="BT20" i="2" s="1"/>
  <c r="BV20" i="2" a="1"/>
  <c r="BV20" i="2" s="1"/>
  <c r="BB20" i="2" a="1"/>
  <c r="BB20" i="2" s="1"/>
  <c r="BD20" i="2" a="1"/>
  <c r="BD20" i="2" s="1"/>
  <c r="BF20" i="2" a="1"/>
  <c r="BF20" i="2" s="1"/>
  <c r="AL20" i="2" a="1"/>
  <c r="AL20" i="2" s="1"/>
  <c r="AN20" i="2" a="1"/>
  <c r="AN20" i="2" s="1"/>
  <c r="AP20" i="2" a="1"/>
  <c r="AP20" i="2" s="1"/>
  <c r="DF20" i="2" a="1"/>
  <c r="DF20" i="2" s="1"/>
  <c r="DJ20" i="2" a="1"/>
  <c r="DJ20" i="2" s="1"/>
  <c r="CT20" i="2" a="1"/>
  <c r="CT20" i="2" s="1"/>
  <c r="CX20" i="2" a="1"/>
  <c r="CX20" i="2" s="1"/>
  <c r="CG20" i="2" a="1"/>
  <c r="CG20" i="2" s="1"/>
  <c r="CI20" i="2" a="1"/>
  <c r="CI20" i="2" s="1"/>
  <c r="CK20" i="2" a="1"/>
  <c r="CK20" i="2" s="1"/>
  <c r="BQ20" i="2" a="1"/>
  <c r="BQ20" i="2" s="1"/>
  <c r="BS20" i="2" a="1"/>
  <c r="BS20" i="2" s="1"/>
  <c r="BU20" i="2" a="1"/>
  <c r="BU20" i="2" s="1"/>
  <c r="BC20" i="2" a="1"/>
  <c r="BC20" i="2" s="1"/>
  <c r="AM20" i="2" a="1"/>
  <c r="AM20" i="2" s="1"/>
  <c r="V20" i="2" a="1"/>
  <c r="V20" i="2" s="1"/>
  <c r="X20" i="2" a="1"/>
  <c r="X20" i="2" s="1"/>
  <c r="Z20" i="2" a="1"/>
  <c r="Z20" i="2" s="1"/>
  <c r="M20" i="2" a="1"/>
  <c r="M20" i="2" s="1"/>
  <c r="O20" i="2" a="1"/>
  <c r="O20" i="2" s="1"/>
  <c r="BA20" i="2" a="1"/>
  <c r="BA20" i="2" s="1"/>
  <c r="BE20" i="2" a="1"/>
  <c r="BE20" i="2" s="1"/>
  <c r="AK20" i="2" a="1"/>
  <c r="AK20" i="2" s="1"/>
  <c r="AO20" i="2" a="1"/>
  <c r="AO20" i="2" s="1"/>
  <c r="U20" i="2" a="1"/>
  <c r="U20" i="2" s="1"/>
  <c r="W20" i="2" a="1"/>
  <c r="W20" i="2" s="1"/>
  <c r="Y20" i="2" a="1"/>
  <c r="Y20" i="2" s="1"/>
  <c r="AA20" i="2" a="1"/>
  <c r="AA20" i="2" s="1"/>
  <c r="L20" i="2" a="1"/>
  <c r="L20" i="2" s="1"/>
  <c r="N20" i="2" a="1"/>
  <c r="N20" i="2" s="1"/>
  <c r="P20" i="2" a="1"/>
  <c r="P20" i="2" s="1"/>
  <c r="DY19" i="2"/>
  <c r="EB19" i="2" a="1"/>
  <c r="EB19" i="2" s="1"/>
  <c r="EC19" i="2"/>
  <c r="EF19" i="2" a="1"/>
  <c r="EF19" i="2" s="1"/>
  <c r="D20" i="2" a="1"/>
  <c r="D20" i="2" s="1"/>
  <c r="E20" i="2" s="1" a="1"/>
  <c r="E20" i="2" s="1"/>
  <c r="GA20" i="2" a="1"/>
  <c r="GA20" i="2" s="1"/>
  <c r="C20" i="2" a="1"/>
  <c r="C20" i="2" s="1"/>
  <c r="GK20" i="2" a="1"/>
  <c r="GK20" i="2" s="1"/>
  <c r="FX20" i="2" a="1"/>
  <c r="FX20" i="2" s="1"/>
  <c r="EU20" i="2" a="1"/>
  <c r="EU20" i="2" s="1"/>
  <c r="DL20" i="2" a="1"/>
  <c r="DL20" i="2" s="1"/>
  <c r="BL20" i="2" a="1"/>
  <c r="BL20" i="2" s="1"/>
  <c r="BH20" i="2" a="1"/>
  <c r="BH20" i="2" s="1"/>
  <c r="AV20" i="2" a="1"/>
  <c r="AV20" i="2" s="1"/>
  <c r="CZ20" i="2" a="1"/>
  <c r="CZ20" i="2" s="1"/>
  <c r="CN20" i="2" a="1"/>
  <c r="CN20" i="2" s="1"/>
  <c r="CC20" i="2" a="1"/>
  <c r="CC20" i="2" s="1"/>
  <c r="BZ20" i="2" a="1"/>
  <c r="BZ20" i="2" s="1"/>
  <c r="AR20" i="2" a="1"/>
  <c r="AR20" i="2" s="1"/>
  <c r="K18" i="2"/>
  <c r="J18" i="2"/>
  <c r="AB19" i="2" a="1"/>
  <c r="AB19" i="2" s="1"/>
  <c r="N12" i="8"/>
  <c r="FY20" i="2" a="1"/>
  <c r="FY20" i="2" s="1"/>
  <c r="GB20" i="2" a="1"/>
  <c r="GB20" i="2" s="1"/>
  <c r="FK20" i="2" a="1"/>
  <c r="FK20" i="2" s="1"/>
  <c r="FJ20" i="2" a="1"/>
  <c r="FJ20" i="2" s="1"/>
  <c r="FH20" i="2" a="1"/>
  <c r="FH20" i="2" s="1"/>
  <c r="FG20" i="2" a="1"/>
  <c r="FG20" i="2" s="1"/>
  <c r="CD20" i="2" a="1"/>
  <c r="CD20" i="2" s="1"/>
  <c r="BM20" i="2" a="1"/>
  <c r="BM20" i="2" s="1"/>
  <c r="AW20" i="2" a="1"/>
  <c r="AW20" i="2" s="1"/>
  <c r="AD20" i="2" a="1"/>
  <c r="AD20" i="2" s="1"/>
  <c r="CA20" i="2" a="1"/>
  <c r="CA20" i="2" s="1"/>
  <c r="BI20" i="2" a="1"/>
  <c r="BI20" i="2" s="1"/>
  <c r="AC20" i="2" a="1"/>
  <c r="AC20" i="2" s="1"/>
  <c r="AS20" i="2" a="1"/>
  <c r="AS20" i="2" s="1"/>
  <c r="F20" i="2" a="1"/>
  <c r="F20" i="2" s="1"/>
  <c r="BJ19" i="2"/>
  <c r="CB19" i="2"/>
  <c r="DN19" i="2"/>
  <c r="AI18" i="2"/>
  <c r="AX19" i="2"/>
  <c r="AU19" i="2" a="1"/>
  <c r="AU19" i="2" s="1"/>
  <c r="CM19" i="2"/>
  <c r="CP19" i="2"/>
  <c r="AY18" i="2" a="1"/>
  <c r="AY18" i="2" s="1"/>
  <c r="DK19" i="2"/>
  <c r="FF19" i="2"/>
  <c r="FW19" i="2"/>
  <c r="I19" i="2"/>
  <c r="AE19" i="2" a="1"/>
  <c r="AE19" i="2" s="1"/>
  <c r="AT19" i="2"/>
  <c r="AQ19" i="2" a="1"/>
  <c r="AQ19" i="2" s="1"/>
  <c r="BY19" i="2"/>
  <c r="DB19" i="2"/>
  <c r="CY19" i="2"/>
  <c r="ET19" i="2"/>
  <c r="FI19" i="2"/>
  <c r="FZ19" i="2"/>
  <c r="J13" i="8" a="1"/>
  <c r="J13" i="8" s="1"/>
  <c r="K13" i="8" s="1" a="1"/>
  <c r="K13" i="8" s="1"/>
  <c r="I13" i="8" a="1"/>
  <c r="I13" i="8" s="1"/>
  <c r="M13" i="8" s="1"/>
  <c r="G13" i="8" a="1"/>
  <c r="G13" i="8" s="1"/>
  <c r="H13" i="8" s="1" a="1"/>
  <c r="H13" i="8" s="1"/>
  <c r="F13" i="8" a="1"/>
  <c r="F13" i="8" s="1"/>
  <c r="L13" i="8" s="1"/>
  <c r="P11" i="8"/>
  <c r="Q11" i="8" s="1"/>
  <c r="R11" i="8" s="1"/>
  <c r="EQ17" i="2" s="1"/>
  <c r="CF18" i="2"/>
  <c r="FM18" i="2"/>
  <c r="FN18" i="2"/>
  <c r="BK19" i="2"/>
  <c r="BN19" i="2"/>
  <c r="A12" i="10"/>
  <c r="A13" i="8"/>
  <c r="S13" i="8" s="1"/>
  <c r="GN19" i="2"/>
  <c r="FM19" i="2"/>
  <c r="ES19" i="2"/>
  <c r="CQ19" i="2"/>
  <c r="BP19" i="2"/>
  <c r="AZ19" i="2"/>
  <c r="AI19" i="2"/>
  <c r="K19" i="2"/>
  <c r="GD19" i="2"/>
  <c r="FN19" i="2"/>
  <c r="DC19" i="2"/>
  <c r="CF19" i="2"/>
  <c r="AJ19" i="2"/>
  <c r="T19" i="2"/>
  <c r="J19" i="2"/>
  <c r="C13" i="8"/>
  <c r="EK19" i="2"/>
  <c r="B13" i="10"/>
  <c r="B14" i="8"/>
  <c r="DM20" i="2" a="1"/>
  <c r="DM20" i="2" s="1"/>
  <c r="CO20" i="2" a="1"/>
  <c r="CO20" i="2" s="1"/>
  <c r="S20" i="2" a="1"/>
  <c r="S20" i="2" s="1"/>
  <c r="Q20" i="2" a="1"/>
  <c r="Q20" i="2" s="1"/>
  <c r="B21" i="2"/>
  <c r="GL20" i="2" a="1"/>
  <c r="GL20" i="2" s="1"/>
  <c r="EV20" i="2" a="1"/>
  <c r="EV20" i="2" s="1"/>
  <c r="EW20" i="2" s="1"/>
  <c r="EJ20" i="2" a="1"/>
  <c r="EJ20" i="2" s="1"/>
  <c r="D14" i="8" s="1"/>
  <c r="EI20" i="2" a="1"/>
  <c r="EI20" i="2" s="1"/>
  <c r="DA20" i="2" a="1"/>
  <c r="DA20" i="2" s="1"/>
  <c r="AG20" i="2" a="1"/>
  <c r="AG20" i="2" s="1"/>
  <c r="AF20" i="2" a="1"/>
  <c r="AF20" i="2" s="1"/>
  <c r="G20" i="2" a="1"/>
  <c r="G20" i="2" s="1"/>
  <c r="H20" i="2" s="1" a="1"/>
  <c r="H20" i="2" s="1"/>
  <c r="A20" i="2"/>
  <c r="DQ20" i="2" s="1"/>
  <c r="BO18" i="2" a="1"/>
  <c r="BO18" i="2" s="1"/>
  <c r="O12" i="8"/>
  <c r="E12" i="8"/>
  <c r="AJ18" i="2"/>
  <c r="DY20" i="2" l="1"/>
  <c r="GE21" i="2" a="1"/>
  <c r="GE21" i="2" s="1"/>
  <c r="GG21" i="2" a="1"/>
  <c r="GG21" i="2" s="1"/>
  <c r="GI21" i="2" a="1"/>
  <c r="GI21" i="2" s="1"/>
  <c r="FP21" i="2" a="1"/>
  <c r="FP21" i="2" s="1"/>
  <c r="FR21" i="2" a="1"/>
  <c r="FR21" i="2" s="1"/>
  <c r="FT21" i="2" a="1"/>
  <c r="FT21" i="2" s="1"/>
  <c r="GF21" i="2" a="1"/>
  <c r="GF21" i="2" s="1"/>
  <c r="GH21" i="2" a="1"/>
  <c r="GH21" i="2" s="1"/>
  <c r="GJ21" i="2" a="1"/>
  <c r="GJ21" i="2" s="1"/>
  <c r="FQ21" i="2" a="1"/>
  <c r="FQ21" i="2" s="1"/>
  <c r="FS21" i="2" a="1"/>
  <c r="FS21" i="2" s="1"/>
  <c r="FU21" i="2" a="1"/>
  <c r="FU21" i="2" s="1"/>
  <c r="EY21" i="2" a="1"/>
  <c r="EY21" i="2" s="1"/>
  <c r="FA21" i="2" a="1"/>
  <c r="FA21" i="2" s="1"/>
  <c r="FC21" i="2" a="1"/>
  <c r="FC21" i="2" s="1"/>
  <c r="FE21" i="2" a="1"/>
  <c r="FE21" i="2" s="1"/>
  <c r="EZ21" i="2" a="1"/>
  <c r="EZ21" i="2" s="1"/>
  <c r="FB21" i="2" a="1"/>
  <c r="FB21" i="2" s="1"/>
  <c r="FD21" i="2" a="1"/>
  <c r="FD21" i="2" s="1"/>
  <c r="EE21" i="2" a="1"/>
  <c r="EE21" i="2" s="1"/>
  <c r="ED21" i="2" a="1"/>
  <c r="ED21" i="2" s="1"/>
  <c r="EA21" i="2" a="1"/>
  <c r="EA21" i="2" s="1"/>
  <c r="DZ21" i="2" a="1"/>
  <c r="DZ21" i="2" s="1"/>
  <c r="DR21" i="2" a="1"/>
  <c r="DR21" i="2" s="1"/>
  <c r="DT21" i="2" a="1"/>
  <c r="DT21" i="2" s="1"/>
  <c r="DV21" i="2" a="1"/>
  <c r="DV21" i="2" s="1"/>
  <c r="DX21" i="2" a="1"/>
  <c r="DX21" i="2" s="1"/>
  <c r="DD21" i="2" a="1"/>
  <c r="DD21" i="2" s="1"/>
  <c r="DF21" i="2" a="1"/>
  <c r="DF21" i="2" s="1"/>
  <c r="DH21" i="2" a="1"/>
  <c r="DH21" i="2" s="1"/>
  <c r="DJ21" i="2" a="1"/>
  <c r="DJ21" i="2" s="1"/>
  <c r="CR21" i="2" a="1"/>
  <c r="CR21" i="2" s="1"/>
  <c r="CT21" i="2" a="1"/>
  <c r="CT21" i="2" s="1"/>
  <c r="CV21" i="2" a="1"/>
  <c r="CV21" i="2" s="1"/>
  <c r="CX21" i="2" a="1"/>
  <c r="CX21" i="2" s="1"/>
  <c r="DS21" i="2" a="1"/>
  <c r="DS21" i="2" s="1"/>
  <c r="DU21" i="2" a="1"/>
  <c r="DU21" i="2" s="1"/>
  <c r="DW21" i="2" a="1"/>
  <c r="DW21" i="2" s="1"/>
  <c r="DE21" i="2" a="1"/>
  <c r="DE21" i="2" s="1"/>
  <c r="DI21" i="2" a="1"/>
  <c r="DI21" i="2" s="1"/>
  <c r="CS21" i="2" a="1"/>
  <c r="CS21" i="2" s="1"/>
  <c r="CW21" i="2" a="1"/>
  <c r="CW21" i="2" s="1"/>
  <c r="CH21" i="2" a="1"/>
  <c r="CH21" i="2" s="1"/>
  <c r="CJ21" i="2" a="1"/>
  <c r="CJ21" i="2" s="1"/>
  <c r="CL21" i="2" a="1"/>
  <c r="CL21" i="2" s="1"/>
  <c r="BR21" i="2" a="1"/>
  <c r="BR21" i="2" s="1"/>
  <c r="BT21" i="2" a="1"/>
  <c r="BT21" i="2" s="1"/>
  <c r="BV21" i="2" a="1"/>
  <c r="BV21" i="2" s="1"/>
  <c r="BB21" i="2" a="1"/>
  <c r="BB21" i="2" s="1"/>
  <c r="BD21" i="2" a="1"/>
  <c r="BD21" i="2" s="1"/>
  <c r="BF21" i="2" a="1"/>
  <c r="BF21" i="2" s="1"/>
  <c r="AL21" i="2" a="1"/>
  <c r="AL21" i="2" s="1"/>
  <c r="AN21" i="2" a="1"/>
  <c r="AN21" i="2" s="1"/>
  <c r="AP21" i="2" a="1"/>
  <c r="AP21" i="2" s="1"/>
  <c r="DG21" i="2" a="1"/>
  <c r="DG21" i="2" s="1"/>
  <c r="CU21" i="2" a="1"/>
  <c r="CU21" i="2" s="1"/>
  <c r="CG21" i="2" a="1"/>
  <c r="CG21" i="2" s="1"/>
  <c r="CI21" i="2" a="1"/>
  <c r="CI21" i="2" s="1"/>
  <c r="CK21" i="2" a="1"/>
  <c r="CK21" i="2" s="1"/>
  <c r="BQ21" i="2" a="1"/>
  <c r="BQ21" i="2" s="1"/>
  <c r="BS21" i="2" a="1"/>
  <c r="BS21" i="2" s="1"/>
  <c r="BU21" i="2" a="1"/>
  <c r="BU21" i="2" s="1"/>
  <c r="BA21" i="2" a="1"/>
  <c r="BA21" i="2" s="1"/>
  <c r="BE21" i="2" a="1"/>
  <c r="BE21" i="2" s="1"/>
  <c r="AK21" i="2" a="1"/>
  <c r="AK21" i="2" s="1"/>
  <c r="AO21" i="2" a="1"/>
  <c r="AO21" i="2" s="1"/>
  <c r="U21" i="2" a="1"/>
  <c r="U21" i="2" s="1"/>
  <c r="W21" i="2" a="1"/>
  <c r="W21" i="2" s="1"/>
  <c r="Y21" i="2" a="1"/>
  <c r="Y21" i="2" s="1"/>
  <c r="AA21" i="2" a="1"/>
  <c r="AA21" i="2" s="1"/>
  <c r="L21" i="2" a="1"/>
  <c r="L21" i="2" s="1"/>
  <c r="N21" i="2" a="1"/>
  <c r="N21" i="2" s="1"/>
  <c r="P21" i="2" a="1"/>
  <c r="P21" i="2" s="1"/>
  <c r="BC21" i="2" a="1"/>
  <c r="BC21" i="2" s="1"/>
  <c r="AM21" i="2" a="1"/>
  <c r="AM21" i="2" s="1"/>
  <c r="V21" i="2" a="1"/>
  <c r="V21" i="2" s="1"/>
  <c r="X21" i="2" a="1"/>
  <c r="X21" i="2" s="1"/>
  <c r="Z21" i="2" a="1"/>
  <c r="Z21" i="2" s="1"/>
  <c r="M21" i="2" a="1"/>
  <c r="M21" i="2" s="1"/>
  <c r="O21" i="2" a="1"/>
  <c r="O21" i="2" s="1"/>
  <c r="EB20" i="2" a="1"/>
  <c r="EB20" i="2" s="1"/>
  <c r="EC20" i="2"/>
  <c r="EF20" i="2" a="1"/>
  <c r="EF20" i="2" s="1"/>
  <c r="D21" i="2" a="1"/>
  <c r="D21" i="2" s="1"/>
  <c r="E21" i="2" s="1" a="1"/>
  <c r="E21" i="2" s="1"/>
  <c r="P12" i="8"/>
  <c r="Q12" i="8" s="1"/>
  <c r="R12" i="8" s="1"/>
  <c r="AB20" i="2" a="1"/>
  <c r="AB20" i="2" s="1"/>
  <c r="C21" i="2" a="1"/>
  <c r="C21" i="2" s="1"/>
  <c r="GK21" i="2" a="1"/>
  <c r="GK21" i="2" s="1"/>
  <c r="FX21" i="2" a="1"/>
  <c r="FX21" i="2" s="1"/>
  <c r="GA21" i="2" a="1"/>
  <c r="GA21" i="2" s="1"/>
  <c r="CZ21" i="2" a="1"/>
  <c r="CZ21" i="2" s="1"/>
  <c r="CN21" i="2" a="1"/>
  <c r="CN21" i="2" s="1"/>
  <c r="CC21" i="2" a="1"/>
  <c r="CC21" i="2" s="1"/>
  <c r="BZ21" i="2" a="1"/>
  <c r="BZ21" i="2" s="1"/>
  <c r="BL21" i="2" a="1"/>
  <c r="BL21" i="2" s="1"/>
  <c r="AR21" i="2" a="1"/>
  <c r="AR21" i="2" s="1"/>
  <c r="EU21" i="2" a="1"/>
  <c r="EU21" i="2" s="1"/>
  <c r="DL21" i="2" a="1"/>
  <c r="DL21" i="2" s="1"/>
  <c r="BH21" i="2" a="1"/>
  <c r="BH21" i="2" s="1"/>
  <c r="AV21" i="2" a="1"/>
  <c r="AV21" i="2" s="1"/>
  <c r="GB21" i="2" a="1"/>
  <c r="GB21" i="2" s="1"/>
  <c r="FY21" i="2" a="1"/>
  <c r="FY21" i="2" s="1"/>
  <c r="FJ21" i="2" a="1"/>
  <c r="FJ21" i="2" s="1"/>
  <c r="FG21" i="2" a="1"/>
  <c r="FG21" i="2" s="1"/>
  <c r="CD21" i="2" a="1"/>
  <c r="CD21" i="2" s="1"/>
  <c r="CA21" i="2" a="1"/>
  <c r="CA21" i="2" s="1"/>
  <c r="BM21" i="2" a="1"/>
  <c r="BM21" i="2" s="1"/>
  <c r="BI21" i="2" a="1"/>
  <c r="BI21" i="2" s="1"/>
  <c r="AW21" i="2" a="1"/>
  <c r="AW21" i="2" s="1"/>
  <c r="AC21" i="2" a="1"/>
  <c r="AC21" i="2" s="1"/>
  <c r="FH21" i="2" a="1"/>
  <c r="FH21" i="2" s="1"/>
  <c r="AS21" i="2" a="1"/>
  <c r="AS21" i="2" s="1"/>
  <c r="AD21" i="2" a="1"/>
  <c r="AD21" i="2" s="1"/>
  <c r="F21" i="2" a="1"/>
  <c r="F21" i="2" s="1"/>
  <c r="FK21" i="2" a="1"/>
  <c r="FK21" i="2" s="1"/>
  <c r="BO19" i="2" a="1"/>
  <c r="BO19" i="2" s="1"/>
  <c r="AE20" i="2" a="1"/>
  <c r="AE20" i="2" s="1"/>
  <c r="DN20" i="2"/>
  <c r="FI20" i="2"/>
  <c r="FZ20" i="2"/>
  <c r="BJ20" i="2"/>
  <c r="CB20" i="2"/>
  <c r="EQ18" i="2"/>
  <c r="ES18" i="2" s="1"/>
  <c r="I20" i="2"/>
  <c r="AT20" i="2"/>
  <c r="AQ20" i="2" a="1"/>
  <c r="AQ20" i="2" s="1"/>
  <c r="BY20" i="2"/>
  <c r="CY20" i="2"/>
  <c r="DB20" i="2"/>
  <c r="ET20" i="2"/>
  <c r="AX20" i="2"/>
  <c r="AU20" i="2" a="1"/>
  <c r="AU20" i="2" s="1"/>
  <c r="BN20" i="2"/>
  <c r="BK20" i="2"/>
  <c r="CP20" i="2"/>
  <c r="CM20" i="2"/>
  <c r="J14" i="8" a="1"/>
  <c r="J14" i="8" s="1"/>
  <c r="K14" i="8" s="1" a="1"/>
  <c r="K14" i="8" s="1"/>
  <c r="F14" i="8" a="1"/>
  <c r="F14" i="8" s="1"/>
  <c r="L14" i="8" s="1"/>
  <c r="I14" i="8" a="1"/>
  <c r="I14" i="8" s="1"/>
  <c r="M14" i="8" s="1"/>
  <c r="G14" i="8" a="1"/>
  <c r="G14" i="8" s="1"/>
  <c r="H14" i="8" s="1" a="1"/>
  <c r="H14" i="8" s="1"/>
  <c r="E13" i="8"/>
  <c r="O13" i="8"/>
  <c r="CE19" i="2" a="1"/>
  <c r="CE19" i="2" s="1"/>
  <c r="AY19" i="2" a="1"/>
  <c r="AY19" i="2" s="1"/>
  <c r="GC19" i="2"/>
  <c r="FL19" i="2" a="1"/>
  <c r="FL19" i="2" s="1"/>
  <c r="A13" i="10"/>
  <c r="A14" i="8"/>
  <c r="S14" i="8" s="1"/>
  <c r="GD20" i="2"/>
  <c r="FN20" i="2"/>
  <c r="DC20" i="2"/>
  <c r="CF20" i="2"/>
  <c r="AJ20" i="2"/>
  <c r="T20" i="2"/>
  <c r="J20" i="2"/>
  <c r="GN20" i="2"/>
  <c r="FM20" i="2"/>
  <c r="ES20" i="2"/>
  <c r="CQ20" i="2"/>
  <c r="BP20" i="2"/>
  <c r="AZ20" i="2"/>
  <c r="AI20" i="2"/>
  <c r="K20" i="2"/>
  <c r="C14" i="8"/>
  <c r="EK20" i="2"/>
  <c r="E14" i="8" s="1"/>
  <c r="B14" i="10"/>
  <c r="B15" i="8"/>
  <c r="B22" i="2"/>
  <c r="GL21" i="2" a="1"/>
  <c r="GL21" i="2" s="1"/>
  <c r="EV21" i="2" a="1"/>
  <c r="EV21" i="2" s="1"/>
  <c r="EW21" i="2" s="1"/>
  <c r="EJ21" i="2" a="1"/>
  <c r="EJ21" i="2" s="1"/>
  <c r="D15" i="8" s="1"/>
  <c r="EI21" i="2" a="1"/>
  <c r="EI21" i="2" s="1"/>
  <c r="DA21" i="2" a="1"/>
  <c r="DA21" i="2" s="1"/>
  <c r="AG21" i="2" a="1"/>
  <c r="AG21" i="2" s="1"/>
  <c r="AF21" i="2" a="1"/>
  <c r="AF21" i="2" s="1"/>
  <c r="G21" i="2" a="1"/>
  <c r="G21" i="2" s="1"/>
  <c r="H21" i="2" s="1" a="1"/>
  <c r="H21" i="2" s="1"/>
  <c r="A21" i="2"/>
  <c r="DQ21" i="2" s="1"/>
  <c r="DM21" i="2" a="1"/>
  <c r="DM21" i="2" s="1"/>
  <c r="CO21" i="2" a="1"/>
  <c r="CO21" i="2" s="1"/>
  <c r="S21" i="2" a="1"/>
  <c r="S21" i="2" s="1"/>
  <c r="Q21" i="2" a="1"/>
  <c r="Q21" i="2" s="1"/>
  <c r="DK20" i="2"/>
  <c r="FL20" i="2" a="1"/>
  <c r="FL20" i="2" s="1"/>
  <c r="FF20" i="2"/>
  <c r="GC20" i="2"/>
  <c r="FW20" i="2"/>
  <c r="S12" i="8"/>
  <c r="ER18" i="2" s="1"/>
  <c r="N13" i="8"/>
  <c r="AH19" i="2" a="1"/>
  <c r="AH19" i="2" s="1"/>
  <c r="GE22" i="2" l="1" a="1"/>
  <c r="GE22" i="2" s="1"/>
  <c r="GG22" i="2" a="1"/>
  <c r="GG22" i="2" s="1"/>
  <c r="GI22" i="2" a="1"/>
  <c r="GI22" i="2" s="1"/>
  <c r="FP22" i="2" a="1"/>
  <c r="FP22" i="2" s="1"/>
  <c r="FR22" i="2" a="1"/>
  <c r="FR22" i="2" s="1"/>
  <c r="FT22" i="2" a="1"/>
  <c r="FT22" i="2" s="1"/>
  <c r="GF22" i="2" a="1"/>
  <c r="GF22" i="2" s="1"/>
  <c r="GH22" i="2" a="1"/>
  <c r="GH22" i="2" s="1"/>
  <c r="GJ22" i="2" a="1"/>
  <c r="GJ22" i="2" s="1"/>
  <c r="FQ22" i="2" a="1"/>
  <c r="FQ22" i="2" s="1"/>
  <c r="FS22" i="2" a="1"/>
  <c r="FS22" i="2" s="1"/>
  <c r="FU22" i="2" a="1"/>
  <c r="FU22" i="2" s="1"/>
  <c r="EZ22" i="2" a="1"/>
  <c r="EZ22" i="2" s="1"/>
  <c r="FB22" i="2" a="1"/>
  <c r="FB22" i="2" s="1"/>
  <c r="FD22" i="2" a="1"/>
  <c r="FD22" i="2" s="1"/>
  <c r="EE22" i="2" a="1"/>
  <c r="EE22" i="2" s="1"/>
  <c r="ED22" i="2" a="1"/>
  <c r="ED22" i="2" s="1"/>
  <c r="EA22" i="2" a="1"/>
  <c r="EA22" i="2" s="1"/>
  <c r="DZ22" i="2" a="1"/>
  <c r="DZ22" i="2" s="1"/>
  <c r="EY22" i="2" a="1"/>
  <c r="EY22" i="2" s="1"/>
  <c r="FA22" i="2" a="1"/>
  <c r="FA22" i="2" s="1"/>
  <c r="FC22" i="2" a="1"/>
  <c r="FC22" i="2" s="1"/>
  <c r="FE22" i="2" a="1"/>
  <c r="FE22" i="2" s="1"/>
  <c r="DS22" i="2" a="1"/>
  <c r="DS22" i="2" s="1"/>
  <c r="DU22" i="2" a="1"/>
  <c r="DU22" i="2" s="1"/>
  <c r="DW22" i="2" a="1"/>
  <c r="DW22" i="2" s="1"/>
  <c r="DE22" i="2" a="1"/>
  <c r="DE22" i="2" s="1"/>
  <c r="DG22" i="2" a="1"/>
  <c r="DG22" i="2" s="1"/>
  <c r="DI22" i="2" a="1"/>
  <c r="DI22" i="2" s="1"/>
  <c r="CS22" i="2" a="1"/>
  <c r="CS22" i="2" s="1"/>
  <c r="CU22" i="2" a="1"/>
  <c r="CU22" i="2" s="1"/>
  <c r="CW22" i="2" a="1"/>
  <c r="CW22" i="2" s="1"/>
  <c r="DR22" i="2" a="1"/>
  <c r="DR22" i="2" s="1"/>
  <c r="DT22" i="2" a="1"/>
  <c r="DT22" i="2" s="1"/>
  <c r="DV22" i="2" a="1"/>
  <c r="DV22" i="2" s="1"/>
  <c r="DX22" i="2" a="1"/>
  <c r="DX22" i="2" s="1"/>
  <c r="DF22" i="2" a="1"/>
  <c r="DF22" i="2" s="1"/>
  <c r="DJ22" i="2" a="1"/>
  <c r="DJ22" i="2" s="1"/>
  <c r="CT22" i="2" a="1"/>
  <c r="CT22" i="2" s="1"/>
  <c r="CX22" i="2" a="1"/>
  <c r="CX22" i="2" s="1"/>
  <c r="CH22" i="2" a="1"/>
  <c r="CH22" i="2" s="1"/>
  <c r="CJ22" i="2" a="1"/>
  <c r="CJ22" i="2" s="1"/>
  <c r="CL22" i="2" a="1"/>
  <c r="CL22" i="2" s="1"/>
  <c r="BR22" i="2" a="1"/>
  <c r="BR22" i="2" s="1"/>
  <c r="BT22" i="2" a="1"/>
  <c r="BT22" i="2" s="1"/>
  <c r="BV22" i="2" a="1"/>
  <c r="BV22" i="2" s="1"/>
  <c r="BB22" i="2" a="1"/>
  <c r="BB22" i="2" s="1"/>
  <c r="BD22" i="2" a="1"/>
  <c r="BD22" i="2" s="1"/>
  <c r="BF22" i="2" a="1"/>
  <c r="BF22" i="2" s="1"/>
  <c r="AL22" i="2" a="1"/>
  <c r="AL22" i="2" s="1"/>
  <c r="AN22" i="2" a="1"/>
  <c r="AN22" i="2" s="1"/>
  <c r="AP22" i="2" a="1"/>
  <c r="AP22" i="2" s="1"/>
  <c r="DD22" i="2" a="1"/>
  <c r="DD22" i="2" s="1"/>
  <c r="DH22" i="2" a="1"/>
  <c r="DH22" i="2" s="1"/>
  <c r="CR22" i="2" a="1"/>
  <c r="CR22" i="2" s="1"/>
  <c r="CV22" i="2" a="1"/>
  <c r="CV22" i="2" s="1"/>
  <c r="CG22" i="2" a="1"/>
  <c r="CG22" i="2" s="1"/>
  <c r="CI22" i="2" a="1"/>
  <c r="CI22" i="2" s="1"/>
  <c r="CK22" i="2" a="1"/>
  <c r="CK22" i="2" s="1"/>
  <c r="BQ22" i="2" a="1"/>
  <c r="BQ22" i="2" s="1"/>
  <c r="BS22" i="2" a="1"/>
  <c r="BS22" i="2" s="1"/>
  <c r="BU22" i="2" a="1"/>
  <c r="BU22" i="2" s="1"/>
  <c r="BC22" i="2" a="1"/>
  <c r="BC22" i="2" s="1"/>
  <c r="AM22" i="2" a="1"/>
  <c r="AM22" i="2" s="1"/>
  <c r="V22" i="2" a="1"/>
  <c r="V22" i="2" s="1"/>
  <c r="X22" i="2" a="1"/>
  <c r="X22" i="2" s="1"/>
  <c r="Z22" i="2" a="1"/>
  <c r="Z22" i="2" s="1"/>
  <c r="M22" i="2" a="1"/>
  <c r="M22" i="2" s="1"/>
  <c r="O22" i="2" a="1"/>
  <c r="O22" i="2" s="1"/>
  <c r="BA22" i="2" a="1"/>
  <c r="BA22" i="2" s="1"/>
  <c r="BE22" i="2" a="1"/>
  <c r="BE22" i="2" s="1"/>
  <c r="AK22" i="2" a="1"/>
  <c r="AK22" i="2" s="1"/>
  <c r="AO22" i="2" a="1"/>
  <c r="AO22" i="2" s="1"/>
  <c r="U22" i="2" a="1"/>
  <c r="U22" i="2" s="1"/>
  <c r="W22" i="2" a="1"/>
  <c r="W22" i="2" s="1"/>
  <c r="Y22" i="2" a="1"/>
  <c r="Y22" i="2" s="1"/>
  <c r="AA22" i="2" a="1"/>
  <c r="AA22" i="2" s="1"/>
  <c r="L22" i="2" a="1"/>
  <c r="L22" i="2" s="1"/>
  <c r="N22" i="2" a="1"/>
  <c r="N22" i="2" s="1"/>
  <c r="P22" i="2" a="1"/>
  <c r="P22" i="2" s="1"/>
  <c r="EB21" i="2" a="1"/>
  <c r="EB21" i="2" s="1"/>
  <c r="DY21" i="2"/>
  <c r="EC21" i="2"/>
  <c r="EF21" i="2" a="1"/>
  <c r="EF21" i="2" s="1"/>
  <c r="D22" i="2" a="1"/>
  <c r="D22" i="2" s="1"/>
  <c r="E22" i="2" s="1" a="1"/>
  <c r="E22" i="2" s="1"/>
  <c r="P13" i="8"/>
  <c r="Q13" i="8" s="1"/>
  <c r="R13" i="8" s="1"/>
  <c r="EQ19" i="2" s="1"/>
  <c r="GA22" i="2" a="1"/>
  <c r="GA22" i="2" s="1"/>
  <c r="C22" i="2" a="1"/>
  <c r="C22" i="2" s="1"/>
  <c r="EU22" i="2" a="1"/>
  <c r="EU22" i="2" s="1"/>
  <c r="DL22" i="2" a="1"/>
  <c r="DL22" i="2" s="1"/>
  <c r="BL22" i="2" a="1"/>
  <c r="BL22" i="2" s="1"/>
  <c r="FX22" i="2" a="1"/>
  <c r="FX22" i="2" s="1"/>
  <c r="CZ22" i="2" a="1"/>
  <c r="CZ22" i="2" s="1"/>
  <c r="CN22" i="2" a="1"/>
  <c r="CN22" i="2" s="1"/>
  <c r="CC22" i="2" a="1"/>
  <c r="CC22" i="2" s="1"/>
  <c r="BZ22" i="2" a="1"/>
  <c r="BZ22" i="2" s="1"/>
  <c r="BH22" i="2" a="1"/>
  <c r="BH22" i="2" s="1"/>
  <c r="AV22" i="2" a="1"/>
  <c r="AV22" i="2" s="1"/>
  <c r="GK22" i="2" a="1"/>
  <c r="GK22" i="2" s="1"/>
  <c r="AR22" i="2" a="1"/>
  <c r="AR22" i="2" s="1"/>
  <c r="AB21" i="2" a="1"/>
  <c r="AB21" i="2" s="1"/>
  <c r="FY22" i="2" a="1"/>
  <c r="FY22" i="2" s="1"/>
  <c r="FH22" i="2" a="1"/>
  <c r="FH22" i="2" s="1"/>
  <c r="FK22" i="2" a="1"/>
  <c r="FK22" i="2" s="1"/>
  <c r="AS22" i="2" a="1"/>
  <c r="AS22" i="2" s="1"/>
  <c r="AD22" i="2" a="1"/>
  <c r="AD22" i="2" s="1"/>
  <c r="FG22" i="2" a="1"/>
  <c r="FG22" i="2" s="1"/>
  <c r="CD22" i="2" a="1"/>
  <c r="CD22" i="2" s="1"/>
  <c r="BM22" i="2" a="1"/>
  <c r="BM22" i="2" s="1"/>
  <c r="GB22" i="2" a="1"/>
  <c r="GB22" i="2" s="1"/>
  <c r="FJ22" i="2" a="1"/>
  <c r="FJ22" i="2" s="1"/>
  <c r="CA22" i="2" a="1"/>
  <c r="CA22" i="2" s="1"/>
  <c r="BI22" i="2" a="1"/>
  <c r="BI22" i="2" s="1"/>
  <c r="AW22" i="2" a="1"/>
  <c r="AW22" i="2" s="1"/>
  <c r="AC22" i="2" a="1"/>
  <c r="AC22" i="2" s="1"/>
  <c r="AB22" i="2" s="1" a="1"/>
  <c r="AB22" i="2" s="1"/>
  <c r="F22" i="2" a="1"/>
  <c r="F22" i="2" s="1"/>
  <c r="DN21" i="2"/>
  <c r="BJ21" i="2"/>
  <c r="CB21" i="2"/>
  <c r="BK21" i="2"/>
  <c r="BN21" i="2"/>
  <c r="CM21" i="2"/>
  <c r="CP21" i="2"/>
  <c r="A14" i="10"/>
  <c r="A15" i="8"/>
  <c r="S15" i="8" s="1"/>
  <c r="GN21" i="2"/>
  <c r="FM21" i="2"/>
  <c r="ES21" i="2"/>
  <c r="CQ21" i="2"/>
  <c r="BP21" i="2"/>
  <c r="AZ21" i="2"/>
  <c r="AI21" i="2"/>
  <c r="K21" i="2"/>
  <c r="GD21" i="2"/>
  <c r="FN21" i="2"/>
  <c r="DC21" i="2"/>
  <c r="CF21" i="2"/>
  <c r="AJ21" i="2"/>
  <c r="T21" i="2"/>
  <c r="J21" i="2"/>
  <c r="C15" i="8"/>
  <c r="EK21" i="2"/>
  <c r="E15" i="8" s="1"/>
  <c r="B15" i="10"/>
  <c r="B16" i="8"/>
  <c r="DM22" i="2" a="1"/>
  <c r="DM22" i="2" s="1"/>
  <c r="CO22" i="2" a="1"/>
  <c r="CO22" i="2" s="1"/>
  <c r="S22" i="2" a="1"/>
  <c r="S22" i="2" s="1"/>
  <c r="Q22" i="2" a="1"/>
  <c r="Q22" i="2" s="1"/>
  <c r="B23" i="2"/>
  <c r="GL22" i="2" a="1"/>
  <c r="GL22" i="2" s="1"/>
  <c r="EV22" i="2" a="1"/>
  <c r="EV22" i="2" s="1"/>
  <c r="EW22" i="2" s="1"/>
  <c r="EJ22" i="2" a="1"/>
  <c r="EJ22" i="2" s="1"/>
  <c r="D16" i="8" s="1"/>
  <c r="EI22" i="2" a="1"/>
  <c r="EI22" i="2" s="1"/>
  <c r="DA22" i="2" a="1"/>
  <c r="DA22" i="2" s="1"/>
  <c r="AG22" i="2" a="1"/>
  <c r="AG22" i="2" s="1"/>
  <c r="AF22" i="2" a="1"/>
  <c r="AF22" i="2" s="1"/>
  <c r="G22" i="2" a="1"/>
  <c r="G22" i="2" s="1"/>
  <c r="H22" i="2" s="1" a="1"/>
  <c r="H22" i="2" s="1"/>
  <c r="A22" i="2"/>
  <c r="DQ22" i="2" s="1"/>
  <c r="O14" i="8"/>
  <c r="N14" i="8"/>
  <c r="AX21" i="2"/>
  <c r="AU21" i="2" a="1"/>
  <c r="AU21" i="2" s="1"/>
  <c r="DK21" i="2"/>
  <c r="FL21" i="2" a="1"/>
  <c r="FL21" i="2" s="1"/>
  <c r="FF21" i="2"/>
  <c r="GC21" i="2"/>
  <c r="FW21" i="2"/>
  <c r="I21" i="2"/>
  <c r="AH21" i="2" a="1"/>
  <c r="AH21" i="2" s="1"/>
  <c r="AE21" i="2" a="1"/>
  <c r="AE21" i="2" s="1"/>
  <c r="AT21" i="2"/>
  <c r="AQ21" i="2" a="1"/>
  <c r="AQ21" i="2" s="1"/>
  <c r="CE21" i="2" a="1"/>
  <c r="CE21" i="2" s="1"/>
  <c r="BY21" i="2"/>
  <c r="DB21" i="2"/>
  <c r="CY21" i="2"/>
  <c r="ET21" i="2"/>
  <c r="FI21" i="2"/>
  <c r="FZ21" i="2"/>
  <c r="J15" i="8" a="1"/>
  <c r="J15" i="8" s="1"/>
  <c r="K15" i="8" s="1" a="1"/>
  <c r="K15" i="8" s="1"/>
  <c r="I15" i="8" a="1"/>
  <c r="I15" i="8" s="1"/>
  <c r="M15" i="8" s="1"/>
  <c r="G15" i="8" a="1"/>
  <c r="G15" i="8" s="1"/>
  <c r="H15" i="8" s="1" a="1"/>
  <c r="H15" i="8" s="1"/>
  <c r="F15" i="8" a="1"/>
  <c r="F15" i="8" s="1"/>
  <c r="L15" i="8" s="1"/>
  <c r="BO20" i="2" a="1"/>
  <c r="BO20" i="2" s="1"/>
  <c r="CE20" i="2" a="1"/>
  <c r="CE20" i="2" s="1"/>
  <c r="AY20" i="2" a="1"/>
  <c r="AY20" i="2" s="1"/>
  <c r="AH20" i="2" a="1"/>
  <c r="AH20" i="2" s="1"/>
  <c r="EC22" i="2" l="1"/>
  <c r="BO21" i="2" a="1"/>
  <c r="BO21" i="2" s="1"/>
  <c r="DY22" i="2"/>
  <c r="EB22" i="2" a="1"/>
  <c r="EB22" i="2" s="1"/>
  <c r="EF22" i="2" a="1"/>
  <c r="EF22" i="2" s="1"/>
  <c r="GE23" i="2" a="1"/>
  <c r="GE23" i="2" s="1"/>
  <c r="GG23" i="2" a="1"/>
  <c r="GG23" i="2" s="1"/>
  <c r="GI23" i="2" a="1"/>
  <c r="GI23" i="2" s="1"/>
  <c r="FP23" i="2" a="1"/>
  <c r="FP23" i="2" s="1"/>
  <c r="FR23" i="2" a="1"/>
  <c r="FR23" i="2" s="1"/>
  <c r="FT23" i="2" a="1"/>
  <c r="FT23" i="2" s="1"/>
  <c r="GF23" i="2" a="1"/>
  <c r="GF23" i="2" s="1"/>
  <c r="GH23" i="2" a="1"/>
  <c r="GH23" i="2" s="1"/>
  <c r="GJ23" i="2" a="1"/>
  <c r="GJ23" i="2" s="1"/>
  <c r="FQ23" i="2" a="1"/>
  <c r="FQ23" i="2" s="1"/>
  <c r="FS23" i="2" a="1"/>
  <c r="FS23" i="2" s="1"/>
  <c r="FU23" i="2" a="1"/>
  <c r="FU23" i="2" s="1"/>
  <c r="EY23" i="2" a="1"/>
  <c r="EY23" i="2" s="1"/>
  <c r="FA23" i="2" a="1"/>
  <c r="FA23" i="2" s="1"/>
  <c r="FC23" i="2" a="1"/>
  <c r="FC23" i="2" s="1"/>
  <c r="FE23" i="2" a="1"/>
  <c r="FE23" i="2" s="1"/>
  <c r="EZ23" i="2" a="1"/>
  <c r="EZ23" i="2" s="1"/>
  <c r="FB23" i="2" a="1"/>
  <c r="FB23" i="2" s="1"/>
  <c r="FD23" i="2" a="1"/>
  <c r="FD23" i="2" s="1"/>
  <c r="EE23" i="2" a="1"/>
  <c r="EE23" i="2" s="1"/>
  <c r="ED23" i="2" a="1"/>
  <c r="ED23" i="2" s="1"/>
  <c r="EA23" i="2" a="1"/>
  <c r="EA23" i="2" s="1"/>
  <c r="DZ23" i="2" a="1"/>
  <c r="DZ23" i="2" s="1"/>
  <c r="DR23" i="2" a="1"/>
  <c r="DR23" i="2" s="1"/>
  <c r="DT23" i="2" a="1"/>
  <c r="DT23" i="2" s="1"/>
  <c r="DV23" i="2" a="1"/>
  <c r="DV23" i="2" s="1"/>
  <c r="DX23" i="2" a="1"/>
  <c r="DX23" i="2" s="1"/>
  <c r="DD23" i="2" a="1"/>
  <c r="DD23" i="2" s="1"/>
  <c r="DF23" i="2" a="1"/>
  <c r="DF23" i="2" s="1"/>
  <c r="DH23" i="2" a="1"/>
  <c r="DH23" i="2" s="1"/>
  <c r="DJ23" i="2" a="1"/>
  <c r="DJ23" i="2" s="1"/>
  <c r="CR23" i="2" a="1"/>
  <c r="CR23" i="2" s="1"/>
  <c r="CT23" i="2" a="1"/>
  <c r="CT23" i="2" s="1"/>
  <c r="CV23" i="2" a="1"/>
  <c r="CV23" i="2" s="1"/>
  <c r="CX23" i="2" a="1"/>
  <c r="CX23" i="2" s="1"/>
  <c r="DS23" i="2" a="1"/>
  <c r="DS23" i="2" s="1"/>
  <c r="DU23" i="2" a="1"/>
  <c r="DU23" i="2" s="1"/>
  <c r="DW23" i="2" a="1"/>
  <c r="DW23" i="2" s="1"/>
  <c r="DG23" i="2" a="1"/>
  <c r="DG23" i="2" s="1"/>
  <c r="CU23" i="2" a="1"/>
  <c r="CU23" i="2" s="1"/>
  <c r="CH23" i="2" a="1"/>
  <c r="CH23" i="2" s="1"/>
  <c r="CJ23" i="2" a="1"/>
  <c r="CJ23" i="2" s="1"/>
  <c r="CL23" i="2" a="1"/>
  <c r="CL23" i="2" s="1"/>
  <c r="BR23" i="2" a="1"/>
  <c r="BR23" i="2" s="1"/>
  <c r="BT23" i="2" a="1"/>
  <c r="BT23" i="2" s="1"/>
  <c r="BV23" i="2" a="1"/>
  <c r="BV23" i="2" s="1"/>
  <c r="BB23" i="2" a="1"/>
  <c r="BB23" i="2" s="1"/>
  <c r="BD23" i="2" a="1"/>
  <c r="BD23" i="2" s="1"/>
  <c r="BF23" i="2" a="1"/>
  <c r="BF23" i="2" s="1"/>
  <c r="AL23" i="2" a="1"/>
  <c r="AL23" i="2" s="1"/>
  <c r="AN23" i="2" a="1"/>
  <c r="AN23" i="2" s="1"/>
  <c r="AP23" i="2" a="1"/>
  <c r="AP23" i="2" s="1"/>
  <c r="DE23" i="2" a="1"/>
  <c r="DE23" i="2" s="1"/>
  <c r="DI23" i="2" a="1"/>
  <c r="DI23" i="2" s="1"/>
  <c r="CS23" i="2" a="1"/>
  <c r="CS23" i="2" s="1"/>
  <c r="CW23" i="2" a="1"/>
  <c r="CW23" i="2" s="1"/>
  <c r="CG23" i="2" a="1"/>
  <c r="CG23" i="2" s="1"/>
  <c r="CI23" i="2" a="1"/>
  <c r="CI23" i="2" s="1"/>
  <c r="CK23" i="2" a="1"/>
  <c r="CK23" i="2" s="1"/>
  <c r="BQ23" i="2" a="1"/>
  <c r="BQ23" i="2" s="1"/>
  <c r="BS23" i="2" a="1"/>
  <c r="BS23" i="2" s="1"/>
  <c r="BU23" i="2" a="1"/>
  <c r="BU23" i="2" s="1"/>
  <c r="BA23" i="2" a="1"/>
  <c r="BA23" i="2" s="1"/>
  <c r="BE23" i="2" a="1"/>
  <c r="BE23" i="2" s="1"/>
  <c r="AK23" i="2" a="1"/>
  <c r="AK23" i="2" s="1"/>
  <c r="AO23" i="2" a="1"/>
  <c r="AO23" i="2" s="1"/>
  <c r="U23" i="2" a="1"/>
  <c r="U23" i="2" s="1"/>
  <c r="W23" i="2" a="1"/>
  <c r="W23" i="2" s="1"/>
  <c r="Y23" i="2" a="1"/>
  <c r="Y23" i="2" s="1"/>
  <c r="AA23" i="2" a="1"/>
  <c r="AA23" i="2" s="1"/>
  <c r="L23" i="2" a="1"/>
  <c r="L23" i="2" s="1"/>
  <c r="N23" i="2" a="1"/>
  <c r="N23" i="2" s="1"/>
  <c r="P23" i="2" a="1"/>
  <c r="P23" i="2" s="1"/>
  <c r="BC23" i="2" a="1"/>
  <c r="BC23" i="2" s="1"/>
  <c r="AM23" i="2" a="1"/>
  <c r="AM23" i="2" s="1"/>
  <c r="V23" i="2" a="1"/>
  <c r="V23" i="2" s="1"/>
  <c r="X23" i="2" a="1"/>
  <c r="X23" i="2" s="1"/>
  <c r="Z23" i="2" a="1"/>
  <c r="Z23" i="2" s="1"/>
  <c r="M23" i="2" a="1"/>
  <c r="M23" i="2" s="1"/>
  <c r="O23" i="2" a="1"/>
  <c r="O23" i="2" s="1"/>
  <c r="D23" i="2" a="1"/>
  <c r="D23" i="2" s="1"/>
  <c r="E23" i="2" s="1" a="1"/>
  <c r="E23" i="2" s="1"/>
  <c r="C23" i="2" a="1"/>
  <c r="C23" i="2" s="1"/>
  <c r="GK23" i="2" a="1"/>
  <c r="GK23" i="2" s="1"/>
  <c r="GA23" i="2" a="1"/>
  <c r="GA23" i="2" s="1"/>
  <c r="FX23" i="2" a="1"/>
  <c r="FX23" i="2" s="1"/>
  <c r="CZ23" i="2" a="1"/>
  <c r="CZ23" i="2" s="1"/>
  <c r="CN23" i="2" a="1"/>
  <c r="CN23" i="2" s="1"/>
  <c r="CC23" i="2" a="1"/>
  <c r="CC23" i="2" s="1"/>
  <c r="BZ23" i="2" a="1"/>
  <c r="BZ23" i="2" s="1"/>
  <c r="EU23" i="2" a="1"/>
  <c r="EU23" i="2" s="1"/>
  <c r="DL23" i="2" a="1"/>
  <c r="DL23" i="2" s="1"/>
  <c r="AR23" i="2" a="1"/>
  <c r="AR23" i="2" s="1"/>
  <c r="BL23" i="2" a="1"/>
  <c r="BL23" i="2" s="1"/>
  <c r="BH23" i="2" a="1"/>
  <c r="BH23" i="2" s="1"/>
  <c r="AV23" i="2" a="1"/>
  <c r="AV23" i="2" s="1"/>
  <c r="GB23" i="2" a="1"/>
  <c r="GB23" i="2" s="1"/>
  <c r="FJ23" i="2" a="1"/>
  <c r="FJ23" i="2" s="1"/>
  <c r="FG23" i="2" a="1"/>
  <c r="FG23" i="2" s="1"/>
  <c r="CD23" i="2" a="1"/>
  <c r="CD23" i="2" s="1"/>
  <c r="FY23" i="2" a="1"/>
  <c r="FY23" i="2" s="1"/>
  <c r="FH23" i="2" a="1"/>
  <c r="FH23" i="2" s="1"/>
  <c r="CA23" i="2" a="1"/>
  <c r="CA23" i="2" s="1"/>
  <c r="BM23" i="2" a="1"/>
  <c r="BM23" i="2" s="1"/>
  <c r="BI23" i="2" a="1"/>
  <c r="BI23" i="2" s="1"/>
  <c r="AW23" i="2" a="1"/>
  <c r="AW23" i="2" s="1"/>
  <c r="AC23" i="2" a="1"/>
  <c r="AC23" i="2" s="1"/>
  <c r="FK23" i="2" a="1"/>
  <c r="FK23" i="2" s="1"/>
  <c r="F23" i="2" a="1"/>
  <c r="F23" i="2" s="1"/>
  <c r="AS23" i="2" a="1"/>
  <c r="AS23" i="2" s="1"/>
  <c r="AD23" i="2" a="1"/>
  <c r="AD23" i="2" s="1"/>
  <c r="AY21" i="2" a="1"/>
  <c r="AY21" i="2" s="1"/>
  <c r="AE22" i="2" a="1"/>
  <c r="AE22" i="2" s="1"/>
  <c r="FI22" i="2"/>
  <c r="FZ22" i="2"/>
  <c r="DN22" i="2"/>
  <c r="N15" i="8"/>
  <c r="CB22" i="2"/>
  <c r="O15" i="8"/>
  <c r="P14" i="8"/>
  <c r="Q14" i="8" s="1"/>
  <c r="R14" i="8" s="1"/>
  <c r="A15" i="10"/>
  <c r="A16" i="8"/>
  <c r="S16" i="8" s="1"/>
  <c r="GD22" i="2"/>
  <c r="FN22" i="2"/>
  <c r="DC22" i="2"/>
  <c r="CF22" i="2"/>
  <c r="AJ22" i="2"/>
  <c r="T22" i="2"/>
  <c r="J22" i="2"/>
  <c r="GN22" i="2"/>
  <c r="FM22" i="2"/>
  <c r="ES22" i="2"/>
  <c r="CQ22" i="2"/>
  <c r="BP22" i="2"/>
  <c r="AZ22" i="2"/>
  <c r="AI22" i="2"/>
  <c r="K22" i="2"/>
  <c r="C16" i="8"/>
  <c r="EK22" i="2"/>
  <c r="CE22" i="2" s="1" a="1"/>
  <c r="CE22" i="2" s="1"/>
  <c r="B16" i="10"/>
  <c r="B17" i="8"/>
  <c r="B24" i="2"/>
  <c r="GL23" i="2" a="1"/>
  <c r="GL23" i="2" s="1"/>
  <c r="EV23" i="2" a="1"/>
  <c r="EV23" i="2" s="1"/>
  <c r="EW23" i="2" s="1"/>
  <c r="EJ23" i="2" a="1"/>
  <c r="EJ23" i="2" s="1"/>
  <c r="D17" i="8" s="1"/>
  <c r="EI23" i="2" a="1"/>
  <c r="EI23" i="2" s="1"/>
  <c r="DA23" i="2" a="1"/>
  <c r="DA23" i="2" s="1"/>
  <c r="AG23" i="2" a="1"/>
  <c r="AG23" i="2" s="1"/>
  <c r="AF23" i="2" a="1"/>
  <c r="AF23" i="2" s="1"/>
  <c r="G23" i="2" a="1"/>
  <c r="G23" i="2" s="1"/>
  <c r="H23" i="2" s="1" a="1"/>
  <c r="H23" i="2" s="1"/>
  <c r="A23" i="2"/>
  <c r="DQ23" i="2" s="1"/>
  <c r="DM23" i="2" a="1"/>
  <c r="DM23" i="2" s="1"/>
  <c r="CO23" i="2" a="1"/>
  <c r="CO23" i="2" s="1"/>
  <c r="S23" i="2" a="1"/>
  <c r="S23" i="2" s="1"/>
  <c r="Q23" i="2" a="1"/>
  <c r="Q23" i="2" s="1"/>
  <c r="DK22" i="2"/>
  <c r="FL22" i="2" a="1"/>
  <c r="FL22" i="2" s="1"/>
  <c r="FF22" i="2"/>
  <c r="GC22" i="2"/>
  <c r="FW22" i="2"/>
  <c r="P15" i="8"/>
  <c r="Q15" i="8" s="1"/>
  <c r="R15" i="8" s="1"/>
  <c r="EQ21" i="2" s="1"/>
  <c r="I22" i="2"/>
  <c r="AH22" i="2" a="1"/>
  <c r="AH22" i="2" s="1"/>
  <c r="AT22" i="2"/>
  <c r="AQ22" i="2" a="1"/>
  <c r="AQ22" i="2" s="1"/>
  <c r="BY22" i="2"/>
  <c r="CY22" i="2"/>
  <c r="DB22" i="2"/>
  <c r="ET22" i="2"/>
  <c r="AX22" i="2"/>
  <c r="AU22" i="2" a="1"/>
  <c r="AU22" i="2" s="1"/>
  <c r="BJ22" i="2"/>
  <c r="BN22" i="2"/>
  <c r="BK22" i="2"/>
  <c r="CP22" i="2"/>
  <c r="CM22" i="2"/>
  <c r="I16" i="8" a="1"/>
  <c r="I16" i="8" s="1"/>
  <c r="M16" i="8" s="1"/>
  <c r="G16" i="8" a="1"/>
  <c r="G16" i="8" s="1"/>
  <c r="H16" i="8" s="1" a="1"/>
  <c r="H16" i="8" s="1"/>
  <c r="J16" i="8" a="1"/>
  <c r="J16" i="8" s="1"/>
  <c r="K16" i="8" s="1" a="1"/>
  <c r="K16" i="8" s="1"/>
  <c r="F16" i="8" a="1"/>
  <c r="F16" i="8" s="1"/>
  <c r="L16" i="8" s="1"/>
  <c r="EC23" i="2" l="1"/>
  <c r="DY23" i="2"/>
  <c r="EB23" i="2" a="1"/>
  <c r="EB23" i="2" s="1"/>
  <c r="EF23" i="2" a="1"/>
  <c r="EF23" i="2" s="1"/>
  <c r="GE24" i="2" a="1"/>
  <c r="GE24" i="2" s="1"/>
  <c r="GG24" i="2" a="1"/>
  <c r="GG24" i="2" s="1"/>
  <c r="GI24" i="2" a="1"/>
  <c r="GI24" i="2" s="1"/>
  <c r="FP24" i="2" a="1"/>
  <c r="FP24" i="2" s="1"/>
  <c r="FR24" i="2" a="1"/>
  <c r="FR24" i="2" s="1"/>
  <c r="FT24" i="2" a="1"/>
  <c r="FT24" i="2" s="1"/>
  <c r="GF24" i="2" a="1"/>
  <c r="GF24" i="2" s="1"/>
  <c r="GH24" i="2" a="1"/>
  <c r="GH24" i="2" s="1"/>
  <c r="GJ24" i="2" a="1"/>
  <c r="GJ24" i="2" s="1"/>
  <c r="FQ24" i="2" a="1"/>
  <c r="FQ24" i="2" s="1"/>
  <c r="FS24" i="2" a="1"/>
  <c r="FS24" i="2" s="1"/>
  <c r="FU24" i="2" a="1"/>
  <c r="FU24" i="2" s="1"/>
  <c r="EZ24" i="2" a="1"/>
  <c r="EZ24" i="2" s="1"/>
  <c r="FB24" i="2" a="1"/>
  <c r="FB24" i="2" s="1"/>
  <c r="FD24" i="2" a="1"/>
  <c r="FD24" i="2" s="1"/>
  <c r="EE24" i="2" a="1"/>
  <c r="EE24" i="2" s="1"/>
  <c r="ED24" i="2" a="1"/>
  <c r="ED24" i="2" s="1"/>
  <c r="EA24" i="2" a="1"/>
  <c r="EA24" i="2" s="1"/>
  <c r="DZ24" i="2" a="1"/>
  <c r="DZ24" i="2" s="1"/>
  <c r="EY24" i="2" a="1"/>
  <c r="EY24" i="2" s="1"/>
  <c r="FA24" i="2" a="1"/>
  <c r="FA24" i="2" s="1"/>
  <c r="FC24" i="2" a="1"/>
  <c r="FC24" i="2" s="1"/>
  <c r="FE24" i="2" a="1"/>
  <c r="FE24" i="2" s="1"/>
  <c r="DS24" i="2" a="1"/>
  <c r="DS24" i="2" s="1"/>
  <c r="DU24" i="2" a="1"/>
  <c r="DU24" i="2" s="1"/>
  <c r="DW24" i="2" a="1"/>
  <c r="DW24" i="2" s="1"/>
  <c r="DE24" i="2" a="1"/>
  <c r="DE24" i="2" s="1"/>
  <c r="DG24" i="2" a="1"/>
  <c r="DG24" i="2" s="1"/>
  <c r="DI24" i="2" a="1"/>
  <c r="DI24" i="2" s="1"/>
  <c r="CS24" i="2" a="1"/>
  <c r="CS24" i="2" s="1"/>
  <c r="CU24" i="2" a="1"/>
  <c r="CU24" i="2" s="1"/>
  <c r="DR24" i="2" a="1"/>
  <c r="DR24" i="2" s="1"/>
  <c r="DT24" i="2" a="1"/>
  <c r="DT24" i="2" s="1"/>
  <c r="DV24" i="2" a="1"/>
  <c r="DV24" i="2" s="1"/>
  <c r="DX24" i="2" a="1"/>
  <c r="DX24" i="2" s="1"/>
  <c r="DD24" i="2" a="1"/>
  <c r="DD24" i="2" s="1"/>
  <c r="DH24" i="2" a="1"/>
  <c r="DH24" i="2" s="1"/>
  <c r="CR24" i="2" a="1"/>
  <c r="CR24" i="2" s="1"/>
  <c r="CV24" i="2" a="1"/>
  <c r="CV24" i="2" s="1"/>
  <c r="CX24" i="2" a="1"/>
  <c r="CX24" i="2" s="1"/>
  <c r="CH24" i="2" a="1"/>
  <c r="CH24" i="2" s="1"/>
  <c r="CJ24" i="2" a="1"/>
  <c r="CJ24" i="2" s="1"/>
  <c r="CL24" i="2" a="1"/>
  <c r="CL24" i="2" s="1"/>
  <c r="BR24" i="2" a="1"/>
  <c r="BR24" i="2" s="1"/>
  <c r="BT24" i="2" a="1"/>
  <c r="BT24" i="2" s="1"/>
  <c r="BV24" i="2" a="1"/>
  <c r="BV24" i="2" s="1"/>
  <c r="BB24" i="2" a="1"/>
  <c r="BB24" i="2" s="1"/>
  <c r="BD24" i="2" a="1"/>
  <c r="BD24" i="2" s="1"/>
  <c r="BF24" i="2" a="1"/>
  <c r="BF24" i="2" s="1"/>
  <c r="AL24" i="2" a="1"/>
  <c r="AL24" i="2" s="1"/>
  <c r="AN24" i="2" a="1"/>
  <c r="AN24" i="2" s="1"/>
  <c r="AP24" i="2" a="1"/>
  <c r="AP24" i="2" s="1"/>
  <c r="DF24" i="2" a="1"/>
  <c r="DF24" i="2" s="1"/>
  <c r="DJ24" i="2" a="1"/>
  <c r="DJ24" i="2" s="1"/>
  <c r="CT24" i="2" a="1"/>
  <c r="CT24" i="2" s="1"/>
  <c r="CW24" i="2" a="1"/>
  <c r="CW24" i="2" s="1"/>
  <c r="CG24" i="2" a="1"/>
  <c r="CG24" i="2" s="1"/>
  <c r="CI24" i="2" a="1"/>
  <c r="CI24" i="2" s="1"/>
  <c r="CK24" i="2" a="1"/>
  <c r="CK24" i="2" s="1"/>
  <c r="BQ24" i="2" a="1"/>
  <c r="BQ24" i="2" s="1"/>
  <c r="BS24" i="2" a="1"/>
  <c r="BS24" i="2" s="1"/>
  <c r="BU24" i="2" a="1"/>
  <c r="BU24" i="2" s="1"/>
  <c r="BC24" i="2" a="1"/>
  <c r="BC24" i="2" s="1"/>
  <c r="AM24" i="2" a="1"/>
  <c r="AM24" i="2" s="1"/>
  <c r="V24" i="2" a="1"/>
  <c r="V24" i="2" s="1"/>
  <c r="X24" i="2" a="1"/>
  <c r="X24" i="2" s="1"/>
  <c r="Z24" i="2" a="1"/>
  <c r="Z24" i="2" s="1"/>
  <c r="M24" i="2" a="1"/>
  <c r="M24" i="2" s="1"/>
  <c r="O24" i="2" a="1"/>
  <c r="O24" i="2" s="1"/>
  <c r="BA24" i="2" a="1"/>
  <c r="BA24" i="2" s="1"/>
  <c r="BE24" i="2" a="1"/>
  <c r="BE24" i="2" s="1"/>
  <c r="AK24" i="2" a="1"/>
  <c r="AK24" i="2" s="1"/>
  <c r="AO24" i="2" a="1"/>
  <c r="AO24" i="2" s="1"/>
  <c r="U24" i="2" a="1"/>
  <c r="U24" i="2" s="1"/>
  <c r="W24" i="2" a="1"/>
  <c r="W24" i="2" s="1"/>
  <c r="Y24" i="2" a="1"/>
  <c r="Y24" i="2" s="1"/>
  <c r="AA24" i="2" a="1"/>
  <c r="AA24" i="2" s="1"/>
  <c r="L24" i="2" a="1"/>
  <c r="L24" i="2" s="1"/>
  <c r="N24" i="2" a="1"/>
  <c r="N24" i="2" s="1"/>
  <c r="P24" i="2" a="1"/>
  <c r="P24" i="2" s="1"/>
  <c r="D24" i="2" a="1"/>
  <c r="D24" i="2" s="1"/>
  <c r="E24" i="2" s="1" a="1"/>
  <c r="E24" i="2" s="1"/>
  <c r="GA24" i="2" a="1"/>
  <c r="GA24" i="2" s="1"/>
  <c r="C24" i="2" a="1"/>
  <c r="C24" i="2" s="1"/>
  <c r="GK24" i="2" a="1"/>
  <c r="GK24" i="2" s="1"/>
  <c r="FX24" i="2" a="1"/>
  <c r="FX24" i="2" s="1"/>
  <c r="EU24" i="2" a="1"/>
  <c r="EU24" i="2" s="1"/>
  <c r="DL24" i="2" a="1"/>
  <c r="DL24" i="2" s="1"/>
  <c r="BL24" i="2" a="1"/>
  <c r="BL24" i="2" s="1"/>
  <c r="BH24" i="2" a="1"/>
  <c r="BH24" i="2" s="1"/>
  <c r="AV24" i="2" a="1"/>
  <c r="AV24" i="2" s="1"/>
  <c r="CZ24" i="2" a="1"/>
  <c r="CZ24" i="2" s="1"/>
  <c r="CN24" i="2" a="1"/>
  <c r="CN24" i="2" s="1"/>
  <c r="CC24" i="2" a="1"/>
  <c r="CC24" i="2" s="1"/>
  <c r="BZ24" i="2" a="1"/>
  <c r="BZ24" i="2" s="1"/>
  <c r="AR24" i="2" a="1"/>
  <c r="AR24" i="2" s="1"/>
  <c r="AB23" i="2" a="1"/>
  <c r="AB23" i="2" s="1"/>
  <c r="FY24" i="2" a="1"/>
  <c r="FY24" i="2" s="1"/>
  <c r="GB24" i="2" a="1"/>
  <c r="GB24" i="2" s="1"/>
  <c r="FK24" i="2" a="1"/>
  <c r="FK24" i="2" s="1"/>
  <c r="FH24" i="2" a="1"/>
  <c r="FH24" i="2" s="1"/>
  <c r="FJ24" i="2" a="1"/>
  <c r="FJ24" i="2" s="1"/>
  <c r="FG24" i="2" a="1"/>
  <c r="FG24" i="2" s="1"/>
  <c r="CD24" i="2" a="1"/>
  <c r="CD24" i="2" s="1"/>
  <c r="AS24" i="2" a="1"/>
  <c r="AS24" i="2" s="1"/>
  <c r="AD24" i="2" a="1"/>
  <c r="AD24" i="2" s="1"/>
  <c r="CA24" i="2" a="1"/>
  <c r="CA24" i="2" s="1"/>
  <c r="BI24" i="2" a="1"/>
  <c r="BI24" i="2" s="1"/>
  <c r="AW24" i="2" a="1"/>
  <c r="AW24" i="2" s="1"/>
  <c r="AC24" i="2" a="1"/>
  <c r="AC24" i="2" s="1"/>
  <c r="AB24" i="2" s="1" a="1"/>
  <c r="AB24" i="2" s="1"/>
  <c r="BM24" i="2" a="1"/>
  <c r="BM24" i="2" s="1"/>
  <c r="F24" i="2" a="1"/>
  <c r="F24" i="2" s="1"/>
  <c r="N16" i="8"/>
  <c r="DN23" i="2"/>
  <c r="BJ23" i="2"/>
  <c r="CB23" i="2"/>
  <c r="BO22" i="2" a="1"/>
  <c r="BO22" i="2" s="1"/>
  <c r="AX23" i="2"/>
  <c r="AU23" i="2" a="1"/>
  <c r="AU23" i="2" s="1"/>
  <c r="BK23" i="2"/>
  <c r="BN23" i="2"/>
  <c r="CM23" i="2"/>
  <c r="CP23" i="2"/>
  <c r="DK23" i="2"/>
  <c r="FF23" i="2"/>
  <c r="FW23" i="2"/>
  <c r="I23" i="2"/>
  <c r="AE23" i="2" a="1"/>
  <c r="AE23" i="2" s="1"/>
  <c r="AT23" i="2"/>
  <c r="AQ23" i="2" a="1"/>
  <c r="AQ23" i="2" s="1"/>
  <c r="BY23" i="2"/>
  <c r="DB23" i="2"/>
  <c r="CY23" i="2"/>
  <c r="ET23" i="2"/>
  <c r="FI23" i="2"/>
  <c r="FZ23" i="2"/>
  <c r="J17" i="8" a="1"/>
  <c r="J17" i="8" s="1"/>
  <c r="K17" i="8" s="1" a="1"/>
  <c r="K17" i="8" s="1"/>
  <c r="I17" i="8" a="1"/>
  <c r="I17" i="8" s="1"/>
  <c r="M17" i="8" s="1"/>
  <c r="G17" i="8" a="1"/>
  <c r="G17" i="8" s="1"/>
  <c r="H17" i="8" s="1" a="1"/>
  <c r="H17" i="8" s="1"/>
  <c r="F17" i="8" a="1"/>
  <c r="F17" i="8" s="1"/>
  <c r="L17" i="8" s="1"/>
  <c r="E16" i="8"/>
  <c r="O16" i="8"/>
  <c r="AY22" i="2" a="1"/>
  <c r="AY22" i="2" s="1"/>
  <c r="A16" i="10"/>
  <c r="A17" i="8"/>
  <c r="S17" i="8" s="1"/>
  <c r="GN23" i="2"/>
  <c r="FM23" i="2"/>
  <c r="ES23" i="2"/>
  <c r="CQ23" i="2"/>
  <c r="BP23" i="2"/>
  <c r="AZ23" i="2"/>
  <c r="AI23" i="2"/>
  <c r="K23" i="2"/>
  <c r="GD23" i="2"/>
  <c r="FN23" i="2"/>
  <c r="DC23" i="2"/>
  <c r="CF23" i="2"/>
  <c r="AJ23" i="2"/>
  <c r="T23" i="2"/>
  <c r="J23" i="2"/>
  <c r="C17" i="8"/>
  <c r="EK23" i="2"/>
  <c r="E17" i="8" s="1"/>
  <c r="B17" i="10"/>
  <c r="B18" i="8"/>
  <c r="DM24" i="2" a="1"/>
  <c r="DM24" i="2" s="1"/>
  <c r="CO24" i="2" a="1"/>
  <c r="CO24" i="2" s="1"/>
  <c r="S24" i="2" a="1"/>
  <c r="S24" i="2" s="1"/>
  <c r="Q24" i="2" a="1"/>
  <c r="Q24" i="2" s="1"/>
  <c r="B25" i="2"/>
  <c r="GL24" i="2" a="1"/>
  <c r="GL24" i="2" s="1"/>
  <c r="EV24" i="2" a="1"/>
  <c r="EV24" i="2" s="1"/>
  <c r="EW24" i="2" s="1"/>
  <c r="EJ24" i="2" a="1"/>
  <c r="EJ24" i="2" s="1"/>
  <c r="D18" i="8" s="1"/>
  <c r="EI24" i="2" a="1"/>
  <c r="EI24" i="2" s="1"/>
  <c r="DA24" i="2" a="1"/>
  <c r="DA24" i="2" s="1"/>
  <c r="AG24" i="2" a="1"/>
  <c r="AG24" i="2" s="1"/>
  <c r="AF24" i="2" a="1"/>
  <c r="AF24" i="2" s="1"/>
  <c r="G24" i="2" a="1"/>
  <c r="G24" i="2" s="1"/>
  <c r="H24" i="2" s="1" a="1"/>
  <c r="H24" i="2" s="1"/>
  <c r="A24" i="2"/>
  <c r="DQ24" i="2" s="1"/>
  <c r="EQ20" i="2"/>
  <c r="EC24" i="2" l="1"/>
  <c r="GE25" i="2" a="1"/>
  <c r="GE25" i="2" s="1"/>
  <c r="GG25" i="2" a="1"/>
  <c r="GG25" i="2" s="1"/>
  <c r="GI25" i="2" a="1"/>
  <c r="GI25" i="2" s="1"/>
  <c r="FP25" i="2" a="1"/>
  <c r="FP25" i="2" s="1"/>
  <c r="FR25" i="2" a="1"/>
  <c r="FR25" i="2" s="1"/>
  <c r="FT25" i="2" a="1"/>
  <c r="FT25" i="2" s="1"/>
  <c r="GF25" i="2" a="1"/>
  <c r="GF25" i="2" s="1"/>
  <c r="GH25" i="2" a="1"/>
  <c r="GH25" i="2" s="1"/>
  <c r="GJ25" i="2" a="1"/>
  <c r="GJ25" i="2" s="1"/>
  <c r="FQ25" i="2" a="1"/>
  <c r="FQ25" i="2" s="1"/>
  <c r="FS25" i="2" a="1"/>
  <c r="FS25" i="2" s="1"/>
  <c r="FU25" i="2" a="1"/>
  <c r="FU25" i="2" s="1"/>
  <c r="EY25" i="2" a="1"/>
  <c r="EY25" i="2" s="1"/>
  <c r="FA25" i="2" a="1"/>
  <c r="FA25" i="2" s="1"/>
  <c r="FC25" i="2" a="1"/>
  <c r="FC25" i="2" s="1"/>
  <c r="FE25" i="2" a="1"/>
  <c r="FE25" i="2" s="1"/>
  <c r="EZ25" i="2" a="1"/>
  <c r="EZ25" i="2" s="1"/>
  <c r="FB25" i="2" a="1"/>
  <c r="FB25" i="2" s="1"/>
  <c r="FD25" i="2" a="1"/>
  <c r="FD25" i="2" s="1"/>
  <c r="EE25" i="2" a="1"/>
  <c r="EE25" i="2" s="1"/>
  <c r="ED25" i="2" a="1"/>
  <c r="ED25" i="2" s="1"/>
  <c r="EA25" i="2" a="1"/>
  <c r="EA25" i="2" s="1"/>
  <c r="DZ25" i="2" a="1"/>
  <c r="DZ25" i="2" s="1"/>
  <c r="DR25" i="2" a="1"/>
  <c r="DR25" i="2" s="1"/>
  <c r="DT25" i="2" a="1"/>
  <c r="DT25" i="2" s="1"/>
  <c r="DV25" i="2" a="1"/>
  <c r="DV25" i="2" s="1"/>
  <c r="DX25" i="2" a="1"/>
  <c r="DX25" i="2" s="1"/>
  <c r="DD25" i="2" a="1"/>
  <c r="DD25" i="2" s="1"/>
  <c r="DF25" i="2" a="1"/>
  <c r="DF25" i="2" s="1"/>
  <c r="DH25" i="2" a="1"/>
  <c r="DH25" i="2" s="1"/>
  <c r="DJ25" i="2" a="1"/>
  <c r="DJ25" i="2" s="1"/>
  <c r="DS25" i="2" a="1"/>
  <c r="DS25" i="2" s="1"/>
  <c r="DU25" i="2" a="1"/>
  <c r="DU25" i="2" s="1"/>
  <c r="DW25" i="2" a="1"/>
  <c r="DW25" i="2" s="1"/>
  <c r="DE25" i="2" a="1"/>
  <c r="DE25" i="2" s="1"/>
  <c r="DI25" i="2" a="1"/>
  <c r="DI25" i="2" s="1"/>
  <c r="CS25" i="2" a="1"/>
  <c r="CS25" i="2" s="1"/>
  <c r="CU25" i="2" a="1"/>
  <c r="CU25" i="2" s="1"/>
  <c r="CW25" i="2" a="1"/>
  <c r="CW25" i="2" s="1"/>
  <c r="CH25" i="2" a="1"/>
  <c r="CH25" i="2" s="1"/>
  <c r="CJ25" i="2" a="1"/>
  <c r="CJ25" i="2" s="1"/>
  <c r="CL25" i="2" a="1"/>
  <c r="CL25" i="2" s="1"/>
  <c r="BR25" i="2" a="1"/>
  <c r="BR25" i="2" s="1"/>
  <c r="BT25" i="2" a="1"/>
  <c r="BT25" i="2" s="1"/>
  <c r="BV25" i="2" a="1"/>
  <c r="BV25" i="2" s="1"/>
  <c r="BB25" i="2" a="1"/>
  <c r="BB25" i="2" s="1"/>
  <c r="BD25" i="2" a="1"/>
  <c r="BD25" i="2" s="1"/>
  <c r="BF25" i="2" a="1"/>
  <c r="BF25" i="2" s="1"/>
  <c r="AL25" i="2" a="1"/>
  <c r="AL25" i="2" s="1"/>
  <c r="AN25" i="2" a="1"/>
  <c r="AN25" i="2" s="1"/>
  <c r="AP25" i="2" a="1"/>
  <c r="AP25" i="2" s="1"/>
  <c r="DG25" i="2" a="1"/>
  <c r="DG25" i="2" s="1"/>
  <c r="CR25" i="2" a="1"/>
  <c r="CR25" i="2" s="1"/>
  <c r="CT25" i="2" a="1"/>
  <c r="CT25" i="2" s="1"/>
  <c r="CV25" i="2" a="1"/>
  <c r="CV25" i="2" s="1"/>
  <c r="CX25" i="2" a="1"/>
  <c r="CX25" i="2" s="1"/>
  <c r="CG25" i="2" a="1"/>
  <c r="CG25" i="2" s="1"/>
  <c r="CI25" i="2" a="1"/>
  <c r="CI25" i="2" s="1"/>
  <c r="CK25" i="2" a="1"/>
  <c r="CK25" i="2" s="1"/>
  <c r="BQ25" i="2" a="1"/>
  <c r="BQ25" i="2" s="1"/>
  <c r="BS25" i="2" a="1"/>
  <c r="BS25" i="2" s="1"/>
  <c r="BU25" i="2" a="1"/>
  <c r="BU25" i="2" s="1"/>
  <c r="BA25" i="2" a="1"/>
  <c r="BA25" i="2" s="1"/>
  <c r="BE25" i="2" a="1"/>
  <c r="BE25" i="2" s="1"/>
  <c r="AK25" i="2" a="1"/>
  <c r="AK25" i="2" s="1"/>
  <c r="AO25" i="2" a="1"/>
  <c r="AO25" i="2" s="1"/>
  <c r="U25" i="2" a="1"/>
  <c r="U25" i="2" s="1"/>
  <c r="W25" i="2" a="1"/>
  <c r="W25" i="2" s="1"/>
  <c r="Y25" i="2" a="1"/>
  <c r="Y25" i="2" s="1"/>
  <c r="AA25" i="2" a="1"/>
  <c r="AA25" i="2" s="1"/>
  <c r="L25" i="2" a="1"/>
  <c r="L25" i="2" s="1"/>
  <c r="N25" i="2" a="1"/>
  <c r="N25" i="2" s="1"/>
  <c r="P25" i="2" a="1"/>
  <c r="P25" i="2" s="1"/>
  <c r="BC25" i="2" a="1"/>
  <c r="BC25" i="2" s="1"/>
  <c r="AM25" i="2" a="1"/>
  <c r="AM25" i="2" s="1"/>
  <c r="V25" i="2" a="1"/>
  <c r="V25" i="2" s="1"/>
  <c r="X25" i="2" a="1"/>
  <c r="X25" i="2" s="1"/>
  <c r="Z25" i="2" a="1"/>
  <c r="Z25" i="2" s="1"/>
  <c r="M25" i="2" a="1"/>
  <c r="M25" i="2" s="1"/>
  <c r="O25" i="2" a="1"/>
  <c r="O25" i="2" s="1"/>
  <c r="EB24" i="2" a="1"/>
  <c r="EB24" i="2" s="1"/>
  <c r="DY24" i="2"/>
  <c r="EF24" i="2" a="1"/>
  <c r="EF24" i="2" s="1"/>
  <c r="P16" i="8"/>
  <c r="Q16" i="8" s="1"/>
  <c r="R16" i="8" s="1"/>
  <c r="EQ22" i="2" s="1"/>
  <c r="D25" i="2" a="1"/>
  <c r="D25" i="2" s="1"/>
  <c r="E25" i="2" s="1" a="1"/>
  <c r="E25" i="2" s="1"/>
  <c r="C25" i="2" a="1"/>
  <c r="C25" i="2" s="1"/>
  <c r="GK25" i="2" a="1"/>
  <c r="GK25" i="2" s="1"/>
  <c r="FX25" i="2" a="1"/>
  <c r="FX25" i="2" s="1"/>
  <c r="CZ25" i="2" a="1"/>
  <c r="CZ25" i="2" s="1"/>
  <c r="CN25" i="2" a="1"/>
  <c r="CN25" i="2" s="1"/>
  <c r="CC25" i="2" a="1"/>
  <c r="CC25" i="2" s="1"/>
  <c r="BZ25" i="2" a="1"/>
  <c r="BZ25" i="2" s="1"/>
  <c r="GA25" i="2" a="1"/>
  <c r="GA25" i="2" s="1"/>
  <c r="AR25" i="2" a="1"/>
  <c r="AR25" i="2" s="1"/>
  <c r="EU25" i="2" a="1"/>
  <c r="EU25" i="2" s="1"/>
  <c r="DL25" i="2" a="1"/>
  <c r="DL25" i="2" s="1"/>
  <c r="BL25" i="2" a="1"/>
  <c r="BL25" i="2" s="1"/>
  <c r="BH25" i="2" a="1"/>
  <c r="BH25" i="2" s="1"/>
  <c r="AV25" i="2" a="1"/>
  <c r="AV25" i="2" s="1"/>
  <c r="GB25" i="2" a="1"/>
  <c r="GB25" i="2" s="1"/>
  <c r="FY25" i="2" a="1"/>
  <c r="FY25" i="2" s="1"/>
  <c r="FJ25" i="2" a="1"/>
  <c r="FJ25" i="2" s="1"/>
  <c r="FG25" i="2" a="1"/>
  <c r="FG25" i="2" s="1"/>
  <c r="CD25" i="2" a="1"/>
  <c r="CD25" i="2" s="1"/>
  <c r="FK25" i="2" a="1"/>
  <c r="FK25" i="2" s="1"/>
  <c r="CA25" i="2" a="1"/>
  <c r="CA25" i="2" s="1"/>
  <c r="BM25" i="2" a="1"/>
  <c r="BM25" i="2" s="1"/>
  <c r="BI25" i="2" a="1"/>
  <c r="BI25" i="2" s="1"/>
  <c r="AW25" i="2" a="1"/>
  <c r="AW25" i="2" s="1"/>
  <c r="AC25" i="2" a="1"/>
  <c r="AC25" i="2" s="1"/>
  <c r="AS25" i="2" a="1"/>
  <c r="AS25" i="2" s="1"/>
  <c r="AD25" i="2" a="1"/>
  <c r="AD25" i="2" s="1"/>
  <c r="F25" i="2" a="1"/>
  <c r="F25" i="2" s="1"/>
  <c r="FH25" i="2" a="1"/>
  <c r="FH25" i="2" s="1"/>
  <c r="BO23" i="2" a="1"/>
  <c r="BO23" i="2" s="1"/>
  <c r="DN24" i="2"/>
  <c r="FI24" i="2"/>
  <c r="FZ24" i="2"/>
  <c r="A17" i="10"/>
  <c r="A18" i="8"/>
  <c r="S18" i="8" s="1"/>
  <c r="GD24" i="2"/>
  <c r="FN24" i="2"/>
  <c r="DC24" i="2"/>
  <c r="CF24" i="2"/>
  <c r="AJ24" i="2"/>
  <c r="T24" i="2"/>
  <c r="J24" i="2"/>
  <c r="GN24" i="2"/>
  <c r="FM24" i="2"/>
  <c r="ES24" i="2"/>
  <c r="CQ24" i="2"/>
  <c r="BP24" i="2"/>
  <c r="AZ24" i="2"/>
  <c r="AI24" i="2"/>
  <c r="K24" i="2"/>
  <c r="I24" i="2"/>
  <c r="AE24" i="2" a="1"/>
  <c r="AE24" i="2" s="1"/>
  <c r="AT24" i="2"/>
  <c r="AQ24" i="2" a="1"/>
  <c r="AQ24" i="2" s="1"/>
  <c r="BY24" i="2"/>
  <c r="CY24" i="2"/>
  <c r="DB24" i="2"/>
  <c r="ET24" i="2"/>
  <c r="AX24" i="2"/>
  <c r="AU24" i="2" a="1"/>
  <c r="AU24" i="2" s="1"/>
  <c r="BJ24" i="2"/>
  <c r="BN24" i="2"/>
  <c r="BK24" i="2"/>
  <c r="CB24" i="2"/>
  <c r="CP24" i="2"/>
  <c r="CM24" i="2"/>
  <c r="J18" i="8" a="1"/>
  <c r="J18" i="8" s="1"/>
  <c r="K18" i="8" s="1" a="1"/>
  <c r="K18" i="8" s="1"/>
  <c r="I18" i="8" a="1"/>
  <c r="I18" i="8" s="1"/>
  <c r="M18" i="8" s="1"/>
  <c r="G18" i="8" a="1"/>
  <c r="G18" i="8" s="1"/>
  <c r="H18" i="8" s="1" a="1"/>
  <c r="H18" i="8" s="1"/>
  <c r="F18" i="8" a="1"/>
  <c r="F18" i="8" s="1"/>
  <c r="L18" i="8" s="1"/>
  <c r="O17" i="8"/>
  <c r="CE23" i="2" a="1"/>
  <c r="CE23" i="2" s="1"/>
  <c r="AY23" i="2" a="1"/>
  <c r="AY23" i="2" s="1"/>
  <c r="GC23" i="2"/>
  <c r="FL23" i="2" a="1"/>
  <c r="FL23" i="2" s="1"/>
  <c r="C18" i="8"/>
  <c r="EK24" i="2"/>
  <c r="E18" i="8" s="1"/>
  <c r="B18" i="10"/>
  <c r="B19" i="8"/>
  <c r="EJ25" i="2" a="1"/>
  <c r="EJ25" i="2" s="1"/>
  <c r="D19" i="8" s="1"/>
  <c r="EI25" i="2" a="1"/>
  <c r="EI25" i="2" s="1"/>
  <c r="DA25" i="2" a="1"/>
  <c r="DA25" i="2" s="1"/>
  <c r="AG25" i="2" a="1"/>
  <c r="AG25" i="2" s="1"/>
  <c r="AF25" i="2" a="1"/>
  <c r="AF25" i="2" s="1"/>
  <c r="G25" i="2" a="1"/>
  <c r="G25" i="2" s="1"/>
  <c r="H25" i="2" s="1" a="1"/>
  <c r="H25" i="2" s="1"/>
  <c r="A25" i="2"/>
  <c r="B26" i="2"/>
  <c r="GL25" i="2" a="1"/>
  <c r="GL25" i="2" s="1"/>
  <c r="EV25" i="2" a="1"/>
  <c r="EV25" i="2" s="1"/>
  <c r="EW25" i="2" s="1"/>
  <c r="DM25" i="2" a="1"/>
  <c r="DM25" i="2" s="1"/>
  <c r="CO25" i="2" a="1"/>
  <c r="CO25" i="2" s="1"/>
  <c r="S25" i="2" a="1"/>
  <c r="S25" i="2" s="1"/>
  <c r="Q25" i="2" a="1"/>
  <c r="Q25" i="2" s="1"/>
  <c r="DK24" i="2"/>
  <c r="FL24" i="2" a="1"/>
  <c r="FL24" i="2" s="1"/>
  <c r="FF24" i="2"/>
  <c r="GC24" i="2"/>
  <c r="FW24" i="2"/>
  <c r="N17" i="8"/>
  <c r="P17" i="8" s="1"/>
  <c r="Q17" i="8" s="1"/>
  <c r="R17" i="8" s="1"/>
  <c r="AH23" i="2" a="1"/>
  <c r="AH23" i="2" s="1"/>
  <c r="EF25" i="2" l="1" a="1"/>
  <c r="EF25" i="2" s="1"/>
  <c r="GE26" i="2" a="1"/>
  <c r="GE26" i="2" s="1"/>
  <c r="GG26" i="2" a="1"/>
  <c r="GG26" i="2" s="1"/>
  <c r="GI26" i="2" a="1"/>
  <c r="GI26" i="2" s="1"/>
  <c r="FP26" i="2" a="1"/>
  <c r="FP26" i="2" s="1"/>
  <c r="FR26" i="2" a="1"/>
  <c r="FR26" i="2" s="1"/>
  <c r="FT26" i="2" a="1"/>
  <c r="FT26" i="2" s="1"/>
  <c r="GF26" i="2" a="1"/>
  <c r="GF26" i="2" s="1"/>
  <c r="GH26" i="2" a="1"/>
  <c r="GH26" i="2" s="1"/>
  <c r="GJ26" i="2" a="1"/>
  <c r="GJ26" i="2" s="1"/>
  <c r="FQ26" i="2" a="1"/>
  <c r="FQ26" i="2" s="1"/>
  <c r="FS26" i="2" a="1"/>
  <c r="FS26" i="2" s="1"/>
  <c r="FU26" i="2" a="1"/>
  <c r="FU26" i="2" s="1"/>
  <c r="EZ26" i="2" a="1"/>
  <c r="EZ26" i="2" s="1"/>
  <c r="FB26" i="2" a="1"/>
  <c r="FB26" i="2" s="1"/>
  <c r="FD26" i="2" a="1"/>
  <c r="FD26" i="2" s="1"/>
  <c r="EE26" i="2" a="1"/>
  <c r="EE26" i="2" s="1"/>
  <c r="ED26" i="2" a="1"/>
  <c r="ED26" i="2" s="1"/>
  <c r="EC26" i="2" s="1"/>
  <c r="EA26" i="2" a="1"/>
  <c r="EA26" i="2" s="1"/>
  <c r="DZ26" i="2" a="1"/>
  <c r="DZ26" i="2" s="1"/>
  <c r="EY26" i="2" a="1"/>
  <c r="EY26" i="2" s="1"/>
  <c r="FA26" i="2" a="1"/>
  <c r="FA26" i="2" s="1"/>
  <c r="FC26" i="2" a="1"/>
  <c r="FC26" i="2" s="1"/>
  <c r="FE26" i="2" a="1"/>
  <c r="FE26" i="2" s="1"/>
  <c r="DS26" i="2" a="1"/>
  <c r="DS26" i="2" s="1"/>
  <c r="DU26" i="2" a="1"/>
  <c r="DU26" i="2" s="1"/>
  <c r="DW26" i="2" a="1"/>
  <c r="DW26" i="2" s="1"/>
  <c r="DE26" i="2" a="1"/>
  <c r="DE26" i="2" s="1"/>
  <c r="DG26" i="2" a="1"/>
  <c r="DG26" i="2" s="1"/>
  <c r="DI26" i="2" a="1"/>
  <c r="DI26" i="2" s="1"/>
  <c r="DR26" i="2" a="1"/>
  <c r="DR26" i="2" s="1"/>
  <c r="DT26" i="2" a="1"/>
  <c r="DT26" i="2" s="1"/>
  <c r="DV26" i="2" a="1"/>
  <c r="DV26" i="2" s="1"/>
  <c r="DX26" i="2" a="1"/>
  <c r="DX26" i="2" s="1"/>
  <c r="DF26" i="2" a="1"/>
  <c r="DF26" i="2" s="1"/>
  <c r="DJ26" i="2" a="1"/>
  <c r="DJ26" i="2" s="1"/>
  <c r="CR26" i="2" a="1"/>
  <c r="CR26" i="2" s="1"/>
  <c r="CT26" i="2" a="1"/>
  <c r="CT26" i="2" s="1"/>
  <c r="CV26" i="2" a="1"/>
  <c r="CV26" i="2" s="1"/>
  <c r="CX26" i="2" a="1"/>
  <c r="CX26" i="2" s="1"/>
  <c r="CH26" i="2" a="1"/>
  <c r="CH26" i="2" s="1"/>
  <c r="CJ26" i="2" a="1"/>
  <c r="CJ26" i="2" s="1"/>
  <c r="CL26" i="2" a="1"/>
  <c r="CL26" i="2" s="1"/>
  <c r="BR26" i="2" a="1"/>
  <c r="BR26" i="2" s="1"/>
  <c r="BT26" i="2" a="1"/>
  <c r="BT26" i="2" s="1"/>
  <c r="BV26" i="2" a="1"/>
  <c r="BV26" i="2" s="1"/>
  <c r="BB26" i="2" a="1"/>
  <c r="BB26" i="2" s="1"/>
  <c r="BD26" i="2" a="1"/>
  <c r="BD26" i="2" s="1"/>
  <c r="BF26" i="2" a="1"/>
  <c r="BF26" i="2" s="1"/>
  <c r="AL26" i="2" a="1"/>
  <c r="AL26" i="2" s="1"/>
  <c r="AN26" i="2" a="1"/>
  <c r="AN26" i="2" s="1"/>
  <c r="AP26" i="2" a="1"/>
  <c r="AP26" i="2" s="1"/>
  <c r="DD26" i="2" a="1"/>
  <c r="DD26" i="2" s="1"/>
  <c r="DH26" i="2" a="1"/>
  <c r="DH26" i="2" s="1"/>
  <c r="CS26" i="2" a="1"/>
  <c r="CS26" i="2" s="1"/>
  <c r="CU26" i="2" a="1"/>
  <c r="CU26" i="2" s="1"/>
  <c r="CW26" i="2" a="1"/>
  <c r="CW26" i="2" s="1"/>
  <c r="CG26" i="2" a="1"/>
  <c r="CG26" i="2" s="1"/>
  <c r="CI26" i="2" a="1"/>
  <c r="CI26" i="2" s="1"/>
  <c r="CK26" i="2" a="1"/>
  <c r="CK26" i="2" s="1"/>
  <c r="BQ26" i="2" a="1"/>
  <c r="BQ26" i="2" s="1"/>
  <c r="BS26" i="2" a="1"/>
  <c r="BS26" i="2" s="1"/>
  <c r="BU26" i="2" a="1"/>
  <c r="BU26" i="2" s="1"/>
  <c r="BC26" i="2" a="1"/>
  <c r="BC26" i="2" s="1"/>
  <c r="AM26" i="2" a="1"/>
  <c r="AM26" i="2" s="1"/>
  <c r="V26" i="2" a="1"/>
  <c r="V26" i="2" s="1"/>
  <c r="X26" i="2" a="1"/>
  <c r="X26" i="2" s="1"/>
  <c r="Z26" i="2" a="1"/>
  <c r="Z26" i="2" s="1"/>
  <c r="M26" i="2" a="1"/>
  <c r="M26" i="2" s="1"/>
  <c r="O26" i="2" a="1"/>
  <c r="O26" i="2" s="1"/>
  <c r="BA26" i="2" a="1"/>
  <c r="BA26" i="2" s="1"/>
  <c r="BE26" i="2" a="1"/>
  <c r="BE26" i="2" s="1"/>
  <c r="AK26" i="2" a="1"/>
  <c r="AK26" i="2" s="1"/>
  <c r="AO26" i="2" a="1"/>
  <c r="AO26" i="2" s="1"/>
  <c r="U26" i="2" a="1"/>
  <c r="U26" i="2" s="1"/>
  <c r="W26" i="2" a="1"/>
  <c r="W26" i="2" s="1"/>
  <c r="Y26" i="2" a="1"/>
  <c r="Y26" i="2" s="1"/>
  <c r="AA26" i="2" a="1"/>
  <c r="AA26" i="2" s="1"/>
  <c r="L26" i="2" a="1"/>
  <c r="L26" i="2" s="1"/>
  <c r="N26" i="2" a="1"/>
  <c r="N26" i="2" s="1"/>
  <c r="P26" i="2" a="1"/>
  <c r="P26" i="2" s="1"/>
  <c r="EB25" i="2" a="1"/>
  <c r="EB25" i="2" s="1"/>
  <c r="DY25" i="2"/>
  <c r="EC25" i="2"/>
  <c r="D26" i="2" a="1"/>
  <c r="D26" i="2" s="1"/>
  <c r="E26" i="2" s="1" a="1"/>
  <c r="E26" i="2" s="1"/>
  <c r="GA26" i="2" a="1"/>
  <c r="GA26" i="2" s="1"/>
  <c r="GK26" i="2" a="1"/>
  <c r="GK26" i="2" s="1"/>
  <c r="EU26" i="2" a="1"/>
  <c r="EU26" i="2" s="1"/>
  <c r="DL26" i="2" a="1"/>
  <c r="DL26" i="2" s="1"/>
  <c r="CZ26" i="2" a="1"/>
  <c r="CZ26" i="2" s="1"/>
  <c r="CN26" i="2" a="1"/>
  <c r="CN26" i="2" s="1"/>
  <c r="CC26" i="2" a="1"/>
  <c r="CC26" i="2" s="1"/>
  <c r="BZ26" i="2" a="1"/>
  <c r="BZ26" i="2" s="1"/>
  <c r="BL26" i="2" a="1"/>
  <c r="BL26" i="2" s="1"/>
  <c r="BH26" i="2" a="1"/>
  <c r="BH26" i="2" s="1"/>
  <c r="AV26" i="2" a="1"/>
  <c r="AV26" i="2" s="1"/>
  <c r="C26" i="2" a="1"/>
  <c r="C26" i="2" s="1"/>
  <c r="FX26" i="2" a="1"/>
  <c r="FX26" i="2" s="1"/>
  <c r="AR26" i="2" a="1"/>
  <c r="AR26" i="2" s="1"/>
  <c r="AB25" i="2" a="1"/>
  <c r="AB25" i="2" s="1"/>
  <c r="FY26" i="2" a="1"/>
  <c r="FY26" i="2" s="1"/>
  <c r="FK26" i="2" a="1"/>
  <c r="FK26" i="2" s="1"/>
  <c r="FH26" i="2" a="1"/>
  <c r="FH26" i="2" s="1"/>
  <c r="GB26" i="2" a="1"/>
  <c r="GB26" i="2" s="1"/>
  <c r="AS26" i="2" a="1"/>
  <c r="AS26" i="2" s="1"/>
  <c r="AD26" i="2" a="1"/>
  <c r="AD26" i="2" s="1"/>
  <c r="FJ26" i="2" a="1"/>
  <c r="FJ26" i="2" s="1"/>
  <c r="BM26" i="2" a="1"/>
  <c r="BM26" i="2" s="1"/>
  <c r="FG26" i="2" a="1"/>
  <c r="FG26" i="2" s="1"/>
  <c r="CD26" i="2" a="1"/>
  <c r="CD26" i="2" s="1"/>
  <c r="CA26" i="2" a="1"/>
  <c r="CA26" i="2" s="1"/>
  <c r="BI26" i="2" a="1"/>
  <c r="BI26" i="2" s="1"/>
  <c r="AW26" i="2" a="1"/>
  <c r="AW26" i="2" s="1"/>
  <c r="AC26" i="2" a="1"/>
  <c r="AC26" i="2" s="1"/>
  <c r="AB26" i="2" s="1" a="1"/>
  <c r="AB26" i="2" s="1"/>
  <c r="F26" i="2" a="1"/>
  <c r="F26" i="2" s="1"/>
  <c r="DN25" i="2"/>
  <c r="DQ25" i="2"/>
  <c r="FI25" i="2"/>
  <c r="FZ25" i="2"/>
  <c r="ET25" i="2"/>
  <c r="AX25" i="2"/>
  <c r="AU25" i="2" a="1"/>
  <c r="AU25" i="2" s="1"/>
  <c r="BJ25" i="2"/>
  <c r="BK25" i="2"/>
  <c r="BN25" i="2"/>
  <c r="CB25" i="2"/>
  <c r="CM25" i="2"/>
  <c r="CP25" i="2"/>
  <c r="B19" i="10"/>
  <c r="B20" i="8"/>
  <c r="B27" i="2"/>
  <c r="GL26" i="2" a="1"/>
  <c r="GL26" i="2" s="1"/>
  <c r="EV26" i="2" a="1"/>
  <c r="EV26" i="2" s="1"/>
  <c r="EJ26" i="2" a="1"/>
  <c r="EJ26" i="2" s="1"/>
  <c r="D20" i="8" s="1"/>
  <c r="EI26" i="2" a="1"/>
  <c r="EI26" i="2" s="1"/>
  <c r="DA26" i="2" a="1"/>
  <c r="DA26" i="2" s="1"/>
  <c r="AG26" i="2" a="1"/>
  <c r="AG26" i="2" s="1"/>
  <c r="AF26" i="2" a="1"/>
  <c r="AF26" i="2" s="1"/>
  <c r="G26" i="2" a="1"/>
  <c r="G26" i="2" s="1"/>
  <c r="H26" i="2" s="1" a="1"/>
  <c r="H26" i="2" s="1"/>
  <c r="A26" i="2"/>
  <c r="DQ26" i="2" s="1"/>
  <c r="DM26" i="2" a="1"/>
  <c r="DM26" i="2" s="1"/>
  <c r="CO26" i="2" a="1"/>
  <c r="CO26" i="2" s="1"/>
  <c r="S26" i="2" a="1"/>
  <c r="S26" i="2" s="1"/>
  <c r="Q26" i="2" a="1"/>
  <c r="Q26" i="2" s="1"/>
  <c r="I25" i="2"/>
  <c r="K25" i="2" s="1"/>
  <c r="AE25" i="2" a="1"/>
  <c r="AE25" i="2" s="1"/>
  <c r="AT25" i="2"/>
  <c r="AQ25" i="2" a="1"/>
  <c r="AQ25" i="2" s="1"/>
  <c r="BY25" i="2"/>
  <c r="DB25" i="2"/>
  <c r="CY25" i="2"/>
  <c r="FF25" i="2"/>
  <c r="FW25" i="2"/>
  <c r="N18" i="8"/>
  <c r="AH24" i="2" a="1"/>
  <c r="AH24" i="2" s="1"/>
  <c r="EQ23" i="2"/>
  <c r="DK25" i="2"/>
  <c r="A18" i="10"/>
  <c r="A19" i="8"/>
  <c r="GD25" i="2"/>
  <c r="CQ25" i="2"/>
  <c r="BP25" i="2"/>
  <c r="AZ25" i="2"/>
  <c r="GN25" i="2"/>
  <c r="DC25" i="2"/>
  <c r="T25" i="2"/>
  <c r="C19" i="8"/>
  <c r="EK25" i="2"/>
  <c r="AH25" i="2" s="1" a="1"/>
  <c r="AH25" i="2" s="1"/>
  <c r="J19" i="8" a="1"/>
  <c r="J19" i="8" s="1"/>
  <c r="K19" i="8" s="1" a="1"/>
  <c r="K19" i="8" s="1"/>
  <c r="I19" i="8" a="1"/>
  <c r="I19" i="8" s="1"/>
  <c r="M19" i="8" s="1"/>
  <c r="G19" i="8" a="1"/>
  <c r="G19" i="8" s="1"/>
  <c r="H19" i="8" s="1" a="1"/>
  <c r="H19" i="8" s="1"/>
  <c r="F19" i="8" a="1"/>
  <c r="F19" i="8" s="1"/>
  <c r="L19" i="8" s="1"/>
  <c r="O18" i="8"/>
  <c r="BO24" i="2" a="1"/>
  <c r="BO24" i="2" s="1"/>
  <c r="CE24" i="2" a="1"/>
  <c r="CE24" i="2" s="1"/>
  <c r="AY24" i="2" a="1"/>
  <c r="AY24" i="2" s="1"/>
  <c r="EW26" i="2" l="1"/>
  <c r="GE27" i="2" a="1"/>
  <c r="GE27" i="2" s="1"/>
  <c r="GG27" i="2" a="1"/>
  <c r="GG27" i="2" s="1"/>
  <c r="GI27" i="2" a="1"/>
  <c r="GI27" i="2" s="1"/>
  <c r="FP27" i="2" a="1"/>
  <c r="FP27" i="2" s="1"/>
  <c r="FR27" i="2" a="1"/>
  <c r="FR27" i="2" s="1"/>
  <c r="FT27" i="2" a="1"/>
  <c r="FT27" i="2" s="1"/>
  <c r="GF27" i="2" a="1"/>
  <c r="GF27" i="2" s="1"/>
  <c r="GH27" i="2" a="1"/>
  <c r="GH27" i="2" s="1"/>
  <c r="GJ27" i="2" a="1"/>
  <c r="GJ27" i="2" s="1"/>
  <c r="FQ27" i="2" a="1"/>
  <c r="FQ27" i="2" s="1"/>
  <c r="FS27" i="2" a="1"/>
  <c r="FS27" i="2" s="1"/>
  <c r="FU27" i="2" a="1"/>
  <c r="FU27" i="2" s="1"/>
  <c r="EY27" i="2" a="1"/>
  <c r="EY27" i="2" s="1"/>
  <c r="FA27" i="2" a="1"/>
  <c r="FA27" i="2" s="1"/>
  <c r="FC27" i="2" a="1"/>
  <c r="FC27" i="2" s="1"/>
  <c r="FE27" i="2" a="1"/>
  <c r="FE27" i="2" s="1"/>
  <c r="EZ27" i="2" a="1"/>
  <c r="EZ27" i="2" s="1"/>
  <c r="FB27" i="2" a="1"/>
  <c r="FB27" i="2" s="1"/>
  <c r="FD27" i="2" a="1"/>
  <c r="FD27" i="2" s="1"/>
  <c r="EE27" i="2" a="1"/>
  <c r="EE27" i="2" s="1"/>
  <c r="ED27" i="2" a="1"/>
  <c r="ED27" i="2" s="1"/>
  <c r="EA27" i="2" a="1"/>
  <c r="EA27" i="2" s="1"/>
  <c r="DZ27" i="2" a="1"/>
  <c r="DZ27" i="2" s="1"/>
  <c r="DR27" i="2" a="1"/>
  <c r="DR27" i="2" s="1"/>
  <c r="DT27" i="2" a="1"/>
  <c r="DT27" i="2" s="1"/>
  <c r="DV27" i="2" a="1"/>
  <c r="DV27" i="2" s="1"/>
  <c r="DX27" i="2" a="1"/>
  <c r="DX27" i="2" s="1"/>
  <c r="DD27" i="2" a="1"/>
  <c r="DD27" i="2" s="1"/>
  <c r="DF27" i="2" a="1"/>
  <c r="DF27" i="2" s="1"/>
  <c r="DH27" i="2" a="1"/>
  <c r="DH27" i="2" s="1"/>
  <c r="DJ27" i="2" a="1"/>
  <c r="DJ27" i="2" s="1"/>
  <c r="DS27" i="2" a="1"/>
  <c r="DS27" i="2" s="1"/>
  <c r="DU27" i="2" a="1"/>
  <c r="DU27" i="2" s="1"/>
  <c r="DW27" i="2" a="1"/>
  <c r="DW27" i="2" s="1"/>
  <c r="DG27" i="2" a="1"/>
  <c r="DG27" i="2" s="1"/>
  <c r="CS27" i="2" a="1"/>
  <c r="CS27" i="2" s="1"/>
  <c r="CU27" i="2" a="1"/>
  <c r="CU27" i="2" s="1"/>
  <c r="CW27" i="2" a="1"/>
  <c r="CW27" i="2" s="1"/>
  <c r="CH27" i="2" a="1"/>
  <c r="CH27" i="2" s="1"/>
  <c r="CJ27" i="2" a="1"/>
  <c r="CJ27" i="2" s="1"/>
  <c r="CL27" i="2" a="1"/>
  <c r="CL27" i="2" s="1"/>
  <c r="BR27" i="2" a="1"/>
  <c r="BR27" i="2" s="1"/>
  <c r="BT27" i="2" a="1"/>
  <c r="BT27" i="2" s="1"/>
  <c r="BV27" i="2" a="1"/>
  <c r="BV27" i="2" s="1"/>
  <c r="BB27" i="2" a="1"/>
  <c r="BB27" i="2" s="1"/>
  <c r="BD27" i="2" a="1"/>
  <c r="BD27" i="2" s="1"/>
  <c r="BF27" i="2" a="1"/>
  <c r="BF27" i="2" s="1"/>
  <c r="AL27" i="2" a="1"/>
  <c r="AL27" i="2" s="1"/>
  <c r="AN27" i="2" a="1"/>
  <c r="AN27" i="2" s="1"/>
  <c r="AP27" i="2" a="1"/>
  <c r="AP27" i="2" s="1"/>
  <c r="DE27" i="2" a="1"/>
  <c r="DE27" i="2" s="1"/>
  <c r="DI27" i="2" a="1"/>
  <c r="DI27" i="2" s="1"/>
  <c r="CR27" i="2" a="1"/>
  <c r="CR27" i="2" s="1"/>
  <c r="CT27" i="2" a="1"/>
  <c r="CT27" i="2" s="1"/>
  <c r="CV27" i="2" a="1"/>
  <c r="CV27" i="2" s="1"/>
  <c r="CX27" i="2" a="1"/>
  <c r="CX27" i="2" s="1"/>
  <c r="CG27" i="2" a="1"/>
  <c r="CG27" i="2" s="1"/>
  <c r="CI27" i="2" a="1"/>
  <c r="CI27" i="2" s="1"/>
  <c r="CK27" i="2" a="1"/>
  <c r="CK27" i="2" s="1"/>
  <c r="BQ27" i="2" a="1"/>
  <c r="BQ27" i="2" s="1"/>
  <c r="BS27" i="2" a="1"/>
  <c r="BS27" i="2" s="1"/>
  <c r="BU27" i="2" a="1"/>
  <c r="BU27" i="2" s="1"/>
  <c r="BA27" i="2" a="1"/>
  <c r="BA27" i="2" s="1"/>
  <c r="BE27" i="2" a="1"/>
  <c r="BE27" i="2" s="1"/>
  <c r="AK27" i="2" a="1"/>
  <c r="AK27" i="2" s="1"/>
  <c r="AO27" i="2" a="1"/>
  <c r="AO27" i="2" s="1"/>
  <c r="U27" i="2" a="1"/>
  <c r="U27" i="2" s="1"/>
  <c r="W27" i="2" a="1"/>
  <c r="W27" i="2" s="1"/>
  <c r="Y27" i="2" a="1"/>
  <c r="Y27" i="2" s="1"/>
  <c r="AA27" i="2" a="1"/>
  <c r="AA27" i="2" s="1"/>
  <c r="L27" i="2" a="1"/>
  <c r="L27" i="2" s="1"/>
  <c r="N27" i="2" a="1"/>
  <c r="N27" i="2" s="1"/>
  <c r="P27" i="2" a="1"/>
  <c r="P27" i="2" s="1"/>
  <c r="BC27" i="2" a="1"/>
  <c r="BC27" i="2" s="1"/>
  <c r="AM27" i="2" a="1"/>
  <c r="AM27" i="2" s="1"/>
  <c r="V27" i="2" a="1"/>
  <c r="V27" i="2" s="1"/>
  <c r="X27" i="2" a="1"/>
  <c r="X27" i="2" s="1"/>
  <c r="Z27" i="2" a="1"/>
  <c r="Z27" i="2" s="1"/>
  <c r="M27" i="2" a="1"/>
  <c r="M27" i="2" s="1"/>
  <c r="O27" i="2" a="1"/>
  <c r="O27" i="2" s="1"/>
  <c r="DY26" i="2"/>
  <c r="EB26" i="2" a="1"/>
  <c r="EB26" i="2" s="1"/>
  <c r="EF26" i="2" a="1"/>
  <c r="EF26" i="2" s="1"/>
  <c r="D27" i="2" a="1"/>
  <c r="D27" i="2" s="1"/>
  <c r="E27" i="2" s="1" a="1"/>
  <c r="E27" i="2" s="1"/>
  <c r="C27" i="2" a="1"/>
  <c r="C27" i="2" s="1"/>
  <c r="GK27" i="2" a="1"/>
  <c r="GK27" i="2" s="1"/>
  <c r="GA27" i="2" a="1"/>
  <c r="GA27" i="2" s="1"/>
  <c r="FX27" i="2" a="1"/>
  <c r="FX27" i="2" s="1"/>
  <c r="CZ27" i="2" a="1"/>
  <c r="CZ27" i="2" s="1"/>
  <c r="CN27" i="2" a="1"/>
  <c r="CN27" i="2" s="1"/>
  <c r="CC27" i="2" a="1"/>
  <c r="CC27" i="2" s="1"/>
  <c r="BZ27" i="2" a="1"/>
  <c r="BZ27" i="2" s="1"/>
  <c r="EU27" i="2" a="1"/>
  <c r="EU27" i="2" s="1"/>
  <c r="DL27" i="2" a="1"/>
  <c r="DL27" i="2" s="1"/>
  <c r="AR27" i="2" a="1"/>
  <c r="AR27" i="2" s="1"/>
  <c r="BL27" i="2" a="1"/>
  <c r="BL27" i="2" s="1"/>
  <c r="BH27" i="2" a="1"/>
  <c r="BH27" i="2" s="1"/>
  <c r="AV27" i="2" a="1"/>
  <c r="AV27" i="2" s="1"/>
  <c r="GC25" i="2"/>
  <c r="FL25" i="2" a="1"/>
  <c r="FL25" i="2" s="1"/>
  <c r="FM25" i="2" s="1"/>
  <c r="GB27" i="2" a="1"/>
  <c r="GB27" i="2" s="1"/>
  <c r="FJ27" i="2" a="1"/>
  <c r="FJ27" i="2" s="1"/>
  <c r="FG27" i="2" a="1"/>
  <c r="FG27" i="2" s="1"/>
  <c r="CD27" i="2" a="1"/>
  <c r="CD27" i="2" s="1"/>
  <c r="FH27" i="2" a="1"/>
  <c r="FH27" i="2" s="1"/>
  <c r="CA27" i="2" a="1"/>
  <c r="CA27" i="2" s="1"/>
  <c r="BM27" i="2" a="1"/>
  <c r="BM27" i="2" s="1"/>
  <c r="BI27" i="2" a="1"/>
  <c r="BI27" i="2" s="1"/>
  <c r="AW27" i="2" a="1"/>
  <c r="AW27" i="2" s="1"/>
  <c r="AC27" i="2" a="1"/>
  <c r="AC27" i="2" s="1"/>
  <c r="F27" i="2" a="1"/>
  <c r="F27" i="2" s="1"/>
  <c r="FY27" i="2" a="1"/>
  <c r="FY27" i="2" s="1"/>
  <c r="FK27" i="2" a="1"/>
  <c r="FK27" i="2" s="1"/>
  <c r="AS27" i="2" a="1"/>
  <c r="AS27" i="2" s="1"/>
  <c r="AD27" i="2" a="1"/>
  <c r="AD27" i="2" s="1"/>
  <c r="AI25" i="2"/>
  <c r="FI26" i="2"/>
  <c r="FZ26" i="2"/>
  <c r="DN26" i="2"/>
  <c r="FN25" i="2"/>
  <c r="J25" i="2"/>
  <c r="BJ26" i="2"/>
  <c r="CB26" i="2"/>
  <c r="O19" i="8"/>
  <c r="N19" i="8"/>
  <c r="E19" i="8"/>
  <c r="AJ25" i="2"/>
  <c r="P18" i="8"/>
  <c r="Q18" i="8" s="1"/>
  <c r="R18" i="8" s="1"/>
  <c r="CE25" i="2" a="1"/>
  <c r="CE25" i="2" s="1"/>
  <c r="CF25" i="2" s="1"/>
  <c r="AY25" i="2" a="1"/>
  <c r="AY25" i="2" s="1"/>
  <c r="DK26" i="2"/>
  <c r="FF26" i="2"/>
  <c r="FW26" i="2"/>
  <c r="I26" i="2"/>
  <c r="AE26" i="2" a="1"/>
  <c r="AE26" i="2" s="1"/>
  <c r="AT26" i="2"/>
  <c r="AQ26" i="2" a="1"/>
  <c r="AQ26" i="2" s="1"/>
  <c r="BY26" i="2"/>
  <c r="DB26" i="2"/>
  <c r="CY26" i="2"/>
  <c r="ET26" i="2"/>
  <c r="J20" i="8" a="1"/>
  <c r="J20" i="8" s="1"/>
  <c r="K20" i="8" s="1" a="1"/>
  <c r="K20" i="8" s="1"/>
  <c r="I20" i="8" a="1"/>
  <c r="I20" i="8" s="1"/>
  <c r="M20" i="8" s="1"/>
  <c r="G20" i="8" a="1"/>
  <c r="G20" i="8" s="1"/>
  <c r="H20" i="8" s="1" a="1"/>
  <c r="H20" i="8" s="1"/>
  <c r="F20" i="8" a="1"/>
  <c r="F20" i="8" s="1"/>
  <c r="L20" i="8" s="1"/>
  <c r="AX26" i="2"/>
  <c r="AU26" i="2" a="1"/>
  <c r="AU26" i="2" s="1"/>
  <c r="BK26" i="2"/>
  <c r="BN26" i="2"/>
  <c r="CM26" i="2"/>
  <c r="CP26" i="2"/>
  <c r="A19" i="10"/>
  <c r="A20" i="8"/>
  <c r="S20" i="8" s="1"/>
  <c r="GN26" i="2"/>
  <c r="FM26" i="2"/>
  <c r="ES26" i="2"/>
  <c r="CQ26" i="2"/>
  <c r="BP26" i="2"/>
  <c r="AZ26" i="2"/>
  <c r="AI26" i="2"/>
  <c r="K26" i="2"/>
  <c r="GD26" i="2"/>
  <c r="FN26" i="2"/>
  <c r="DC26" i="2"/>
  <c r="CF26" i="2"/>
  <c r="AJ26" i="2"/>
  <c r="T26" i="2"/>
  <c r="J26" i="2"/>
  <c r="C20" i="8"/>
  <c r="EK26" i="2"/>
  <c r="E20" i="8" s="1"/>
  <c r="B20" i="10"/>
  <c r="B21" i="8"/>
  <c r="DM27" i="2" a="1"/>
  <c r="DM27" i="2" s="1"/>
  <c r="CO27" i="2" a="1"/>
  <c r="CO27" i="2" s="1"/>
  <c r="S27" i="2" a="1"/>
  <c r="S27" i="2" s="1"/>
  <c r="Q27" i="2" a="1"/>
  <c r="Q27" i="2" s="1"/>
  <c r="B28" i="2"/>
  <c r="GL27" i="2" a="1"/>
  <c r="GL27" i="2" s="1"/>
  <c r="EV27" i="2" a="1"/>
  <c r="EV27" i="2" s="1"/>
  <c r="EW27" i="2" s="1"/>
  <c r="EJ27" i="2" a="1"/>
  <c r="EJ27" i="2" s="1"/>
  <c r="D21" i="8" s="1"/>
  <c r="EI27" i="2" a="1"/>
  <c r="EI27" i="2" s="1"/>
  <c r="DA27" i="2" a="1"/>
  <c r="DA27" i="2" s="1"/>
  <c r="AG27" i="2" a="1"/>
  <c r="AG27" i="2" s="1"/>
  <c r="AF27" i="2" a="1"/>
  <c r="AF27" i="2" s="1"/>
  <c r="G27" i="2" a="1"/>
  <c r="G27" i="2" s="1"/>
  <c r="H27" i="2" s="1" a="1"/>
  <c r="H27" i="2" s="1"/>
  <c r="A27" i="2"/>
  <c r="DQ27" i="2" s="1"/>
  <c r="BO25" i="2" a="1"/>
  <c r="BO25" i="2" s="1"/>
  <c r="EC27" i="2" l="1"/>
  <c r="DY27" i="2"/>
  <c r="EB27" i="2" a="1"/>
  <c r="EB27" i="2" s="1"/>
  <c r="EF27" i="2" a="1"/>
  <c r="EF27" i="2" s="1"/>
  <c r="GE28" i="2" a="1"/>
  <c r="GE28" i="2" s="1"/>
  <c r="GG28" i="2" a="1"/>
  <c r="GG28" i="2" s="1"/>
  <c r="GI28" i="2" a="1"/>
  <c r="GI28" i="2" s="1"/>
  <c r="FP28" i="2" a="1"/>
  <c r="FP28" i="2" s="1"/>
  <c r="FR28" i="2" a="1"/>
  <c r="FR28" i="2" s="1"/>
  <c r="FT28" i="2" a="1"/>
  <c r="FT28" i="2" s="1"/>
  <c r="GF28" i="2" a="1"/>
  <c r="GF28" i="2" s="1"/>
  <c r="GH28" i="2" a="1"/>
  <c r="GH28" i="2" s="1"/>
  <c r="GJ28" i="2" a="1"/>
  <c r="GJ28" i="2" s="1"/>
  <c r="FQ28" i="2" a="1"/>
  <c r="FQ28" i="2" s="1"/>
  <c r="FS28" i="2" a="1"/>
  <c r="FS28" i="2" s="1"/>
  <c r="FU28" i="2" a="1"/>
  <c r="FU28" i="2" s="1"/>
  <c r="EZ28" i="2" a="1"/>
  <c r="EZ28" i="2" s="1"/>
  <c r="FB28" i="2" a="1"/>
  <c r="FB28" i="2" s="1"/>
  <c r="FD28" i="2" a="1"/>
  <c r="FD28" i="2" s="1"/>
  <c r="EE28" i="2" a="1"/>
  <c r="EE28" i="2" s="1"/>
  <c r="ED28" i="2" a="1"/>
  <c r="ED28" i="2" s="1"/>
  <c r="EA28" i="2" a="1"/>
  <c r="EA28" i="2" s="1"/>
  <c r="DZ28" i="2" a="1"/>
  <c r="DZ28" i="2" s="1"/>
  <c r="EY28" i="2" a="1"/>
  <c r="EY28" i="2" s="1"/>
  <c r="FA28" i="2" a="1"/>
  <c r="FA28" i="2" s="1"/>
  <c r="FC28" i="2" a="1"/>
  <c r="FC28" i="2" s="1"/>
  <c r="FE28" i="2" a="1"/>
  <c r="FE28" i="2" s="1"/>
  <c r="DS28" i="2" a="1"/>
  <c r="DS28" i="2" s="1"/>
  <c r="DU28" i="2" a="1"/>
  <c r="DU28" i="2" s="1"/>
  <c r="DW28" i="2" a="1"/>
  <c r="DW28" i="2" s="1"/>
  <c r="DE28" i="2" a="1"/>
  <c r="DE28" i="2" s="1"/>
  <c r="DG28" i="2" a="1"/>
  <c r="DG28" i="2" s="1"/>
  <c r="DI28" i="2" a="1"/>
  <c r="DI28" i="2" s="1"/>
  <c r="DR28" i="2" a="1"/>
  <c r="DR28" i="2" s="1"/>
  <c r="DT28" i="2" a="1"/>
  <c r="DT28" i="2" s="1"/>
  <c r="DV28" i="2" a="1"/>
  <c r="DV28" i="2" s="1"/>
  <c r="DX28" i="2" a="1"/>
  <c r="DX28" i="2" s="1"/>
  <c r="DD28" i="2" a="1"/>
  <c r="DD28" i="2" s="1"/>
  <c r="DH28" i="2" a="1"/>
  <c r="DH28" i="2" s="1"/>
  <c r="CR28" i="2" a="1"/>
  <c r="CR28" i="2" s="1"/>
  <c r="CT28" i="2" a="1"/>
  <c r="CT28" i="2" s="1"/>
  <c r="CV28" i="2" a="1"/>
  <c r="CV28" i="2" s="1"/>
  <c r="CX28" i="2" a="1"/>
  <c r="CX28" i="2" s="1"/>
  <c r="CH28" i="2" a="1"/>
  <c r="CH28" i="2" s="1"/>
  <c r="CJ28" i="2" a="1"/>
  <c r="CJ28" i="2" s="1"/>
  <c r="CL28" i="2" a="1"/>
  <c r="CL28" i="2" s="1"/>
  <c r="BR28" i="2" a="1"/>
  <c r="BR28" i="2" s="1"/>
  <c r="BT28" i="2" a="1"/>
  <c r="BT28" i="2" s="1"/>
  <c r="BV28" i="2" a="1"/>
  <c r="BV28" i="2" s="1"/>
  <c r="BB28" i="2" a="1"/>
  <c r="BB28" i="2" s="1"/>
  <c r="BD28" i="2" a="1"/>
  <c r="BD28" i="2" s="1"/>
  <c r="BF28" i="2" a="1"/>
  <c r="BF28" i="2" s="1"/>
  <c r="AL28" i="2" a="1"/>
  <c r="AL28" i="2" s="1"/>
  <c r="AN28" i="2" a="1"/>
  <c r="AN28" i="2" s="1"/>
  <c r="AP28" i="2" a="1"/>
  <c r="AP28" i="2" s="1"/>
  <c r="DF28" i="2" a="1"/>
  <c r="DF28" i="2" s="1"/>
  <c r="DJ28" i="2" a="1"/>
  <c r="DJ28" i="2" s="1"/>
  <c r="CS28" i="2" a="1"/>
  <c r="CS28" i="2" s="1"/>
  <c r="CU28" i="2" a="1"/>
  <c r="CU28" i="2" s="1"/>
  <c r="CW28" i="2" a="1"/>
  <c r="CW28" i="2" s="1"/>
  <c r="CG28" i="2" a="1"/>
  <c r="CG28" i="2" s="1"/>
  <c r="CI28" i="2" a="1"/>
  <c r="CI28" i="2" s="1"/>
  <c r="CK28" i="2" a="1"/>
  <c r="CK28" i="2" s="1"/>
  <c r="BQ28" i="2" a="1"/>
  <c r="BQ28" i="2" s="1"/>
  <c r="BS28" i="2" a="1"/>
  <c r="BS28" i="2" s="1"/>
  <c r="BU28" i="2" a="1"/>
  <c r="BU28" i="2" s="1"/>
  <c r="BC28" i="2" a="1"/>
  <c r="BC28" i="2" s="1"/>
  <c r="AM28" i="2" a="1"/>
  <c r="AM28" i="2" s="1"/>
  <c r="V28" i="2" a="1"/>
  <c r="V28" i="2" s="1"/>
  <c r="X28" i="2" a="1"/>
  <c r="X28" i="2" s="1"/>
  <c r="Z28" i="2" a="1"/>
  <c r="Z28" i="2" s="1"/>
  <c r="M28" i="2" a="1"/>
  <c r="M28" i="2" s="1"/>
  <c r="O28" i="2" a="1"/>
  <c r="O28" i="2" s="1"/>
  <c r="BA28" i="2" a="1"/>
  <c r="BA28" i="2" s="1"/>
  <c r="BE28" i="2" a="1"/>
  <c r="BE28" i="2" s="1"/>
  <c r="AK28" i="2" a="1"/>
  <c r="AK28" i="2" s="1"/>
  <c r="AO28" i="2" a="1"/>
  <c r="AO28" i="2" s="1"/>
  <c r="U28" i="2" a="1"/>
  <c r="U28" i="2" s="1"/>
  <c r="W28" i="2" a="1"/>
  <c r="W28" i="2" s="1"/>
  <c r="Y28" i="2" a="1"/>
  <c r="Y28" i="2" s="1"/>
  <c r="AA28" i="2" a="1"/>
  <c r="AA28" i="2" s="1"/>
  <c r="L28" i="2" a="1"/>
  <c r="L28" i="2" s="1"/>
  <c r="N28" i="2" a="1"/>
  <c r="N28" i="2" s="1"/>
  <c r="P28" i="2" a="1"/>
  <c r="P28" i="2" s="1"/>
  <c r="D28" i="2" a="1"/>
  <c r="D28" i="2" s="1"/>
  <c r="E28" i="2" s="1" a="1"/>
  <c r="E28" i="2" s="1"/>
  <c r="GA28" i="2" a="1"/>
  <c r="GA28" i="2" s="1"/>
  <c r="C28" i="2" a="1"/>
  <c r="C28" i="2" s="1"/>
  <c r="GK28" i="2" a="1"/>
  <c r="GK28" i="2" s="1"/>
  <c r="FX28" i="2" a="1"/>
  <c r="FX28" i="2" s="1"/>
  <c r="EU28" i="2" a="1"/>
  <c r="EU28" i="2" s="1"/>
  <c r="DL28" i="2" a="1"/>
  <c r="DL28" i="2" s="1"/>
  <c r="BL28" i="2" a="1"/>
  <c r="BL28" i="2" s="1"/>
  <c r="BH28" i="2" a="1"/>
  <c r="BH28" i="2" s="1"/>
  <c r="AV28" i="2" a="1"/>
  <c r="AV28" i="2" s="1"/>
  <c r="CZ28" i="2" a="1"/>
  <c r="CZ28" i="2" s="1"/>
  <c r="CN28" i="2" a="1"/>
  <c r="CN28" i="2" s="1"/>
  <c r="CC28" i="2" a="1"/>
  <c r="CC28" i="2" s="1"/>
  <c r="BZ28" i="2" a="1"/>
  <c r="BZ28" i="2" s="1"/>
  <c r="AR28" i="2" a="1"/>
  <c r="AR28" i="2" s="1"/>
  <c r="AB27" i="2" a="1"/>
  <c r="AB27" i="2" s="1"/>
  <c r="FY28" i="2" a="1"/>
  <c r="FY28" i="2" s="1"/>
  <c r="GB28" i="2" a="1"/>
  <c r="GB28" i="2" s="1"/>
  <c r="FK28" i="2" a="1"/>
  <c r="FK28" i="2" s="1"/>
  <c r="FH28" i="2" a="1"/>
  <c r="FH28" i="2" s="1"/>
  <c r="FJ28" i="2" a="1"/>
  <c r="FJ28" i="2" s="1"/>
  <c r="FG28" i="2" a="1"/>
  <c r="FG28" i="2" s="1"/>
  <c r="CD28" i="2" a="1"/>
  <c r="CD28" i="2" s="1"/>
  <c r="AS28" i="2" a="1"/>
  <c r="AS28" i="2" s="1"/>
  <c r="AD28" i="2" a="1"/>
  <c r="AD28" i="2" s="1"/>
  <c r="CA28" i="2" a="1"/>
  <c r="CA28" i="2" s="1"/>
  <c r="BI28" i="2" a="1"/>
  <c r="BI28" i="2" s="1"/>
  <c r="AW28" i="2" a="1"/>
  <c r="AW28" i="2" s="1"/>
  <c r="AC28" i="2" a="1"/>
  <c r="AC28" i="2" s="1"/>
  <c r="AB28" i="2" s="1" a="1"/>
  <c r="AB28" i="2" s="1"/>
  <c r="BM28" i="2" a="1"/>
  <c r="BM28" i="2" s="1"/>
  <c r="F28" i="2" a="1"/>
  <c r="F28" i="2" s="1"/>
  <c r="BO26" i="2" a="1"/>
  <c r="BO26" i="2" s="1"/>
  <c r="P19" i="8"/>
  <c r="Q19" i="8" s="1"/>
  <c r="R19" i="8" s="1"/>
  <c r="DN27" i="2"/>
  <c r="BJ27" i="2"/>
  <c r="CB27" i="2"/>
  <c r="I27" i="2"/>
  <c r="AE27" i="2" a="1"/>
  <c r="AE27" i="2" s="1"/>
  <c r="AT27" i="2"/>
  <c r="AQ27" i="2" a="1"/>
  <c r="AQ27" i="2" s="1"/>
  <c r="BY27" i="2"/>
  <c r="CY27" i="2"/>
  <c r="DB27" i="2"/>
  <c r="ET27" i="2"/>
  <c r="FI27" i="2"/>
  <c r="FZ27" i="2"/>
  <c r="AX27" i="2"/>
  <c r="AU27" i="2" a="1"/>
  <c r="AU27" i="2" s="1"/>
  <c r="BN27" i="2"/>
  <c r="BK27" i="2"/>
  <c r="CP27" i="2"/>
  <c r="CM27" i="2"/>
  <c r="J21" i="8" a="1"/>
  <c r="J21" i="8" s="1"/>
  <c r="K21" i="8" s="1" a="1"/>
  <c r="K21" i="8" s="1"/>
  <c r="I21" i="8" a="1"/>
  <c r="I21" i="8" s="1"/>
  <c r="M21" i="8" s="1"/>
  <c r="G21" i="8" a="1"/>
  <c r="G21" i="8" s="1"/>
  <c r="H21" i="8" s="1" a="1"/>
  <c r="H21" i="8" s="1"/>
  <c r="F21" i="8" a="1"/>
  <c r="F21" i="8" s="1"/>
  <c r="L21" i="8" s="1"/>
  <c r="N20" i="8"/>
  <c r="AH26" i="2" a="1"/>
  <c r="AH26" i="2" s="1"/>
  <c r="EQ24" i="2"/>
  <c r="A20" i="10"/>
  <c r="A21" i="8"/>
  <c r="S21" i="8" s="1"/>
  <c r="GD27" i="2"/>
  <c r="FN27" i="2"/>
  <c r="DC27" i="2"/>
  <c r="CF27" i="2"/>
  <c r="AJ27" i="2"/>
  <c r="T27" i="2"/>
  <c r="J27" i="2"/>
  <c r="GN27" i="2"/>
  <c r="FM27" i="2"/>
  <c r="ES27" i="2"/>
  <c r="CQ27" i="2"/>
  <c r="BP27" i="2"/>
  <c r="AZ27" i="2"/>
  <c r="AI27" i="2"/>
  <c r="K27" i="2"/>
  <c r="C21" i="8"/>
  <c r="EK27" i="2"/>
  <c r="E21" i="8" s="1"/>
  <c r="B21" i="10"/>
  <c r="B22" i="8"/>
  <c r="B29" i="2"/>
  <c r="GL28" i="2" a="1"/>
  <c r="GL28" i="2" s="1"/>
  <c r="EV28" i="2" a="1"/>
  <c r="EV28" i="2" s="1"/>
  <c r="EW28" i="2" s="1"/>
  <c r="EJ28" i="2" a="1"/>
  <c r="EJ28" i="2" s="1"/>
  <c r="D22" i="8" s="1"/>
  <c r="EI28" i="2" a="1"/>
  <c r="EI28" i="2" s="1"/>
  <c r="DA28" i="2" a="1"/>
  <c r="DA28" i="2" s="1"/>
  <c r="AG28" i="2" a="1"/>
  <c r="AG28" i="2" s="1"/>
  <c r="AF28" i="2" a="1"/>
  <c r="AF28" i="2" s="1"/>
  <c r="G28" i="2" a="1"/>
  <c r="G28" i="2" s="1"/>
  <c r="H28" i="2" s="1" a="1"/>
  <c r="H28" i="2" s="1"/>
  <c r="A28" i="2"/>
  <c r="DQ28" i="2" s="1"/>
  <c r="DM28" i="2" a="1"/>
  <c r="DM28" i="2" s="1"/>
  <c r="CO28" i="2" a="1"/>
  <c r="CO28" i="2" s="1"/>
  <c r="S28" i="2" a="1"/>
  <c r="S28" i="2" s="1"/>
  <c r="Q28" i="2" a="1"/>
  <c r="Q28" i="2" s="1"/>
  <c r="DK27" i="2"/>
  <c r="FL27" i="2" a="1"/>
  <c r="FL27" i="2" s="1"/>
  <c r="FF27" i="2"/>
  <c r="GC27" i="2"/>
  <c r="FW27" i="2"/>
  <c r="O20" i="8"/>
  <c r="CE26" i="2" a="1"/>
  <c r="CE26" i="2" s="1"/>
  <c r="AY26" i="2" a="1"/>
  <c r="AY26" i="2" s="1"/>
  <c r="GC26" i="2"/>
  <c r="FL26" i="2" a="1"/>
  <c r="FL26" i="2" s="1"/>
  <c r="GE29" i="2" l="1" a="1"/>
  <c r="GE29" i="2" s="1"/>
  <c r="GG29" i="2" a="1"/>
  <c r="GG29" i="2" s="1"/>
  <c r="GI29" i="2" a="1"/>
  <c r="GI29" i="2" s="1"/>
  <c r="FP29" i="2" a="1"/>
  <c r="FP29" i="2" s="1"/>
  <c r="FR29" i="2" a="1"/>
  <c r="FR29" i="2" s="1"/>
  <c r="FT29" i="2" a="1"/>
  <c r="FT29" i="2" s="1"/>
  <c r="GF29" i="2" a="1"/>
  <c r="GF29" i="2" s="1"/>
  <c r="GH29" i="2" a="1"/>
  <c r="GH29" i="2" s="1"/>
  <c r="GJ29" i="2" a="1"/>
  <c r="GJ29" i="2" s="1"/>
  <c r="FQ29" i="2" a="1"/>
  <c r="FQ29" i="2" s="1"/>
  <c r="FS29" i="2" a="1"/>
  <c r="FS29" i="2" s="1"/>
  <c r="FU29" i="2" a="1"/>
  <c r="FU29" i="2" s="1"/>
  <c r="EY29" i="2" a="1"/>
  <c r="EY29" i="2" s="1"/>
  <c r="FA29" i="2" a="1"/>
  <c r="FA29" i="2" s="1"/>
  <c r="FC29" i="2" a="1"/>
  <c r="FC29" i="2" s="1"/>
  <c r="FE29" i="2" a="1"/>
  <c r="FE29" i="2" s="1"/>
  <c r="EZ29" i="2" a="1"/>
  <c r="EZ29" i="2" s="1"/>
  <c r="FB29" i="2" a="1"/>
  <c r="FB29" i="2" s="1"/>
  <c r="FD29" i="2" a="1"/>
  <c r="FD29" i="2" s="1"/>
  <c r="EE29" i="2" a="1"/>
  <c r="EE29" i="2" s="1"/>
  <c r="ED29" i="2" a="1"/>
  <c r="ED29" i="2" s="1"/>
  <c r="EA29" i="2" a="1"/>
  <c r="EA29" i="2" s="1"/>
  <c r="DZ29" i="2" a="1"/>
  <c r="DZ29" i="2" s="1"/>
  <c r="DR29" i="2" a="1"/>
  <c r="DR29" i="2" s="1"/>
  <c r="DT29" i="2" a="1"/>
  <c r="DT29" i="2" s="1"/>
  <c r="DV29" i="2" a="1"/>
  <c r="DV29" i="2" s="1"/>
  <c r="DX29" i="2" a="1"/>
  <c r="DX29" i="2" s="1"/>
  <c r="DD29" i="2" a="1"/>
  <c r="DD29" i="2" s="1"/>
  <c r="DF29" i="2" a="1"/>
  <c r="DF29" i="2" s="1"/>
  <c r="DH29" i="2" a="1"/>
  <c r="DH29" i="2" s="1"/>
  <c r="DJ29" i="2" a="1"/>
  <c r="DJ29" i="2" s="1"/>
  <c r="DS29" i="2" a="1"/>
  <c r="DS29" i="2" s="1"/>
  <c r="DU29" i="2" a="1"/>
  <c r="DU29" i="2" s="1"/>
  <c r="DW29" i="2" a="1"/>
  <c r="DW29" i="2" s="1"/>
  <c r="DE29" i="2" a="1"/>
  <c r="DE29" i="2" s="1"/>
  <c r="DI29" i="2" a="1"/>
  <c r="DI29" i="2" s="1"/>
  <c r="CS29" i="2" a="1"/>
  <c r="CS29" i="2" s="1"/>
  <c r="CU29" i="2" a="1"/>
  <c r="CU29" i="2" s="1"/>
  <c r="CW29" i="2" a="1"/>
  <c r="CW29" i="2" s="1"/>
  <c r="CH29" i="2" a="1"/>
  <c r="CH29" i="2" s="1"/>
  <c r="CJ29" i="2" a="1"/>
  <c r="CJ29" i="2" s="1"/>
  <c r="CL29" i="2" a="1"/>
  <c r="CL29" i="2" s="1"/>
  <c r="BR29" i="2" a="1"/>
  <c r="BR29" i="2" s="1"/>
  <c r="BT29" i="2" a="1"/>
  <c r="BT29" i="2" s="1"/>
  <c r="BV29" i="2" a="1"/>
  <c r="BV29" i="2" s="1"/>
  <c r="BB29" i="2" a="1"/>
  <c r="BB29" i="2" s="1"/>
  <c r="BD29" i="2" a="1"/>
  <c r="BD29" i="2" s="1"/>
  <c r="BF29" i="2" a="1"/>
  <c r="BF29" i="2" s="1"/>
  <c r="AL29" i="2" a="1"/>
  <c r="AL29" i="2" s="1"/>
  <c r="AN29" i="2" a="1"/>
  <c r="AN29" i="2" s="1"/>
  <c r="AP29" i="2" a="1"/>
  <c r="AP29" i="2" s="1"/>
  <c r="DG29" i="2" a="1"/>
  <c r="DG29" i="2" s="1"/>
  <c r="CR29" i="2" a="1"/>
  <c r="CR29" i="2" s="1"/>
  <c r="CT29" i="2" a="1"/>
  <c r="CT29" i="2" s="1"/>
  <c r="CV29" i="2" a="1"/>
  <c r="CV29" i="2" s="1"/>
  <c r="CX29" i="2" a="1"/>
  <c r="CX29" i="2" s="1"/>
  <c r="CG29" i="2" a="1"/>
  <c r="CG29" i="2" s="1"/>
  <c r="CI29" i="2" a="1"/>
  <c r="CI29" i="2" s="1"/>
  <c r="CK29" i="2" a="1"/>
  <c r="CK29" i="2" s="1"/>
  <c r="BQ29" i="2" a="1"/>
  <c r="BQ29" i="2" s="1"/>
  <c r="BS29" i="2" a="1"/>
  <c r="BS29" i="2" s="1"/>
  <c r="BU29" i="2" a="1"/>
  <c r="BU29" i="2" s="1"/>
  <c r="BA29" i="2" a="1"/>
  <c r="BA29" i="2" s="1"/>
  <c r="BE29" i="2" a="1"/>
  <c r="BE29" i="2" s="1"/>
  <c r="AK29" i="2" a="1"/>
  <c r="AK29" i="2" s="1"/>
  <c r="AO29" i="2" a="1"/>
  <c r="AO29" i="2" s="1"/>
  <c r="U29" i="2" a="1"/>
  <c r="U29" i="2" s="1"/>
  <c r="W29" i="2" a="1"/>
  <c r="W29" i="2" s="1"/>
  <c r="Y29" i="2" a="1"/>
  <c r="Y29" i="2" s="1"/>
  <c r="AA29" i="2" a="1"/>
  <c r="AA29" i="2" s="1"/>
  <c r="L29" i="2" a="1"/>
  <c r="L29" i="2" s="1"/>
  <c r="N29" i="2" a="1"/>
  <c r="N29" i="2" s="1"/>
  <c r="P29" i="2" a="1"/>
  <c r="P29" i="2" s="1"/>
  <c r="BC29" i="2" a="1"/>
  <c r="BC29" i="2" s="1"/>
  <c r="AM29" i="2" a="1"/>
  <c r="AM29" i="2" s="1"/>
  <c r="V29" i="2" a="1"/>
  <c r="V29" i="2" s="1"/>
  <c r="X29" i="2" a="1"/>
  <c r="X29" i="2" s="1"/>
  <c r="Z29" i="2" a="1"/>
  <c r="Z29" i="2" s="1"/>
  <c r="M29" i="2" a="1"/>
  <c r="M29" i="2" s="1"/>
  <c r="O29" i="2" a="1"/>
  <c r="O29" i="2" s="1"/>
  <c r="EB28" i="2" a="1"/>
  <c r="EB28" i="2" s="1"/>
  <c r="DY28" i="2"/>
  <c r="EC28" i="2"/>
  <c r="EF28" i="2" a="1"/>
  <c r="EF28" i="2" s="1"/>
  <c r="D29" i="2" a="1"/>
  <c r="D29" i="2" s="1"/>
  <c r="E29" i="2" s="1" a="1"/>
  <c r="E29" i="2" s="1"/>
  <c r="C29" i="2" a="1"/>
  <c r="C29" i="2" s="1"/>
  <c r="GK29" i="2" a="1"/>
  <c r="GK29" i="2" s="1"/>
  <c r="FX29" i="2" a="1"/>
  <c r="FX29" i="2" s="1"/>
  <c r="GA29" i="2" a="1"/>
  <c r="GA29" i="2" s="1"/>
  <c r="CZ29" i="2" a="1"/>
  <c r="CZ29" i="2" s="1"/>
  <c r="CN29" i="2" a="1"/>
  <c r="CN29" i="2" s="1"/>
  <c r="CC29" i="2" a="1"/>
  <c r="CC29" i="2" s="1"/>
  <c r="BZ29" i="2" a="1"/>
  <c r="BZ29" i="2" s="1"/>
  <c r="AR29" i="2" a="1"/>
  <c r="AR29" i="2" s="1"/>
  <c r="EU29" i="2" a="1"/>
  <c r="EU29" i="2" s="1"/>
  <c r="DL29" i="2" a="1"/>
  <c r="DL29" i="2" s="1"/>
  <c r="BL29" i="2" a="1"/>
  <c r="BL29" i="2" s="1"/>
  <c r="BH29" i="2" a="1"/>
  <c r="BH29" i="2" s="1"/>
  <c r="AV29" i="2" a="1"/>
  <c r="AV29" i="2" s="1"/>
  <c r="GB29" i="2" a="1"/>
  <c r="GB29" i="2" s="1"/>
  <c r="FY29" i="2" a="1"/>
  <c r="FY29" i="2" s="1"/>
  <c r="FJ29" i="2" a="1"/>
  <c r="FJ29" i="2" s="1"/>
  <c r="FG29" i="2" a="1"/>
  <c r="FG29" i="2" s="1"/>
  <c r="CD29" i="2" a="1"/>
  <c r="CD29" i="2" s="1"/>
  <c r="FK29" i="2" a="1"/>
  <c r="FK29" i="2" s="1"/>
  <c r="CA29" i="2" a="1"/>
  <c r="CA29" i="2" s="1"/>
  <c r="BM29" i="2" a="1"/>
  <c r="BM29" i="2" s="1"/>
  <c r="BI29" i="2" a="1"/>
  <c r="BI29" i="2" s="1"/>
  <c r="AW29" i="2" a="1"/>
  <c r="AW29" i="2" s="1"/>
  <c r="AC29" i="2" a="1"/>
  <c r="AC29" i="2" s="1"/>
  <c r="FH29" i="2" a="1"/>
  <c r="FH29" i="2" s="1"/>
  <c r="AS29" i="2" a="1"/>
  <c r="AS29" i="2" s="1"/>
  <c r="AD29" i="2" a="1"/>
  <c r="AD29" i="2" s="1"/>
  <c r="F29" i="2" a="1"/>
  <c r="F29" i="2" s="1"/>
  <c r="N21" i="8"/>
  <c r="DN28" i="2"/>
  <c r="BO27" i="2" a="1"/>
  <c r="BO27" i="2" s="1"/>
  <c r="EQ25" i="2"/>
  <c r="ES25" i="2" s="1"/>
  <c r="S19" i="8"/>
  <c r="ER25" i="2" s="1"/>
  <c r="AE28" i="2" a="1"/>
  <c r="AE28" i="2" s="1"/>
  <c r="FI28" i="2"/>
  <c r="FZ28" i="2"/>
  <c r="AX28" i="2"/>
  <c r="AU28" i="2" a="1"/>
  <c r="AU28" i="2" s="1"/>
  <c r="BJ28" i="2"/>
  <c r="BK28" i="2"/>
  <c r="BN28" i="2"/>
  <c r="CB28" i="2"/>
  <c r="CM28" i="2"/>
  <c r="CP28" i="2"/>
  <c r="A21" i="10"/>
  <c r="A22" i="8"/>
  <c r="S22" i="8" s="1"/>
  <c r="GN28" i="2"/>
  <c r="FM28" i="2"/>
  <c r="ES28" i="2"/>
  <c r="CQ28" i="2"/>
  <c r="BP28" i="2"/>
  <c r="AZ28" i="2"/>
  <c r="AI28" i="2"/>
  <c r="K28" i="2"/>
  <c r="GD28" i="2"/>
  <c r="FN28" i="2"/>
  <c r="DC28" i="2"/>
  <c r="CF28" i="2"/>
  <c r="AJ28" i="2"/>
  <c r="T28" i="2"/>
  <c r="J28" i="2"/>
  <c r="C22" i="8"/>
  <c r="EK28" i="2"/>
  <c r="B22" i="10"/>
  <c r="B23" i="8"/>
  <c r="DM29" i="2" a="1"/>
  <c r="DM29" i="2" s="1"/>
  <c r="CO29" i="2" a="1"/>
  <c r="CO29" i="2" s="1"/>
  <c r="S29" i="2" a="1"/>
  <c r="S29" i="2" s="1"/>
  <c r="Q29" i="2" a="1"/>
  <c r="Q29" i="2" s="1"/>
  <c r="B30" i="2"/>
  <c r="GL29" i="2" a="1"/>
  <c r="GL29" i="2" s="1"/>
  <c r="EV29" i="2" a="1"/>
  <c r="EV29" i="2" s="1"/>
  <c r="EW29" i="2" s="1"/>
  <c r="EJ29" i="2" a="1"/>
  <c r="EJ29" i="2" s="1"/>
  <c r="D23" i="8" s="1"/>
  <c r="EI29" i="2" a="1"/>
  <c r="EI29" i="2" s="1"/>
  <c r="DA29" i="2" a="1"/>
  <c r="DA29" i="2" s="1"/>
  <c r="AG29" i="2" a="1"/>
  <c r="AG29" i="2" s="1"/>
  <c r="AF29" i="2" a="1"/>
  <c r="AF29" i="2" s="1"/>
  <c r="G29" i="2" a="1"/>
  <c r="G29" i="2" s="1"/>
  <c r="H29" i="2" s="1" a="1"/>
  <c r="H29" i="2" s="1"/>
  <c r="A29" i="2"/>
  <c r="DQ29" i="2" s="1"/>
  <c r="AH27" i="2" a="1"/>
  <c r="AH27" i="2" s="1"/>
  <c r="DK28" i="2"/>
  <c r="FL28" i="2" a="1"/>
  <c r="FL28" i="2" s="1"/>
  <c r="FF28" i="2"/>
  <c r="GC28" i="2"/>
  <c r="FW28" i="2"/>
  <c r="I28" i="2"/>
  <c r="AH28" i="2" a="1"/>
  <c r="AH28" i="2" s="1"/>
  <c r="AT28" i="2"/>
  <c r="AY28" i="2" s="1" a="1"/>
  <c r="AY28" i="2" s="1"/>
  <c r="AQ28" i="2" a="1"/>
  <c r="AQ28" i="2" s="1"/>
  <c r="CE28" i="2" a="1"/>
  <c r="CE28" i="2" s="1"/>
  <c r="BY28" i="2"/>
  <c r="DB28" i="2"/>
  <c r="CY28" i="2"/>
  <c r="ET28" i="2"/>
  <c r="J22" i="8" a="1"/>
  <c r="J22" i="8" s="1"/>
  <c r="K22" i="8" s="1" a="1"/>
  <c r="K22" i="8" s="1"/>
  <c r="I22" i="8" a="1"/>
  <c r="I22" i="8" s="1"/>
  <c r="M22" i="8" s="1"/>
  <c r="G22" i="8" a="1"/>
  <c r="G22" i="8" s="1"/>
  <c r="H22" i="8" s="1" a="1"/>
  <c r="H22" i="8" s="1"/>
  <c r="F22" i="8" a="1"/>
  <c r="F22" i="8" s="1"/>
  <c r="L22" i="8" s="1"/>
  <c r="P20" i="8"/>
  <c r="Q20" i="8" s="1"/>
  <c r="R20" i="8" s="1"/>
  <c r="EQ26" i="2" s="1"/>
  <c r="O21" i="8"/>
  <c r="P21" i="8" s="1"/>
  <c r="Q21" i="8" s="1"/>
  <c r="R21" i="8" s="1"/>
  <c r="EQ27" i="2" s="1"/>
  <c r="CE27" i="2" a="1"/>
  <c r="CE27" i="2" s="1"/>
  <c r="AY27" i="2" a="1"/>
  <c r="AY27" i="2" s="1"/>
  <c r="EF29" i="2" l="1" a="1"/>
  <c r="EF29" i="2" s="1"/>
  <c r="GE30" i="2" a="1"/>
  <c r="GE30" i="2" s="1"/>
  <c r="GG30" i="2" a="1"/>
  <c r="GG30" i="2" s="1"/>
  <c r="GI30" i="2" a="1"/>
  <c r="GI30" i="2" s="1"/>
  <c r="FP30" i="2" a="1"/>
  <c r="FP30" i="2" s="1"/>
  <c r="FR30" i="2" a="1"/>
  <c r="FR30" i="2" s="1"/>
  <c r="FT30" i="2" a="1"/>
  <c r="FT30" i="2" s="1"/>
  <c r="GF30" i="2" a="1"/>
  <c r="GF30" i="2" s="1"/>
  <c r="GH30" i="2" a="1"/>
  <c r="GH30" i="2" s="1"/>
  <c r="GJ30" i="2" a="1"/>
  <c r="GJ30" i="2" s="1"/>
  <c r="FQ30" i="2" a="1"/>
  <c r="FQ30" i="2" s="1"/>
  <c r="FS30" i="2" a="1"/>
  <c r="FS30" i="2" s="1"/>
  <c r="FU30" i="2" a="1"/>
  <c r="FU30" i="2" s="1"/>
  <c r="EZ30" i="2" a="1"/>
  <c r="EZ30" i="2" s="1"/>
  <c r="FB30" i="2" a="1"/>
  <c r="FB30" i="2" s="1"/>
  <c r="FD30" i="2" a="1"/>
  <c r="FD30" i="2" s="1"/>
  <c r="EE30" i="2" a="1"/>
  <c r="EE30" i="2" s="1"/>
  <c r="ED30" i="2" a="1"/>
  <c r="ED30" i="2" s="1"/>
  <c r="EA30" i="2" a="1"/>
  <c r="EA30" i="2" s="1"/>
  <c r="DZ30" i="2" a="1"/>
  <c r="DZ30" i="2" s="1"/>
  <c r="EY30" i="2" a="1"/>
  <c r="EY30" i="2" s="1"/>
  <c r="FA30" i="2" a="1"/>
  <c r="FA30" i="2" s="1"/>
  <c r="FC30" i="2" a="1"/>
  <c r="FC30" i="2" s="1"/>
  <c r="FE30" i="2" a="1"/>
  <c r="FE30" i="2" s="1"/>
  <c r="DS30" i="2" a="1"/>
  <c r="DS30" i="2" s="1"/>
  <c r="DU30" i="2" a="1"/>
  <c r="DU30" i="2" s="1"/>
  <c r="DW30" i="2" a="1"/>
  <c r="DW30" i="2" s="1"/>
  <c r="DE30" i="2" a="1"/>
  <c r="DE30" i="2" s="1"/>
  <c r="DG30" i="2" a="1"/>
  <c r="DG30" i="2" s="1"/>
  <c r="DI30" i="2" a="1"/>
  <c r="DI30" i="2" s="1"/>
  <c r="DR30" i="2" a="1"/>
  <c r="DR30" i="2" s="1"/>
  <c r="DT30" i="2" a="1"/>
  <c r="DT30" i="2" s="1"/>
  <c r="DV30" i="2" a="1"/>
  <c r="DV30" i="2" s="1"/>
  <c r="DX30" i="2" a="1"/>
  <c r="DX30" i="2" s="1"/>
  <c r="DF30" i="2" a="1"/>
  <c r="DF30" i="2" s="1"/>
  <c r="DJ30" i="2" a="1"/>
  <c r="DJ30" i="2" s="1"/>
  <c r="CR30" i="2" a="1"/>
  <c r="CR30" i="2" s="1"/>
  <c r="CT30" i="2" a="1"/>
  <c r="CT30" i="2" s="1"/>
  <c r="CV30" i="2" a="1"/>
  <c r="CV30" i="2" s="1"/>
  <c r="CX30" i="2" a="1"/>
  <c r="CX30" i="2" s="1"/>
  <c r="CH30" i="2" a="1"/>
  <c r="CH30" i="2" s="1"/>
  <c r="CJ30" i="2" a="1"/>
  <c r="CJ30" i="2" s="1"/>
  <c r="CL30" i="2" a="1"/>
  <c r="CL30" i="2" s="1"/>
  <c r="BR30" i="2" a="1"/>
  <c r="BR30" i="2" s="1"/>
  <c r="BT30" i="2" a="1"/>
  <c r="BT30" i="2" s="1"/>
  <c r="BV30" i="2" a="1"/>
  <c r="BV30" i="2" s="1"/>
  <c r="BB30" i="2" a="1"/>
  <c r="BB30" i="2" s="1"/>
  <c r="BD30" i="2" a="1"/>
  <c r="BD30" i="2" s="1"/>
  <c r="BF30" i="2" a="1"/>
  <c r="BF30" i="2" s="1"/>
  <c r="AL30" i="2" a="1"/>
  <c r="AL30" i="2" s="1"/>
  <c r="AN30" i="2" a="1"/>
  <c r="AN30" i="2" s="1"/>
  <c r="AP30" i="2" a="1"/>
  <c r="AP30" i="2" s="1"/>
  <c r="DD30" i="2" a="1"/>
  <c r="DD30" i="2" s="1"/>
  <c r="DH30" i="2" a="1"/>
  <c r="DH30" i="2" s="1"/>
  <c r="CS30" i="2" a="1"/>
  <c r="CS30" i="2" s="1"/>
  <c r="CU30" i="2" a="1"/>
  <c r="CU30" i="2" s="1"/>
  <c r="CW30" i="2" a="1"/>
  <c r="CW30" i="2" s="1"/>
  <c r="CG30" i="2" a="1"/>
  <c r="CG30" i="2" s="1"/>
  <c r="CI30" i="2" a="1"/>
  <c r="CI30" i="2" s="1"/>
  <c r="CK30" i="2" a="1"/>
  <c r="CK30" i="2" s="1"/>
  <c r="BQ30" i="2" a="1"/>
  <c r="BQ30" i="2" s="1"/>
  <c r="BS30" i="2" a="1"/>
  <c r="BS30" i="2" s="1"/>
  <c r="BU30" i="2" a="1"/>
  <c r="BU30" i="2" s="1"/>
  <c r="BC30" i="2" a="1"/>
  <c r="BC30" i="2" s="1"/>
  <c r="AM30" i="2" a="1"/>
  <c r="AM30" i="2" s="1"/>
  <c r="V30" i="2" a="1"/>
  <c r="V30" i="2" s="1"/>
  <c r="X30" i="2" a="1"/>
  <c r="X30" i="2" s="1"/>
  <c r="Z30" i="2" a="1"/>
  <c r="Z30" i="2" s="1"/>
  <c r="M30" i="2" a="1"/>
  <c r="M30" i="2" s="1"/>
  <c r="O30" i="2" a="1"/>
  <c r="O30" i="2" s="1"/>
  <c r="BA30" i="2" a="1"/>
  <c r="BA30" i="2" s="1"/>
  <c r="BE30" i="2" a="1"/>
  <c r="BE30" i="2" s="1"/>
  <c r="AK30" i="2" a="1"/>
  <c r="AK30" i="2" s="1"/>
  <c r="AO30" i="2" a="1"/>
  <c r="AO30" i="2" s="1"/>
  <c r="U30" i="2" a="1"/>
  <c r="U30" i="2" s="1"/>
  <c r="W30" i="2" a="1"/>
  <c r="W30" i="2" s="1"/>
  <c r="Y30" i="2" a="1"/>
  <c r="Y30" i="2" s="1"/>
  <c r="AA30" i="2" a="1"/>
  <c r="AA30" i="2" s="1"/>
  <c r="L30" i="2" a="1"/>
  <c r="L30" i="2" s="1"/>
  <c r="N30" i="2" a="1"/>
  <c r="N30" i="2" s="1"/>
  <c r="P30" i="2" a="1"/>
  <c r="P30" i="2" s="1"/>
  <c r="EB29" i="2" a="1"/>
  <c r="EB29" i="2" s="1"/>
  <c r="DY29" i="2"/>
  <c r="EC29" i="2"/>
  <c r="D30" i="2" a="1"/>
  <c r="D30" i="2" s="1"/>
  <c r="E30" i="2" s="1" a="1"/>
  <c r="E30" i="2" s="1"/>
  <c r="GA30" i="2" a="1"/>
  <c r="GA30" i="2" s="1"/>
  <c r="C30" i="2" a="1"/>
  <c r="C30" i="2" s="1"/>
  <c r="EU30" i="2" a="1"/>
  <c r="EU30" i="2" s="1"/>
  <c r="DL30" i="2" a="1"/>
  <c r="DL30" i="2" s="1"/>
  <c r="GK30" i="2" a="1"/>
  <c r="GK30" i="2" s="1"/>
  <c r="FX30" i="2" a="1"/>
  <c r="FX30" i="2" s="1"/>
  <c r="CZ30" i="2" a="1"/>
  <c r="CZ30" i="2" s="1"/>
  <c r="CN30" i="2" a="1"/>
  <c r="CN30" i="2" s="1"/>
  <c r="CC30" i="2" a="1"/>
  <c r="CC30" i="2" s="1"/>
  <c r="BZ30" i="2" a="1"/>
  <c r="BZ30" i="2" s="1"/>
  <c r="BL30" i="2" a="1"/>
  <c r="BL30" i="2" s="1"/>
  <c r="BH30" i="2" a="1"/>
  <c r="BH30" i="2" s="1"/>
  <c r="AV30" i="2" a="1"/>
  <c r="AV30" i="2" s="1"/>
  <c r="AR30" i="2" a="1"/>
  <c r="AR30" i="2" s="1"/>
  <c r="AB29" i="2" a="1"/>
  <c r="AB29" i="2" s="1"/>
  <c r="FY30" i="2" a="1"/>
  <c r="FY30" i="2" s="1"/>
  <c r="FK30" i="2" a="1"/>
  <c r="FK30" i="2" s="1"/>
  <c r="FH30" i="2" a="1"/>
  <c r="FH30" i="2" s="1"/>
  <c r="AS30" i="2" a="1"/>
  <c r="AS30" i="2" s="1"/>
  <c r="AD30" i="2" a="1"/>
  <c r="AD30" i="2" s="1"/>
  <c r="GB30" i="2" a="1"/>
  <c r="GB30" i="2" s="1"/>
  <c r="FG30" i="2" a="1"/>
  <c r="FG30" i="2" s="1"/>
  <c r="CD30" i="2" a="1"/>
  <c r="CD30" i="2" s="1"/>
  <c r="BM30" i="2" a="1"/>
  <c r="BM30" i="2" s="1"/>
  <c r="FJ30" i="2" a="1"/>
  <c r="FJ30" i="2" s="1"/>
  <c r="CA30" i="2" a="1"/>
  <c r="CA30" i="2" s="1"/>
  <c r="BI30" i="2" a="1"/>
  <c r="BI30" i="2" s="1"/>
  <c r="AW30" i="2" a="1"/>
  <c r="AW30" i="2" s="1"/>
  <c r="AC30" i="2" a="1"/>
  <c r="AC30" i="2" s="1"/>
  <c r="F30" i="2" a="1"/>
  <c r="F30" i="2" s="1"/>
  <c r="AE29" i="2" a="1"/>
  <c r="AE29" i="2" s="1"/>
  <c r="N22" i="8"/>
  <c r="FI29" i="2"/>
  <c r="FZ29" i="2"/>
  <c r="DN29" i="2"/>
  <c r="BJ29" i="2"/>
  <c r="CB29" i="2"/>
  <c r="O22" i="8"/>
  <c r="A22" i="10"/>
  <c r="A23" i="8"/>
  <c r="S23" i="8" s="1"/>
  <c r="GD29" i="2"/>
  <c r="FN29" i="2"/>
  <c r="DC29" i="2"/>
  <c r="CF29" i="2"/>
  <c r="AJ29" i="2"/>
  <c r="T29" i="2"/>
  <c r="J29" i="2"/>
  <c r="GN29" i="2"/>
  <c r="FM29" i="2"/>
  <c r="ES29" i="2"/>
  <c r="CQ29" i="2"/>
  <c r="BP29" i="2"/>
  <c r="AZ29" i="2"/>
  <c r="AI29" i="2"/>
  <c r="K29" i="2"/>
  <c r="C23" i="8"/>
  <c r="EK29" i="2"/>
  <c r="E23" i="8" s="1"/>
  <c r="B23" i="10"/>
  <c r="B24" i="8"/>
  <c r="B31" i="2"/>
  <c r="GL30" i="2" a="1"/>
  <c r="GL30" i="2" s="1"/>
  <c r="EV30" i="2" a="1"/>
  <c r="EV30" i="2" s="1"/>
  <c r="EW30" i="2" s="1"/>
  <c r="EJ30" i="2" a="1"/>
  <c r="EJ30" i="2" s="1"/>
  <c r="D24" i="8" s="1"/>
  <c r="EI30" i="2" a="1"/>
  <c r="EI30" i="2" s="1"/>
  <c r="DA30" i="2" a="1"/>
  <c r="DA30" i="2" s="1"/>
  <c r="AG30" i="2" a="1"/>
  <c r="AG30" i="2" s="1"/>
  <c r="AF30" i="2" a="1"/>
  <c r="AF30" i="2" s="1"/>
  <c r="G30" i="2" a="1"/>
  <c r="G30" i="2" s="1"/>
  <c r="H30" i="2" s="1" a="1"/>
  <c r="H30" i="2" s="1"/>
  <c r="A30" i="2"/>
  <c r="DQ30" i="2" s="1"/>
  <c r="DM30" i="2" a="1"/>
  <c r="DM30" i="2" s="1"/>
  <c r="CO30" i="2" a="1"/>
  <c r="CO30" i="2" s="1"/>
  <c r="S30" i="2" a="1"/>
  <c r="S30" i="2" s="1"/>
  <c r="Q30" i="2" a="1"/>
  <c r="Q30" i="2" s="1"/>
  <c r="DK29" i="2"/>
  <c r="FL29" i="2" a="1"/>
  <c r="FL29" i="2" s="1"/>
  <c r="FF29" i="2"/>
  <c r="GC29" i="2"/>
  <c r="FW29" i="2"/>
  <c r="I29" i="2"/>
  <c r="AH29" i="2" a="1"/>
  <c r="AH29" i="2" s="1"/>
  <c r="AT29" i="2"/>
  <c r="AQ29" i="2" a="1"/>
  <c r="AQ29" i="2" s="1"/>
  <c r="CE29" i="2" a="1"/>
  <c r="CE29" i="2" s="1"/>
  <c r="BY29" i="2"/>
  <c r="CY29" i="2"/>
  <c r="DB29" i="2"/>
  <c r="ET29" i="2"/>
  <c r="AX29" i="2"/>
  <c r="AU29" i="2" a="1"/>
  <c r="AU29" i="2" s="1"/>
  <c r="BN29" i="2"/>
  <c r="BO29" i="2" s="1" a="1"/>
  <c r="BO29" i="2" s="1"/>
  <c r="BK29" i="2"/>
  <c r="CP29" i="2"/>
  <c r="CM29" i="2"/>
  <c r="J23" i="8" a="1"/>
  <c r="J23" i="8" s="1"/>
  <c r="K23" i="8" s="1" a="1"/>
  <c r="K23" i="8" s="1"/>
  <c r="I23" i="8" a="1"/>
  <c r="I23" i="8" s="1"/>
  <c r="M23" i="8" s="1"/>
  <c r="G23" i="8" a="1"/>
  <c r="G23" i="8" s="1"/>
  <c r="H23" i="8" s="1" a="1"/>
  <c r="H23" i="8" s="1"/>
  <c r="F23" i="8" a="1"/>
  <c r="F23" i="8" s="1"/>
  <c r="L23" i="8" s="1"/>
  <c r="E22" i="8"/>
  <c r="BO28" i="2" a="1"/>
  <c r="BO28" i="2" s="1"/>
  <c r="GE31" i="2" l="1" a="1"/>
  <c r="GE31" i="2" s="1"/>
  <c r="GG31" i="2" a="1"/>
  <c r="GG31" i="2" s="1"/>
  <c r="GI31" i="2" a="1"/>
  <c r="GI31" i="2" s="1"/>
  <c r="FP31" i="2" a="1"/>
  <c r="FP31" i="2" s="1"/>
  <c r="FR31" i="2" a="1"/>
  <c r="FR31" i="2" s="1"/>
  <c r="FT31" i="2" a="1"/>
  <c r="FT31" i="2" s="1"/>
  <c r="GF31" i="2" a="1"/>
  <c r="GF31" i="2" s="1"/>
  <c r="GH31" i="2" a="1"/>
  <c r="GH31" i="2" s="1"/>
  <c r="GJ31" i="2" a="1"/>
  <c r="GJ31" i="2" s="1"/>
  <c r="FQ31" i="2" a="1"/>
  <c r="FQ31" i="2" s="1"/>
  <c r="FS31" i="2" a="1"/>
  <c r="FS31" i="2" s="1"/>
  <c r="FU31" i="2" a="1"/>
  <c r="FU31" i="2" s="1"/>
  <c r="EY31" i="2" a="1"/>
  <c r="EY31" i="2" s="1"/>
  <c r="FA31" i="2" a="1"/>
  <c r="FA31" i="2" s="1"/>
  <c r="FC31" i="2" a="1"/>
  <c r="FC31" i="2" s="1"/>
  <c r="FE31" i="2" a="1"/>
  <c r="FE31" i="2" s="1"/>
  <c r="EZ31" i="2" a="1"/>
  <c r="EZ31" i="2" s="1"/>
  <c r="FB31" i="2" a="1"/>
  <c r="FB31" i="2" s="1"/>
  <c r="FD31" i="2" a="1"/>
  <c r="FD31" i="2" s="1"/>
  <c r="EE31" i="2" a="1"/>
  <c r="EE31" i="2" s="1"/>
  <c r="ED31" i="2" a="1"/>
  <c r="ED31" i="2" s="1"/>
  <c r="EA31" i="2" a="1"/>
  <c r="EA31" i="2" s="1"/>
  <c r="DZ31" i="2" a="1"/>
  <c r="DZ31" i="2" s="1"/>
  <c r="DR31" i="2" a="1"/>
  <c r="DR31" i="2" s="1"/>
  <c r="DT31" i="2" a="1"/>
  <c r="DT31" i="2" s="1"/>
  <c r="DV31" i="2" a="1"/>
  <c r="DV31" i="2" s="1"/>
  <c r="DX31" i="2" a="1"/>
  <c r="DX31" i="2" s="1"/>
  <c r="DD31" i="2" a="1"/>
  <c r="DD31" i="2" s="1"/>
  <c r="DF31" i="2" a="1"/>
  <c r="DF31" i="2" s="1"/>
  <c r="DH31" i="2" a="1"/>
  <c r="DH31" i="2" s="1"/>
  <c r="DJ31" i="2" a="1"/>
  <c r="DJ31" i="2" s="1"/>
  <c r="DS31" i="2" a="1"/>
  <c r="DS31" i="2" s="1"/>
  <c r="DU31" i="2" a="1"/>
  <c r="DU31" i="2" s="1"/>
  <c r="DW31" i="2" a="1"/>
  <c r="DW31" i="2" s="1"/>
  <c r="DG31" i="2" a="1"/>
  <c r="DG31" i="2" s="1"/>
  <c r="CS31" i="2" a="1"/>
  <c r="CS31" i="2" s="1"/>
  <c r="CU31" i="2" a="1"/>
  <c r="CU31" i="2" s="1"/>
  <c r="CW31" i="2" a="1"/>
  <c r="CW31" i="2" s="1"/>
  <c r="CH31" i="2" a="1"/>
  <c r="CH31" i="2" s="1"/>
  <c r="CJ31" i="2" a="1"/>
  <c r="CJ31" i="2" s="1"/>
  <c r="CL31" i="2" a="1"/>
  <c r="CL31" i="2" s="1"/>
  <c r="BR31" i="2" a="1"/>
  <c r="BR31" i="2" s="1"/>
  <c r="BT31" i="2" a="1"/>
  <c r="BT31" i="2" s="1"/>
  <c r="BV31" i="2" a="1"/>
  <c r="BV31" i="2" s="1"/>
  <c r="BB31" i="2" a="1"/>
  <c r="BB31" i="2" s="1"/>
  <c r="BD31" i="2" a="1"/>
  <c r="BD31" i="2" s="1"/>
  <c r="BF31" i="2" a="1"/>
  <c r="BF31" i="2" s="1"/>
  <c r="AL31" i="2" a="1"/>
  <c r="AL31" i="2" s="1"/>
  <c r="AN31" i="2" a="1"/>
  <c r="AN31" i="2" s="1"/>
  <c r="AP31" i="2" a="1"/>
  <c r="AP31" i="2" s="1"/>
  <c r="DE31" i="2" a="1"/>
  <c r="DE31" i="2" s="1"/>
  <c r="DI31" i="2" a="1"/>
  <c r="DI31" i="2" s="1"/>
  <c r="CR31" i="2" a="1"/>
  <c r="CR31" i="2" s="1"/>
  <c r="CT31" i="2" a="1"/>
  <c r="CT31" i="2" s="1"/>
  <c r="CV31" i="2" a="1"/>
  <c r="CV31" i="2" s="1"/>
  <c r="CX31" i="2" a="1"/>
  <c r="CX31" i="2" s="1"/>
  <c r="CG31" i="2" a="1"/>
  <c r="CG31" i="2" s="1"/>
  <c r="CI31" i="2" a="1"/>
  <c r="CI31" i="2" s="1"/>
  <c r="CK31" i="2" a="1"/>
  <c r="CK31" i="2" s="1"/>
  <c r="BQ31" i="2" a="1"/>
  <c r="BQ31" i="2" s="1"/>
  <c r="BS31" i="2" a="1"/>
  <c r="BS31" i="2" s="1"/>
  <c r="BU31" i="2" a="1"/>
  <c r="BU31" i="2" s="1"/>
  <c r="BA31" i="2" a="1"/>
  <c r="BA31" i="2" s="1"/>
  <c r="BE31" i="2" a="1"/>
  <c r="BE31" i="2" s="1"/>
  <c r="AK31" i="2" a="1"/>
  <c r="AK31" i="2" s="1"/>
  <c r="AO31" i="2" a="1"/>
  <c r="AO31" i="2" s="1"/>
  <c r="U31" i="2" a="1"/>
  <c r="U31" i="2" s="1"/>
  <c r="W31" i="2" a="1"/>
  <c r="W31" i="2" s="1"/>
  <c r="Y31" i="2" a="1"/>
  <c r="Y31" i="2" s="1"/>
  <c r="AA31" i="2" a="1"/>
  <c r="AA31" i="2" s="1"/>
  <c r="L31" i="2" a="1"/>
  <c r="L31" i="2" s="1"/>
  <c r="N31" i="2" a="1"/>
  <c r="N31" i="2" s="1"/>
  <c r="P31" i="2" a="1"/>
  <c r="P31" i="2" s="1"/>
  <c r="BC31" i="2" a="1"/>
  <c r="BC31" i="2" s="1"/>
  <c r="AM31" i="2" a="1"/>
  <c r="AM31" i="2" s="1"/>
  <c r="V31" i="2" a="1"/>
  <c r="V31" i="2" s="1"/>
  <c r="X31" i="2" a="1"/>
  <c r="X31" i="2" s="1"/>
  <c r="Z31" i="2" a="1"/>
  <c r="Z31" i="2" s="1"/>
  <c r="M31" i="2" a="1"/>
  <c r="M31" i="2" s="1"/>
  <c r="O31" i="2" a="1"/>
  <c r="O31" i="2" s="1"/>
  <c r="DY30" i="2"/>
  <c r="EB30" i="2" a="1"/>
  <c r="EB30" i="2" s="1"/>
  <c r="EC30" i="2"/>
  <c r="EF30" i="2" a="1"/>
  <c r="EF30" i="2" s="1"/>
  <c r="D31" i="2" a="1"/>
  <c r="D31" i="2" s="1"/>
  <c r="E31" i="2" s="1" a="1"/>
  <c r="E31" i="2" s="1"/>
  <c r="AB30" i="2" a="1"/>
  <c r="AB30" i="2" s="1"/>
  <c r="C31" i="2" a="1"/>
  <c r="C31" i="2" s="1"/>
  <c r="GK31" i="2" a="1"/>
  <c r="GK31" i="2" s="1"/>
  <c r="FX31" i="2" a="1"/>
  <c r="FX31" i="2" s="1"/>
  <c r="CZ31" i="2" a="1"/>
  <c r="CZ31" i="2" s="1"/>
  <c r="CN31" i="2" a="1"/>
  <c r="CN31" i="2" s="1"/>
  <c r="CC31" i="2" a="1"/>
  <c r="CC31" i="2" s="1"/>
  <c r="BZ31" i="2" a="1"/>
  <c r="BZ31" i="2" s="1"/>
  <c r="EU31" i="2" a="1"/>
  <c r="EU31" i="2" s="1"/>
  <c r="DL31" i="2" a="1"/>
  <c r="DL31" i="2" s="1"/>
  <c r="AR31" i="2" a="1"/>
  <c r="AR31" i="2" s="1"/>
  <c r="GA31" i="2" a="1"/>
  <c r="GA31" i="2" s="1"/>
  <c r="BL31" i="2" a="1"/>
  <c r="BL31" i="2" s="1"/>
  <c r="BH31" i="2" a="1"/>
  <c r="BH31" i="2" s="1"/>
  <c r="AV31" i="2" a="1"/>
  <c r="AV31" i="2" s="1"/>
  <c r="GB31" i="2" a="1"/>
  <c r="GB31" i="2" s="1"/>
  <c r="FJ31" i="2" a="1"/>
  <c r="FJ31" i="2" s="1"/>
  <c r="FG31" i="2" a="1"/>
  <c r="FG31" i="2" s="1"/>
  <c r="CD31" i="2" a="1"/>
  <c r="CD31" i="2" s="1"/>
  <c r="FY31" i="2" a="1"/>
  <c r="FY31" i="2" s="1"/>
  <c r="FH31" i="2" a="1"/>
  <c r="FH31" i="2" s="1"/>
  <c r="CA31" i="2" a="1"/>
  <c r="CA31" i="2" s="1"/>
  <c r="BM31" i="2" a="1"/>
  <c r="BM31" i="2" s="1"/>
  <c r="BI31" i="2" a="1"/>
  <c r="BI31" i="2" s="1"/>
  <c r="AW31" i="2" a="1"/>
  <c r="AW31" i="2" s="1"/>
  <c r="AC31" i="2" a="1"/>
  <c r="AC31" i="2" s="1"/>
  <c r="FK31" i="2" a="1"/>
  <c r="FK31" i="2" s="1"/>
  <c r="F31" i="2" a="1"/>
  <c r="F31" i="2" s="1"/>
  <c r="AS31" i="2" a="1"/>
  <c r="AS31" i="2" s="1"/>
  <c r="AD31" i="2" a="1"/>
  <c r="AD31" i="2" s="1"/>
  <c r="P22" i="8"/>
  <c r="Q22" i="8" s="1"/>
  <c r="R22" i="8" s="1"/>
  <c r="EQ28" i="2" s="1"/>
  <c r="FI30" i="2"/>
  <c r="DN30" i="2"/>
  <c r="FZ30" i="2"/>
  <c r="AE30" i="2" a="1"/>
  <c r="AE30" i="2" s="1"/>
  <c r="N23" i="8"/>
  <c r="AY29" i="2" a="1"/>
  <c r="AY29" i="2" s="1"/>
  <c r="DK30" i="2"/>
  <c r="FF30" i="2"/>
  <c r="FW30" i="2"/>
  <c r="I30" i="2"/>
  <c r="AT30" i="2"/>
  <c r="AQ30" i="2" a="1"/>
  <c r="AQ30" i="2" s="1"/>
  <c r="BY30" i="2"/>
  <c r="DB30" i="2"/>
  <c r="CY30" i="2"/>
  <c r="ET30" i="2"/>
  <c r="J24" i="8" a="1"/>
  <c r="J24" i="8" s="1"/>
  <c r="K24" i="8" s="1" a="1"/>
  <c r="K24" i="8" s="1"/>
  <c r="I24" i="8" a="1"/>
  <c r="I24" i="8" s="1"/>
  <c r="M24" i="8" s="1"/>
  <c r="G24" i="8" a="1"/>
  <c r="G24" i="8" s="1"/>
  <c r="H24" i="8" s="1" a="1"/>
  <c r="H24" i="8" s="1"/>
  <c r="F24" i="8" a="1"/>
  <c r="F24" i="8" s="1"/>
  <c r="L24" i="8" s="1"/>
  <c r="O23" i="8"/>
  <c r="P23" i="8" s="1"/>
  <c r="Q23" i="8" s="1"/>
  <c r="R23" i="8" s="1"/>
  <c r="EQ29" i="2" s="1"/>
  <c r="AX30" i="2"/>
  <c r="AU30" i="2" a="1"/>
  <c r="AU30" i="2" s="1"/>
  <c r="BJ30" i="2"/>
  <c r="BK30" i="2"/>
  <c r="BN30" i="2"/>
  <c r="CB30" i="2"/>
  <c r="CM30" i="2"/>
  <c r="CP30" i="2"/>
  <c r="A23" i="10"/>
  <c r="A24" i="8"/>
  <c r="S24" i="8" s="1"/>
  <c r="GN30" i="2"/>
  <c r="FM30" i="2"/>
  <c r="ES30" i="2"/>
  <c r="CQ30" i="2"/>
  <c r="BP30" i="2"/>
  <c r="AZ30" i="2"/>
  <c r="AI30" i="2"/>
  <c r="K30" i="2"/>
  <c r="GD30" i="2"/>
  <c r="FN30" i="2"/>
  <c r="DC30" i="2"/>
  <c r="CF30" i="2"/>
  <c r="AJ30" i="2"/>
  <c r="T30" i="2"/>
  <c r="J30" i="2"/>
  <c r="C24" i="8"/>
  <c r="EK30" i="2"/>
  <c r="FL30" i="2" s="1" a="1"/>
  <c r="FL30" i="2" s="1"/>
  <c r="B24" i="10"/>
  <c r="B25" i="8"/>
  <c r="DM31" i="2" a="1"/>
  <c r="DM31" i="2" s="1"/>
  <c r="CO31" i="2" a="1"/>
  <c r="CO31" i="2" s="1"/>
  <c r="S31" i="2" a="1"/>
  <c r="S31" i="2" s="1"/>
  <c r="Q31" i="2" a="1"/>
  <c r="Q31" i="2" s="1"/>
  <c r="B32" i="2"/>
  <c r="GL31" i="2" a="1"/>
  <c r="GL31" i="2" s="1"/>
  <c r="EV31" i="2" a="1"/>
  <c r="EV31" i="2" s="1"/>
  <c r="EW31" i="2" s="1"/>
  <c r="EJ31" i="2" a="1"/>
  <c r="EJ31" i="2" s="1"/>
  <c r="D25" i="8" s="1"/>
  <c r="EI31" i="2" a="1"/>
  <c r="EI31" i="2" s="1"/>
  <c r="DA31" i="2" a="1"/>
  <c r="DA31" i="2" s="1"/>
  <c r="AG31" i="2" a="1"/>
  <c r="AG31" i="2" s="1"/>
  <c r="AF31" i="2" a="1"/>
  <c r="AF31" i="2" s="1"/>
  <c r="AB31" i="2" a="1"/>
  <c r="AB31" i="2" s="1"/>
  <c r="G31" i="2" a="1"/>
  <c r="G31" i="2" s="1"/>
  <c r="H31" i="2" s="1" a="1"/>
  <c r="H31" i="2" s="1"/>
  <c r="A31" i="2"/>
  <c r="DQ31" i="2" s="1"/>
  <c r="EF31" i="2" l="1" a="1"/>
  <c r="EF31" i="2" s="1"/>
  <c r="DY31" i="2"/>
  <c r="EB31" i="2" a="1"/>
  <c r="EB31" i="2" s="1"/>
  <c r="GE32" i="2" a="1"/>
  <c r="GE32" i="2" s="1"/>
  <c r="GG32" i="2" a="1"/>
  <c r="GG32" i="2" s="1"/>
  <c r="GI32" i="2" a="1"/>
  <c r="GI32" i="2" s="1"/>
  <c r="FP32" i="2" a="1"/>
  <c r="FP32" i="2" s="1"/>
  <c r="FR32" i="2" a="1"/>
  <c r="FR32" i="2" s="1"/>
  <c r="FT32" i="2" a="1"/>
  <c r="FT32" i="2" s="1"/>
  <c r="GF32" i="2" a="1"/>
  <c r="GF32" i="2" s="1"/>
  <c r="GH32" i="2" a="1"/>
  <c r="GH32" i="2" s="1"/>
  <c r="GJ32" i="2" a="1"/>
  <c r="GJ32" i="2" s="1"/>
  <c r="FQ32" i="2" a="1"/>
  <c r="FQ32" i="2" s="1"/>
  <c r="FS32" i="2" a="1"/>
  <c r="FS32" i="2" s="1"/>
  <c r="FU32" i="2" a="1"/>
  <c r="FU32" i="2" s="1"/>
  <c r="EZ32" i="2" a="1"/>
  <c r="EZ32" i="2" s="1"/>
  <c r="FB32" i="2" a="1"/>
  <c r="FB32" i="2" s="1"/>
  <c r="FD32" i="2" a="1"/>
  <c r="FD32" i="2" s="1"/>
  <c r="EE32" i="2" a="1"/>
  <c r="EE32" i="2" s="1"/>
  <c r="ED32" i="2" a="1"/>
  <c r="ED32" i="2" s="1"/>
  <c r="EA32" i="2" a="1"/>
  <c r="EA32" i="2" s="1"/>
  <c r="DZ32" i="2" a="1"/>
  <c r="DZ32" i="2" s="1"/>
  <c r="EY32" i="2" a="1"/>
  <c r="EY32" i="2" s="1"/>
  <c r="FA32" i="2" a="1"/>
  <c r="FA32" i="2" s="1"/>
  <c r="FC32" i="2" a="1"/>
  <c r="FC32" i="2" s="1"/>
  <c r="FE32" i="2" a="1"/>
  <c r="FE32" i="2" s="1"/>
  <c r="DS32" i="2" a="1"/>
  <c r="DS32" i="2" s="1"/>
  <c r="DU32" i="2" a="1"/>
  <c r="DU32" i="2" s="1"/>
  <c r="DW32" i="2" a="1"/>
  <c r="DW32" i="2" s="1"/>
  <c r="DE32" i="2" a="1"/>
  <c r="DE32" i="2" s="1"/>
  <c r="DG32" i="2" a="1"/>
  <c r="DG32" i="2" s="1"/>
  <c r="DI32" i="2" a="1"/>
  <c r="DI32" i="2" s="1"/>
  <c r="DR32" i="2" a="1"/>
  <c r="DR32" i="2" s="1"/>
  <c r="DT32" i="2" a="1"/>
  <c r="DT32" i="2" s="1"/>
  <c r="DV32" i="2" a="1"/>
  <c r="DV32" i="2" s="1"/>
  <c r="DX32" i="2" a="1"/>
  <c r="DX32" i="2" s="1"/>
  <c r="DD32" i="2" a="1"/>
  <c r="DD32" i="2" s="1"/>
  <c r="DH32" i="2" a="1"/>
  <c r="DH32" i="2" s="1"/>
  <c r="CR32" i="2" a="1"/>
  <c r="CR32" i="2" s="1"/>
  <c r="CT32" i="2" a="1"/>
  <c r="CT32" i="2" s="1"/>
  <c r="CV32" i="2" a="1"/>
  <c r="CV32" i="2" s="1"/>
  <c r="CX32" i="2" a="1"/>
  <c r="CX32" i="2" s="1"/>
  <c r="CH32" i="2" a="1"/>
  <c r="CH32" i="2" s="1"/>
  <c r="CJ32" i="2" a="1"/>
  <c r="CJ32" i="2" s="1"/>
  <c r="CL32" i="2" a="1"/>
  <c r="CL32" i="2" s="1"/>
  <c r="BR32" i="2" a="1"/>
  <c r="BR32" i="2" s="1"/>
  <c r="BT32" i="2" a="1"/>
  <c r="BT32" i="2" s="1"/>
  <c r="BV32" i="2" a="1"/>
  <c r="BV32" i="2" s="1"/>
  <c r="BB32" i="2" a="1"/>
  <c r="BB32" i="2" s="1"/>
  <c r="BD32" i="2" a="1"/>
  <c r="BD32" i="2" s="1"/>
  <c r="BF32" i="2" a="1"/>
  <c r="BF32" i="2" s="1"/>
  <c r="AL32" i="2" a="1"/>
  <c r="AL32" i="2" s="1"/>
  <c r="AN32" i="2" a="1"/>
  <c r="AN32" i="2" s="1"/>
  <c r="AP32" i="2" a="1"/>
  <c r="AP32" i="2" s="1"/>
  <c r="DF32" i="2" a="1"/>
  <c r="DF32" i="2" s="1"/>
  <c r="DJ32" i="2" a="1"/>
  <c r="DJ32" i="2" s="1"/>
  <c r="CS32" i="2" a="1"/>
  <c r="CS32" i="2" s="1"/>
  <c r="CU32" i="2" a="1"/>
  <c r="CU32" i="2" s="1"/>
  <c r="CW32" i="2" a="1"/>
  <c r="CW32" i="2" s="1"/>
  <c r="CG32" i="2" a="1"/>
  <c r="CG32" i="2" s="1"/>
  <c r="CI32" i="2" a="1"/>
  <c r="CI32" i="2" s="1"/>
  <c r="CK32" i="2" a="1"/>
  <c r="CK32" i="2" s="1"/>
  <c r="BQ32" i="2" a="1"/>
  <c r="BQ32" i="2" s="1"/>
  <c r="BS32" i="2" a="1"/>
  <c r="BS32" i="2" s="1"/>
  <c r="BU32" i="2" a="1"/>
  <c r="BU32" i="2" s="1"/>
  <c r="BC32" i="2" a="1"/>
  <c r="BC32" i="2" s="1"/>
  <c r="AM32" i="2" a="1"/>
  <c r="AM32" i="2" s="1"/>
  <c r="V32" i="2" a="1"/>
  <c r="V32" i="2" s="1"/>
  <c r="X32" i="2" a="1"/>
  <c r="X32" i="2" s="1"/>
  <c r="Z32" i="2" a="1"/>
  <c r="Z32" i="2" s="1"/>
  <c r="M32" i="2" a="1"/>
  <c r="M32" i="2" s="1"/>
  <c r="O32" i="2" a="1"/>
  <c r="O32" i="2" s="1"/>
  <c r="BA32" i="2" a="1"/>
  <c r="BA32" i="2" s="1"/>
  <c r="BE32" i="2" a="1"/>
  <c r="BE32" i="2" s="1"/>
  <c r="AK32" i="2" a="1"/>
  <c r="AK32" i="2" s="1"/>
  <c r="AO32" i="2" a="1"/>
  <c r="AO32" i="2" s="1"/>
  <c r="U32" i="2" a="1"/>
  <c r="U32" i="2" s="1"/>
  <c r="W32" i="2" a="1"/>
  <c r="W32" i="2" s="1"/>
  <c r="Y32" i="2" a="1"/>
  <c r="Y32" i="2" s="1"/>
  <c r="AA32" i="2" a="1"/>
  <c r="AA32" i="2" s="1"/>
  <c r="L32" i="2" a="1"/>
  <c r="L32" i="2" s="1"/>
  <c r="N32" i="2" a="1"/>
  <c r="N32" i="2" s="1"/>
  <c r="P32" i="2" a="1"/>
  <c r="P32" i="2" s="1"/>
  <c r="EC31" i="2"/>
  <c r="D32" i="2" a="1"/>
  <c r="D32" i="2" s="1"/>
  <c r="E32" i="2" s="1" a="1"/>
  <c r="E32" i="2" s="1"/>
  <c r="C32" i="2" a="1"/>
  <c r="C32" i="2" s="1"/>
  <c r="GK32" i="2" a="1"/>
  <c r="GK32" i="2" s="1"/>
  <c r="GA32" i="2" a="1"/>
  <c r="GA32" i="2" s="1"/>
  <c r="FX32" i="2" a="1"/>
  <c r="FX32" i="2" s="1"/>
  <c r="EU32" i="2" a="1"/>
  <c r="EU32" i="2" s="1"/>
  <c r="DL32" i="2" a="1"/>
  <c r="DL32" i="2" s="1"/>
  <c r="BL32" i="2" a="1"/>
  <c r="BL32" i="2" s="1"/>
  <c r="BH32" i="2" a="1"/>
  <c r="BH32" i="2" s="1"/>
  <c r="AV32" i="2" a="1"/>
  <c r="AV32" i="2" s="1"/>
  <c r="CZ32" i="2" a="1"/>
  <c r="CZ32" i="2" s="1"/>
  <c r="CN32" i="2" a="1"/>
  <c r="CN32" i="2" s="1"/>
  <c r="CC32" i="2" a="1"/>
  <c r="CC32" i="2" s="1"/>
  <c r="BZ32" i="2" a="1"/>
  <c r="BZ32" i="2" s="1"/>
  <c r="AR32" i="2" a="1"/>
  <c r="AR32" i="2" s="1"/>
  <c r="FY32" i="2" a="1"/>
  <c r="FY32" i="2" s="1"/>
  <c r="GB32" i="2" a="1"/>
  <c r="GB32" i="2" s="1"/>
  <c r="FK32" i="2" a="1"/>
  <c r="FK32" i="2" s="1"/>
  <c r="FH32" i="2" a="1"/>
  <c r="FH32" i="2" s="1"/>
  <c r="FJ32" i="2" a="1"/>
  <c r="FJ32" i="2" s="1"/>
  <c r="FG32" i="2" a="1"/>
  <c r="FG32" i="2" s="1"/>
  <c r="CD32" i="2" a="1"/>
  <c r="CD32" i="2" s="1"/>
  <c r="AS32" i="2" a="1"/>
  <c r="AS32" i="2" s="1"/>
  <c r="AD32" i="2" a="1"/>
  <c r="AD32" i="2" s="1"/>
  <c r="CA32" i="2" a="1"/>
  <c r="CA32" i="2" s="1"/>
  <c r="BI32" i="2" a="1"/>
  <c r="BI32" i="2" s="1"/>
  <c r="AW32" i="2" a="1"/>
  <c r="AW32" i="2" s="1"/>
  <c r="AC32" i="2" a="1"/>
  <c r="AC32" i="2" s="1"/>
  <c r="AB32" i="2" s="1" a="1"/>
  <c r="AB32" i="2" s="1"/>
  <c r="BM32" i="2" a="1"/>
  <c r="BM32" i="2" s="1"/>
  <c r="F32" i="2" a="1"/>
  <c r="F32" i="2" s="1"/>
  <c r="GC30" i="2"/>
  <c r="DN31" i="2"/>
  <c r="N24" i="8"/>
  <c r="B25" i="10"/>
  <c r="B26" i="8"/>
  <c r="EJ32" i="2" a="1"/>
  <c r="EJ32" i="2" s="1"/>
  <c r="D26" i="8" s="1"/>
  <c r="EI32" i="2" a="1"/>
  <c r="EI32" i="2" s="1"/>
  <c r="DA32" i="2" a="1"/>
  <c r="DA32" i="2" s="1"/>
  <c r="AG32" i="2" a="1"/>
  <c r="AG32" i="2" s="1"/>
  <c r="AF32" i="2" a="1"/>
  <c r="AF32" i="2" s="1"/>
  <c r="G32" i="2" a="1"/>
  <c r="G32" i="2" s="1"/>
  <c r="H32" i="2" s="1" a="1"/>
  <c r="H32" i="2" s="1"/>
  <c r="A32" i="2"/>
  <c r="B33" i="2"/>
  <c r="GL32" i="2" a="1"/>
  <c r="GL32" i="2" s="1"/>
  <c r="EV32" i="2" a="1"/>
  <c r="EV32" i="2" s="1"/>
  <c r="DM32" i="2" a="1"/>
  <c r="DM32" i="2" s="1"/>
  <c r="CO32" i="2" a="1"/>
  <c r="CO32" i="2" s="1"/>
  <c r="S32" i="2" a="1"/>
  <c r="S32" i="2" s="1"/>
  <c r="Q32" i="2" a="1"/>
  <c r="Q32" i="2" s="1"/>
  <c r="I31" i="2"/>
  <c r="AE31" i="2" a="1"/>
  <c r="AE31" i="2" s="1"/>
  <c r="AT31" i="2"/>
  <c r="AQ31" i="2" a="1"/>
  <c r="AQ31" i="2" s="1"/>
  <c r="BY31" i="2"/>
  <c r="CY31" i="2"/>
  <c r="DB31" i="2"/>
  <c r="ET31" i="2"/>
  <c r="FI31" i="2"/>
  <c r="FZ31" i="2"/>
  <c r="AX31" i="2"/>
  <c r="AU31" i="2" a="1"/>
  <c r="AU31" i="2" s="1"/>
  <c r="BJ31" i="2"/>
  <c r="BN31" i="2"/>
  <c r="BK31" i="2"/>
  <c r="CB31" i="2"/>
  <c r="CP31" i="2"/>
  <c r="CM31" i="2"/>
  <c r="J25" i="8" a="1"/>
  <c r="J25" i="8" s="1"/>
  <c r="K25" i="8" s="1" a="1"/>
  <c r="K25" i="8" s="1"/>
  <c r="I25" i="8" a="1"/>
  <c r="I25" i="8" s="1"/>
  <c r="M25" i="8" s="1"/>
  <c r="G25" i="8" a="1"/>
  <c r="G25" i="8" s="1"/>
  <c r="H25" i="8" s="1" a="1"/>
  <c r="H25" i="8" s="1"/>
  <c r="F25" i="8" a="1"/>
  <c r="F25" i="8" s="1"/>
  <c r="L25" i="8" s="1"/>
  <c r="E24" i="8"/>
  <c r="BO30" i="2" a="1"/>
  <c r="BO30" i="2" s="1"/>
  <c r="O24" i="8"/>
  <c r="CE30" i="2" a="1"/>
  <c r="CE30" i="2" s="1"/>
  <c r="AY30" i="2" a="1"/>
  <c r="AY30" i="2" s="1"/>
  <c r="AH30" i="2" a="1"/>
  <c r="AH30" i="2" s="1"/>
  <c r="A24" i="10"/>
  <c r="A25" i="8"/>
  <c r="S25" i="8" s="1"/>
  <c r="GD31" i="2"/>
  <c r="FN31" i="2"/>
  <c r="DC31" i="2"/>
  <c r="CF31" i="2"/>
  <c r="AJ31" i="2"/>
  <c r="T31" i="2"/>
  <c r="J31" i="2"/>
  <c r="GN31" i="2"/>
  <c r="FM31" i="2"/>
  <c r="ES31" i="2"/>
  <c r="CQ31" i="2"/>
  <c r="BP31" i="2"/>
  <c r="AZ31" i="2"/>
  <c r="AI31" i="2"/>
  <c r="K31" i="2"/>
  <c r="C25" i="8"/>
  <c r="EK31" i="2"/>
  <c r="E25" i="8" s="1"/>
  <c r="DK31" i="2"/>
  <c r="FL31" i="2" a="1"/>
  <c r="FL31" i="2" s="1"/>
  <c r="FF31" i="2"/>
  <c r="GC31" i="2"/>
  <c r="FW31" i="2"/>
  <c r="EW32" i="2" l="1"/>
  <c r="GE33" i="2" a="1"/>
  <c r="GE33" i="2" s="1"/>
  <c r="GG33" i="2" a="1"/>
  <c r="GG33" i="2" s="1"/>
  <c r="GI33" i="2" a="1"/>
  <c r="GI33" i="2" s="1"/>
  <c r="FP33" i="2" a="1"/>
  <c r="FP33" i="2" s="1"/>
  <c r="FR33" i="2" a="1"/>
  <c r="FR33" i="2" s="1"/>
  <c r="FT33" i="2" a="1"/>
  <c r="FT33" i="2" s="1"/>
  <c r="GF33" i="2" a="1"/>
  <c r="GF33" i="2" s="1"/>
  <c r="GH33" i="2" a="1"/>
  <c r="GH33" i="2" s="1"/>
  <c r="GJ33" i="2" a="1"/>
  <c r="GJ33" i="2" s="1"/>
  <c r="FQ33" i="2" a="1"/>
  <c r="FQ33" i="2" s="1"/>
  <c r="FS33" i="2" a="1"/>
  <c r="FS33" i="2" s="1"/>
  <c r="FU33" i="2" a="1"/>
  <c r="FU33" i="2" s="1"/>
  <c r="EY33" i="2" a="1"/>
  <c r="EY33" i="2" s="1"/>
  <c r="FA33" i="2" a="1"/>
  <c r="FA33" i="2" s="1"/>
  <c r="FC33" i="2" a="1"/>
  <c r="FC33" i="2" s="1"/>
  <c r="FE33" i="2" a="1"/>
  <c r="FE33" i="2" s="1"/>
  <c r="EZ33" i="2" a="1"/>
  <c r="EZ33" i="2" s="1"/>
  <c r="FB33" i="2" a="1"/>
  <c r="FB33" i="2" s="1"/>
  <c r="FD33" i="2" a="1"/>
  <c r="FD33" i="2" s="1"/>
  <c r="EE33" i="2" a="1"/>
  <c r="EE33" i="2" s="1"/>
  <c r="ED33" i="2" a="1"/>
  <c r="ED33" i="2" s="1"/>
  <c r="EA33" i="2" a="1"/>
  <c r="EA33" i="2" s="1"/>
  <c r="DZ33" i="2" a="1"/>
  <c r="DZ33" i="2" s="1"/>
  <c r="DR33" i="2" a="1"/>
  <c r="DR33" i="2" s="1"/>
  <c r="DT33" i="2" a="1"/>
  <c r="DT33" i="2" s="1"/>
  <c r="DV33" i="2" a="1"/>
  <c r="DV33" i="2" s="1"/>
  <c r="DX33" i="2" a="1"/>
  <c r="DX33" i="2" s="1"/>
  <c r="DD33" i="2" a="1"/>
  <c r="DD33" i="2" s="1"/>
  <c r="DF33" i="2" a="1"/>
  <c r="DF33" i="2" s="1"/>
  <c r="DH33" i="2" a="1"/>
  <c r="DH33" i="2" s="1"/>
  <c r="DJ33" i="2" a="1"/>
  <c r="DJ33" i="2" s="1"/>
  <c r="DS33" i="2" a="1"/>
  <c r="DS33" i="2" s="1"/>
  <c r="DU33" i="2" a="1"/>
  <c r="DU33" i="2" s="1"/>
  <c r="DW33" i="2" a="1"/>
  <c r="DW33" i="2" s="1"/>
  <c r="DE33" i="2" a="1"/>
  <c r="DE33" i="2" s="1"/>
  <c r="DI33" i="2" a="1"/>
  <c r="DI33" i="2" s="1"/>
  <c r="CS33" i="2" a="1"/>
  <c r="CS33" i="2" s="1"/>
  <c r="CU33" i="2" a="1"/>
  <c r="CU33" i="2" s="1"/>
  <c r="CW33" i="2" a="1"/>
  <c r="CW33" i="2" s="1"/>
  <c r="CH33" i="2" a="1"/>
  <c r="CH33" i="2" s="1"/>
  <c r="CJ33" i="2" a="1"/>
  <c r="CJ33" i="2" s="1"/>
  <c r="CL33" i="2" a="1"/>
  <c r="CL33" i="2" s="1"/>
  <c r="BR33" i="2" a="1"/>
  <c r="BR33" i="2" s="1"/>
  <c r="BT33" i="2" a="1"/>
  <c r="BT33" i="2" s="1"/>
  <c r="BV33" i="2" a="1"/>
  <c r="BV33" i="2" s="1"/>
  <c r="BB33" i="2" a="1"/>
  <c r="BB33" i="2" s="1"/>
  <c r="BD33" i="2" a="1"/>
  <c r="BD33" i="2" s="1"/>
  <c r="BF33" i="2" a="1"/>
  <c r="BF33" i="2" s="1"/>
  <c r="AL33" i="2" a="1"/>
  <c r="AL33" i="2" s="1"/>
  <c r="AN33" i="2" a="1"/>
  <c r="AN33" i="2" s="1"/>
  <c r="AP33" i="2" a="1"/>
  <c r="AP33" i="2" s="1"/>
  <c r="DG33" i="2" a="1"/>
  <c r="DG33" i="2" s="1"/>
  <c r="CR33" i="2" a="1"/>
  <c r="CR33" i="2" s="1"/>
  <c r="CT33" i="2" a="1"/>
  <c r="CT33" i="2" s="1"/>
  <c r="CV33" i="2" a="1"/>
  <c r="CV33" i="2" s="1"/>
  <c r="CX33" i="2" a="1"/>
  <c r="CX33" i="2" s="1"/>
  <c r="CG33" i="2" a="1"/>
  <c r="CG33" i="2" s="1"/>
  <c r="CI33" i="2" a="1"/>
  <c r="CI33" i="2" s="1"/>
  <c r="CK33" i="2" a="1"/>
  <c r="CK33" i="2" s="1"/>
  <c r="BQ33" i="2" a="1"/>
  <c r="BQ33" i="2" s="1"/>
  <c r="BS33" i="2" a="1"/>
  <c r="BS33" i="2" s="1"/>
  <c r="BU33" i="2" a="1"/>
  <c r="BU33" i="2" s="1"/>
  <c r="BA33" i="2" a="1"/>
  <c r="BA33" i="2" s="1"/>
  <c r="BE33" i="2" a="1"/>
  <c r="BE33" i="2" s="1"/>
  <c r="AK33" i="2" a="1"/>
  <c r="AK33" i="2" s="1"/>
  <c r="AO33" i="2" a="1"/>
  <c r="AO33" i="2" s="1"/>
  <c r="U33" i="2" a="1"/>
  <c r="U33" i="2" s="1"/>
  <c r="W33" i="2" a="1"/>
  <c r="W33" i="2" s="1"/>
  <c r="Y33" i="2" a="1"/>
  <c r="Y33" i="2" s="1"/>
  <c r="AA33" i="2" a="1"/>
  <c r="AA33" i="2" s="1"/>
  <c r="L33" i="2" a="1"/>
  <c r="L33" i="2" s="1"/>
  <c r="N33" i="2" a="1"/>
  <c r="N33" i="2" s="1"/>
  <c r="P33" i="2" a="1"/>
  <c r="P33" i="2" s="1"/>
  <c r="BC33" i="2" a="1"/>
  <c r="BC33" i="2" s="1"/>
  <c r="AM33" i="2" a="1"/>
  <c r="AM33" i="2" s="1"/>
  <c r="V33" i="2" a="1"/>
  <c r="V33" i="2" s="1"/>
  <c r="X33" i="2" a="1"/>
  <c r="X33" i="2" s="1"/>
  <c r="Z33" i="2" a="1"/>
  <c r="Z33" i="2" s="1"/>
  <c r="M33" i="2" a="1"/>
  <c r="M33" i="2" s="1"/>
  <c r="O33" i="2" a="1"/>
  <c r="O33" i="2" s="1"/>
  <c r="EB32" i="2" a="1"/>
  <c r="EB32" i="2" s="1"/>
  <c r="DY32" i="2"/>
  <c r="EC32" i="2"/>
  <c r="EF32" i="2" a="1"/>
  <c r="EF32" i="2" s="1"/>
  <c r="D33" i="2" a="1"/>
  <c r="D33" i="2" s="1"/>
  <c r="E33" i="2" s="1" a="1"/>
  <c r="E33" i="2" s="1"/>
  <c r="P24" i="8"/>
  <c r="Q24" i="8" s="1"/>
  <c r="R24" i="8" s="1"/>
  <c r="EQ30" i="2" s="1"/>
  <c r="C33" i="2" a="1"/>
  <c r="C33" i="2" s="1"/>
  <c r="GK33" i="2" a="1"/>
  <c r="GK33" i="2" s="1"/>
  <c r="FX33" i="2" a="1"/>
  <c r="FX33" i="2" s="1"/>
  <c r="GA33" i="2" a="1"/>
  <c r="GA33" i="2" s="1"/>
  <c r="CZ33" i="2" a="1"/>
  <c r="CZ33" i="2" s="1"/>
  <c r="CN33" i="2" a="1"/>
  <c r="CN33" i="2" s="1"/>
  <c r="CC33" i="2" a="1"/>
  <c r="CC33" i="2" s="1"/>
  <c r="BZ33" i="2" a="1"/>
  <c r="BZ33" i="2" s="1"/>
  <c r="AR33" i="2" a="1"/>
  <c r="AR33" i="2" s="1"/>
  <c r="EU33" i="2" a="1"/>
  <c r="EU33" i="2" s="1"/>
  <c r="DL33" i="2" a="1"/>
  <c r="DL33" i="2" s="1"/>
  <c r="BL33" i="2" a="1"/>
  <c r="BL33" i="2" s="1"/>
  <c r="BH33" i="2" a="1"/>
  <c r="BH33" i="2" s="1"/>
  <c r="AV33" i="2" a="1"/>
  <c r="AV33" i="2" s="1"/>
  <c r="GB33" i="2" a="1"/>
  <c r="GB33" i="2" s="1"/>
  <c r="FY33" i="2" a="1"/>
  <c r="FY33" i="2" s="1"/>
  <c r="FJ33" i="2" a="1"/>
  <c r="FJ33" i="2" s="1"/>
  <c r="FG33" i="2" a="1"/>
  <c r="FG33" i="2" s="1"/>
  <c r="CD33" i="2" a="1"/>
  <c r="CD33" i="2" s="1"/>
  <c r="FK33" i="2" a="1"/>
  <c r="FK33" i="2" s="1"/>
  <c r="CA33" i="2" a="1"/>
  <c r="CA33" i="2" s="1"/>
  <c r="BM33" i="2" a="1"/>
  <c r="BM33" i="2" s="1"/>
  <c r="BI33" i="2" a="1"/>
  <c r="BI33" i="2" s="1"/>
  <c r="AW33" i="2" a="1"/>
  <c r="AW33" i="2" s="1"/>
  <c r="AC33" i="2" a="1"/>
  <c r="AC33" i="2" s="1"/>
  <c r="AS33" i="2" a="1"/>
  <c r="AS33" i="2" s="1"/>
  <c r="AD33" i="2" a="1"/>
  <c r="AD33" i="2" s="1"/>
  <c r="F33" i="2" a="1"/>
  <c r="F33" i="2" s="1"/>
  <c r="FH33" i="2" a="1"/>
  <c r="FH33" i="2" s="1"/>
  <c r="AH31" i="2" a="1"/>
  <c r="AH31" i="2" s="1"/>
  <c r="N25" i="8"/>
  <c r="DN32" i="2"/>
  <c r="DQ32" i="2"/>
  <c r="BJ32" i="2"/>
  <c r="CB32" i="2"/>
  <c r="AE32" i="2" a="1"/>
  <c r="AE32" i="2" s="1"/>
  <c r="AX32" i="2"/>
  <c r="AU32" i="2" a="1"/>
  <c r="AU32" i="2" s="1"/>
  <c r="BK32" i="2"/>
  <c r="BN32" i="2"/>
  <c r="CM32" i="2"/>
  <c r="CP32" i="2"/>
  <c r="B26" i="10"/>
  <c r="B27" i="8"/>
  <c r="B34" i="2"/>
  <c r="GL33" i="2" a="1"/>
  <c r="GL33" i="2" s="1"/>
  <c r="EV33" i="2" a="1"/>
  <c r="EV33" i="2" s="1"/>
  <c r="EJ33" i="2" a="1"/>
  <c r="EJ33" i="2" s="1"/>
  <c r="D27" i="8" s="1"/>
  <c r="EI33" i="2" a="1"/>
  <c r="EI33" i="2" s="1"/>
  <c r="DA33" i="2" a="1"/>
  <c r="DA33" i="2" s="1"/>
  <c r="AG33" i="2" a="1"/>
  <c r="AG33" i="2" s="1"/>
  <c r="AF33" i="2" a="1"/>
  <c r="AF33" i="2" s="1"/>
  <c r="G33" i="2" a="1"/>
  <c r="G33" i="2" s="1"/>
  <c r="H33" i="2" s="1" a="1"/>
  <c r="H33" i="2" s="1"/>
  <c r="A33" i="2"/>
  <c r="DQ33" i="2" s="1"/>
  <c r="DM33" i="2" a="1"/>
  <c r="DM33" i="2" s="1"/>
  <c r="CO33" i="2" a="1"/>
  <c r="CO33" i="2" s="1"/>
  <c r="S33" i="2" a="1"/>
  <c r="S33" i="2" s="1"/>
  <c r="Q33" i="2" a="1"/>
  <c r="Q33" i="2" s="1"/>
  <c r="I32" i="2"/>
  <c r="K32" i="2" s="1"/>
  <c r="AT32" i="2"/>
  <c r="AQ32" i="2" a="1"/>
  <c r="AQ32" i="2" s="1"/>
  <c r="BY32" i="2"/>
  <c r="DB32" i="2"/>
  <c r="CY32" i="2"/>
  <c r="FF32" i="2"/>
  <c r="FW32" i="2"/>
  <c r="O25" i="8"/>
  <c r="BO31" i="2" a="1"/>
  <c r="BO31" i="2" s="1"/>
  <c r="CE31" i="2" a="1"/>
  <c r="CE31" i="2" s="1"/>
  <c r="AY31" i="2" a="1"/>
  <c r="AY31" i="2" s="1"/>
  <c r="DK32" i="2"/>
  <c r="ET32" i="2"/>
  <c r="FI32" i="2"/>
  <c r="FZ32" i="2"/>
  <c r="A25" i="10"/>
  <c r="A26" i="8"/>
  <c r="GD32" i="2"/>
  <c r="CQ32" i="2"/>
  <c r="BP32" i="2"/>
  <c r="AZ32" i="2"/>
  <c r="GN32" i="2"/>
  <c r="DC32" i="2"/>
  <c r="T32" i="2"/>
  <c r="C26" i="8"/>
  <c r="EK32" i="2"/>
  <c r="J26" i="8" a="1"/>
  <c r="J26" i="8" s="1"/>
  <c r="K26" i="8" s="1" a="1"/>
  <c r="K26" i="8" s="1"/>
  <c r="I26" i="8" a="1"/>
  <c r="I26" i="8" s="1"/>
  <c r="M26" i="8" s="1"/>
  <c r="G26" i="8" a="1"/>
  <c r="G26" i="8" s="1"/>
  <c r="H26" i="8" s="1" a="1"/>
  <c r="H26" i="8" s="1"/>
  <c r="F26" i="8" a="1"/>
  <c r="F26" i="8" s="1"/>
  <c r="L26" i="8" s="1"/>
  <c r="EW33" i="2" l="1"/>
  <c r="EC33" i="2"/>
  <c r="EB33" i="2" a="1"/>
  <c r="EB33" i="2" s="1"/>
  <c r="DY33" i="2"/>
  <c r="EF33" i="2" a="1"/>
  <c r="EF33" i="2" s="1"/>
  <c r="GE34" i="2" a="1"/>
  <c r="GE34" i="2" s="1"/>
  <c r="GG34" i="2" a="1"/>
  <c r="GG34" i="2" s="1"/>
  <c r="GI34" i="2" a="1"/>
  <c r="GI34" i="2" s="1"/>
  <c r="FP34" i="2" a="1"/>
  <c r="FP34" i="2" s="1"/>
  <c r="FR34" i="2" a="1"/>
  <c r="FR34" i="2" s="1"/>
  <c r="FT34" i="2" a="1"/>
  <c r="FT34" i="2" s="1"/>
  <c r="GF34" i="2" a="1"/>
  <c r="GF34" i="2" s="1"/>
  <c r="GH34" i="2" a="1"/>
  <c r="GH34" i="2" s="1"/>
  <c r="GJ34" i="2" a="1"/>
  <c r="GJ34" i="2" s="1"/>
  <c r="FQ34" i="2" a="1"/>
  <c r="FQ34" i="2" s="1"/>
  <c r="FS34" i="2" a="1"/>
  <c r="FS34" i="2" s="1"/>
  <c r="FU34" i="2" a="1"/>
  <c r="FU34" i="2" s="1"/>
  <c r="EZ34" i="2" a="1"/>
  <c r="EZ34" i="2" s="1"/>
  <c r="FB34" i="2" a="1"/>
  <c r="FB34" i="2" s="1"/>
  <c r="FD34" i="2" a="1"/>
  <c r="FD34" i="2" s="1"/>
  <c r="EE34" i="2" a="1"/>
  <c r="EE34" i="2" s="1"/>
  <c r="ED34" i="2" a="1"/>
  <c r="ED34" i="2" s="1"/>
  <c r="EA34" i="2" a="1"/>
  <c r="EA34" i="2" s="1"/>
  <c r="DZ34" i="2" a="1"/>
  <c r="DZ34" i="2" s="1"/>
  <c r="EY34" i="2" a="1"/>
  <c r="EY34" i="2" s="1"/>
  <c r="FA34" i="2" a="1"/>
  <c r="FA34" i="2" s="1"/>
  <c r="FC34" i="2" a="1"/>
  <c r="FC34" i="2" s="1"/>
  <c r="FE34" i="2" a="1"/>
  <c r="FE34" i="2" s="1"/>
  <c r="DS34" i="2" a="1"/>
  <c r="DS34" i="2" s="1"/>
  <c r="DU34" i="2" a="1"/>
  <c r="DU34" i="2" s="1"/>
  <c r="DW34" i="2" a="1"/>
  <c r="DW34" i="2" s="1"/>
  <c r="DE34" i="2" a="1"/>
  <c r="DE34" i="2" s="1"/>
  <c r="DG34" i="2" a="1"/>
  <c r="DG34" i="2" s="1"/>
  <c r="DI34" i="2" a="1"/>
  <c r="DI34" i="2" s="1"/>
  <c r="DR34" i="2" a="1"/>
  <c r="DR34" i="2" s="1"/>
  <c r="DT34" i="2" a="1"/>
  <c r="DT34" i="2" s="1"/>
  <c r="DV34" i="2" a="1"/>
  <c r="DV34" i="2" s="1"/>
  <c r="DX34" i="2" a="1"/>
  <c r="DX34" i="2" s="1"/>
  <c r="DF34" i="2" a="1"/>
  <c r="DF34" i="2" s="1"/>
  <c r="DJ34" i="2" a="1"/>
  <c r="DJ34" i="2" s="1"/>
  <c r="CR34" i="2" a="1"/>
  <c r="CR34" i="2" s="1"/>
  <c r="CT34" i="2" a="1"/>
  <c r="CT34" i="2" s="1"/>
  <c r="CV34" i="2" a="1"/>
  <c r="CV34" i="2" s="1"/>
  <c r="CX34" i="2" a="1"/>
  <c r="CX34" i="2" s="1"/>
  <c r="CH34" i="2" a="1"/>
  <c r="CH34" i="2" s="1"/>
  <c r="CJ34" i="2" a="1"/>
  <c r="CJ34" i="2" s="1"/>
  <c r="CL34" i="2" a="1"/>
  <c r="CL34" i="2" s="1"/>
  <c r="BR34" i="2" a="1"/>
  <c r="BR34" i="2" s="1"/>
  <c r="BT34" i="2" a="1"/>
  <c r="BT34" i="2" s="1"/>
  <c r="BV34" i="2" a="1"/>
  <c r="BV34" i="2" s="1"/>
  <c r="BB34" i="2" a="1"/>
  <c r="BB34" i="2" s="1"/>
  <c r="BD34" i="2" a="1"/>
  <c r="BD34" i="2" s="1"/>
  <c r="BF34" i="2" a="1"/>
  <c r="BF34" i="2" s="1"/>
  <c r="AL34" i="2" a="1"/>
  <c r="AL34" i="2" s="1"/>
  <c r="AN34" i="2" a="1"/>
  <c r="AN34" i="2" s="1"/>
  <c r="AP34" i="2" a="1"/>
  <c r="AP34" i="2" s="1"/>
  <c r="DD34" i="2" a="1"/>
  <c r="DD34" i="2" s="1"/>
  <c r="DH34" i="2" a="1"/>
  <c r="DH34" i="2" s="1"/>
  <c r="CS34" i="2" a="1"/>
  <c r="CS34" i="2" s="1"/>
  <c r="CU34" i="2" a="1"/>
  <c r="CU34" i="2" s="1"/>
  <c r="CW34" i="2" a="1"/>
  <c r="CW34" i="2" s="1"/>
  <c r="CG34" i="2" a="1"/>
  <c r="CG34" i="2" s="1"/>
  <c r="CI34" i="2" a="1"/>
  <c r="CI34" i="2" s="1"/>
  <c r="CK34" i="2" a="1"/>
  <c r="CK34" i="2" s="1"/>
  <c r="BQ34" i="2" a="1"/>
  <c r="BQ34" i="2" s="1"/>
  <c r="BS34" i="2" a="1"/>
  <c r="BS34" i="2" s="1"/>
  <c r="BC34" i="2" a="1"/>
  <c r="BC34" i="2" s="1"/>
  <c r="AM34" i="2" a="1"/>
  <c r="AM34" i="2" s="1"/>
  <c r="V34" i="2" a="1"/>
  <c r="V34" i="2" s="1"/>
  <c r="X34" i="2" a="1"/>
  <c r="X34" i="2" s="1"/>
  <c r="Z34" i="2" a="1"/>
  <c r="Z34" i="2" s="1"/>
  <c r="M34" i="2" a="1"/>
  <c r="M34" i="2" s="1"/>
  <c r="O34" i="2" a="1"/>
  <c r="O34" i="2" s="1"/>
  <c r="BU34" i="2" a="1"/>
  <c r="BU34" i="2" s="1"/>
  <c r="BA34" i="2" a="1"/>
  <c r="BA34" i="2" s="1"/>
  <c r="BE34" i="2" a="1"/>
  <c r="BE34" i="2" s="1"/>
  <c r="AK34" i="2" a="1"/>
  <c r="AK34" i="2" s="1"/>
  <c r="AO34" i="2" a="1"/>
  <c r="AO34" i="2" s="1"/>
  <c r="U34" i="2" a="1"/>
  <c r="U34" i="2" s="1"/>
  <c r="W34" i="2" a="1"/>
  <c r="W34" i="2" s="1"/>
  <c r="Y34" i="2" a="1"/>
  <c r="Y34" i="2" s="1"/>
  <c r="AA34" i="2" a="1"/>
  <c r="AA34" i="2" s="1"/>
  <c r="L34" i="2" a="1"/>
  <c r="L34" i="2" s="1"/>
  <c r="N34" i="2" a="1"/>
  <c r="N34" i="2" s="1"/>
  <c r="P34" i="2" a="1"/>
  <c r="P34" i="2" s="1"/>
  <c r="D34" i="2" a="1"/>
  <c r="D34" i="2" s="1"/>
  <c r="E34" i="2" s="1" a="1"/>
  <c r="E34" i="2" s="1"/>
  <c r="P25" i="8"/>
  <c r="Q25" i="8" s="1"/>
  <c r="R25" i="8" s="1"/>
  <c r="EQ31" i="2" s="1"/>
  <c r="J32" i="2"/>
  <c r="GA34" i="2" a="1"/>
  <c r="GA34" i="2" s="1"/>
  <c r="GK34" i="2" a="1"/>
  <c r="GK34" i="2" s="1"/>
  <c r="EU34" i="2" a="1"/>
  <c r="EU34" i="2" s="1"/>
  <c r="DL34" i="2" a="1"/>
  <c r="DL34" i="2" s="1"/>
  <c r="C34" i="2" a="1"/>
  <c r="C34" i="2" s="1"/>
  <c r="CZ34" i="2" a="1"/>
  <c r="CZ34" i="2" s="1"/>
  <c r="CN34" i="2" a="1"/>
  <c r="CN34" i="2" s="1"/>
  <c r="CC34" i="2" a="1"/>
  <c r="CC34" i="2" s="1"/>
  <c r="BZ34" i="2" a="1"/>
  <c r="BZ34" i="2" s="1"/>
  <c r="BL34" i="2" a="1"/>
  <c r="BL34" i="2" s="1"/>
  <c r="BH34" i="2" a="1"/>
  <c r="BH34" i="2" s="1"/>
  <c r="AV34" i="2" a="1"/>
  <c r="AV34" i="2" s="1"/>
  <c r="FX34" i="2" a="1"/>
  <c r="FX34" i="2" s="1"/>
  <c r="AR34" i="2" a="1"/>
  <c r="AR34" i="2" s="1"/>
  <c r="AB33" i="2" a="1"/>
  <c r="AB33" i="2" s="1"/>
  <c r="FY34" i="2" a="1"/>
  <c r="FY34" i="2" s="1"/>
  <c r="FK34" i="2" a="1"/>
  <c r="FK34" i="2" s="1"/>
  <c r="FH34" i="2" a="1"/>
  <c r="FH34" i="2" s="1"/>
  <c r="GB34" i="2" a="1"/>
  <c r="GB34" i="2" s="1"/>
  <c r="AS34" i="2" a="1"/>
  <c r="AS34" i="2" s="1"/>
  <c r="AD34" i="2" a="1"/>
  <c r="AD34" i="2" s="1"/>
  <c r="FJ34" i="2" a="1"/>
  <c r="FJ34" i="2" s="1"/>
  <c r="BM34" i="2" a="1"/>
  <c r="BM34" i="2" s="1"/>
  <c r="FG34" i="2" a="1"/>
  <c r="FG34" i="2" s="1"/>
  <c r="CD34" i="2" a="1"/>
  <c r="CD34" i="2" s="1"/>
  <c r="CA34" i="2" a="1"/>
  <c r="CA34" i="2" s="1"/>
  <c r="BI34" i="2" a="1"/>
  <c r="BI34" i="2" s="1"/>
  <c r="AW34" i="2" a="1"/>
  <c r="AW34" i="2" s="1"/>
  <c r="AC34" i="2" a="1"/>
  <c r="AC34" i="2" s="1"/>
  <c r="AB34" i="2" s="1" a="1"/>
  <c r="AB34" i="2" s="1"/>
  <c r="F34" i="2" a="1"/>
  <c r="F34" i="2" s="1"/>
  <c r="BO32" i="2" a="1"/>
  <c r="BO32" i="2" s="1"/>
  <c r="BJ33" i="2"/>
  <c r="CB33" i="2"/>
  <c r="DN33" i="2"/>
  <c r="N26" i="8"/>
  <c r="FI33" i="2"/>
  <c r="FZ33" i="2"/>
  <c r="O26" i="8"/>
  <c r="DK33" i="2"/>
  <c r="FF33" i="2"/>
  <c r="FW33" i="2"/>
  <c r="I33" i="2"/>
  <c r="AE33" i="2" a="1"/>
  <c r="AE33" i="2" s="1"/>
  <c r="AT33" i="2"/>
  <c r="AQ33" i="2" a="1"/>
  <c r="AQ33" i="2" s="1"/>
  <c r="BY33" i="2"/>
  <c r="DB33" i="2"/>
  <c r="CY33" i="2"/>
  <c r="ET33" i="2"/>
  <c r="J27" i="8" a="1"/>
  <c r="J27" i="8" s="1"/>
  <c r="K27" i="8" s="1" a="1"/>
  <c r="K27" i="8" s="1"/>
  <c r="I27" i="8" a="1"/>
  <c r="I27" i="8" s="1"/>
  <c r="M27" i="8" s="1"/>
  <c r="G27" i="8" a="1"/>
  <c r="G27" i="8" s="1"/>
  <c r="H27" i="8" s="1" a="1"/>
  <c r="H27" i="8" s="1"/>
  <c r="F27" i="8" a="1"/>
  <c r="F27" i="8" s="1"/>
  <c r="L27" i="8" s="1"/>
  <c r="E26" i="8"/>
  <c r="GC32" i="2"/>
  <c r="FL32" i="2" a="1"/>
  <c r="FL32" i="2" s="1"/>
  <c r="CE32" i="2" a="1"/>
  <c r="CE32" i="2" s="1"/>
  <c r="CF32" i="2" s="1"/>
  <c r="AY32" i="2" a="1"/>
  <c r="AY32" i="2" s="1"/>
  <c r="AH32" i="2" a="1"/>
  <c r="AH32" i="2" s="1"/>
  <c r="AX33" i="2"/>
  <c r="AU33" i="2" a="1"/>
  <c r="AU33" i="2" s="1"/>
  <c r="BK33" i="2"/>
  <c r="BN33" i="2"/>
  <c r="CM33" i="2"/>
  <c r="CP33" i="2"/>
  <c r="A26" i="10"/>
  <c r="A27" i="8"/>
  <c r="S27" i="8" s="1"/>
  <c r="GN33" i="2"/>
  <c r="FM33" i="2"/>
  <c r="ES33" i="2"/>
  <c r="CQ33" i="2"/>
  <c r="BP33" i="2"/>
  <c r="AZ33" i="2"/>
  <c r="AI33" i="2"/>
  <c r="K33" i="2"/>
  <c r="GD33" i="2"/>
  <c r="FN33" i="2"/>
  <c r="DC33" i="2"/>
  <c r="CF33" i="2"/>
  <c r="AJ33" i="2"/>
  <c r="T33" i="2"/>
  <c r="J33" i="2"/>
  <c r="C27" i="8"/>
  <c r="EK33" i="2"/>
  <c r="E27" i="8" s="1"/>
  <c r="B27" i="10"/>
  <c r="B28" i="8"/>
  <c r="DM34" i="2" a="1"/>
  <c r="DM34" i="2" s="1"/>
  <c r="CO34" i="2" a="1"/>
  <c r="CO34" i="2" s="1"/>
  <c r="S34" i="2" a="1"/>
  <c r="S34" i="2" s="1"/>
  <c r="Q34" i="2" a="1"/>
  <c r="Q34" i="2" s="1"/>
  <c r="B35" i="2"/>
  <c r="GL34" i="2" a="1"/>
  <c r="GL34" i="2" s="1"/>
  <c r="EV34" i="2" a="1"/>
  <c r="EV34" i="2" s="1"/>
  <c r="EW34" i="2" s="1"/>
  <c r="EJ34" i="2" a="1"/>
  <c r="EJ34" i="2" s="1"/>
  <c r="D28" i="8" s="1"/>
  <c r="EI34" i="2" a="1"/>
  <c r="EI34" i="2" s="1"/>
  <c r="DA34" i="2" a="1"/>
  <c r="DA34" i="2" s="1"/>
  <c r="AG34" i="2" a="1"/>
  <c r="AG34" i="2" s="1"/>
  <c r="AF34" i="2" a="1"/>
  <c r="AF34" i="2" s="1"/>
  <c r="G34" i="2" a="1"/>
  <c r="G34" i="2" s="1"/>
  <c r="H34" i="2" s="1" a="1"/>
  <c r="H34" i="2" s="1"/>
  <c r="A34" i="2"/>
  <c r="DQ34" i="2" s="1"/>
  <c r="GE35" i="2" l="1" a="1"/>
  <c r="GE35" i="2" s="1"/>
  <c r="GG35" i="2" a="1"/>
  <c r="GG35" i="2" s="1"/>
  <c r="GI35" i="2" a="1"/>
  <c r="GI35" i="2" s="1"/>
  <c r="FP35" i="2" a="1"/>
  <c r="FP35" i="2" s="1"/>
  <c r="FR35" i="2" a="1"/>
  <c r="FR35" i="2" s="1"/>
  <c r="FT35" i="2" a="1"/>
  <c r="FT35" i="2" s="1"/>
  <c r="GF35" i="2" a="1"/>
  <c r="GF35" i="2" s="1"/>
  <c r="GH35" i="2" a="1"/>
  <c r="GH35" i="2" s="1"/>
  <c r="GJ35" i="2" a="1"/>
  <c r="GJ35" i="2" s="1"/>
  <c r="FQ35" i="2" a="1"/>
  <c r="FQ35" i="2" s="1"/>
  <c r="FS35" i="2" a="1"/>
  <c r="FS35" i="2" s="1"/>
  <c r="FU35" i="2" a="1"/>
  <c r="FU35" i="2" s="1"/>
  <c r="EY35" i="2" a="1"/>
  <c r="EY35" i="2" s="1"/>
  <c r="FA35" i="2" a="1"/>
  <c r="FA35" i="2" s="1"/>
  <c r="FC35" i="2" a="1"/>
  <c r="FC35" i="2" s="1"/>
  <c r="FE35" i="2" a="1"/>
  <c r="FE35" i="2" s="1"/>
  <c r="EZ35" i="2" a="1"/>
  <c r="EZ35" i="2" s="1"/>
  <c r="FB35" i="2" a="1"/>
  <c r="FB35" i="2" s="1"/>
  <c r="FD35" i="2" a="1"/>
  <c r="FD35" i="2" s="1"/>
  <c r="EE35" i="2" a="1"/>
  <c r="EE35" i="2" s="1"/>
  <c r="ED35" i="2" a="1"/>
  <c r="ED35" i="2" s="1"/>
  <c r="EA35" i="2" a="1"/>
  <c r="EA35" i="2" s="1"/>
  <c r="DZ35" i="2" a="1"/>
  <c r="DZ35" i="2" s="1"/>
  <c r="DR35" i="2" a="1"/>
  <c r="DR35" i="2" s="1"/>
  <c r="DT35" i="2" a="1"/>
  <c r="DT35" i="2" s="1"/>
  <c r="DV35" i="2" a="1"/>
  <c r="DV35" i="2" s="1"/>
  <c r="DX35" i="2" a="1"/>
  <c r="DX35" i="2" s="1"/>
  <c r="DD35" i="2" a="1"/>
  <c r="DD35" i="2" s="1"/>
  <c r="DF35" i="2" a="1"/>
  <c r="DF35" i="2" s="1"/>
  <c r="DH35" i="2" a="1"/>
  <c r="DH35" i="2" s="1"/>
  <c r="DJ35" i="2" a="1"/>
  <c r="DJ35" i="2" s="1"/>
  <c r="DS35" i="2" a="1"/>
  <c r="DS35" i="2" s="1"/>
  <c r="DU35" i="2" a="1"/>
  <c r="DU35" i="2" s="1"/>
  <c r="DW35" i="2" a="1"/>
  <c r="DW35" i="2" s="1"/>
  <c r="DG35" i="2" a="1"/>
  <c r="DG35" i="2" s="1"/>
  <c r="CS35" i="2" a="1"/>
  <c r="CS35" i="2" s="1"/>
  <c r="CU35" i="2" a="1"/>
  <c r="CU35" i="2" s="1"/>
  <c r="CW35" i="2" a="1"/>
  <c r="CW35" i="2" s="1"/>
  <c r="CH35" i="2" a="1"/>
  <c r="CH35" i="2" s="1"/>
  <c r="CJ35" i="2" a="1"/>
  <c r="CJ35" i="2" s="1"/>
  <c r="CL35" i="2" a="1"/>
  <c r="CL35" i="2" s="1"/>
  <c r="BR35" i="2" a="1"/>
  <c r="BR35" i="2" s="1"/>
  <c r="BT35" i="2" a="1"/>
  <c r="BT35" i="2" s="1"/>
  <c r="BV35" i="2" a="1"/>
  <c r="BV35" i="2" s="1"/>
  <c r="BB35" i="2" a="1"/>
  <c r="BB35" i="2" s="1"/>
  <c r="BD35" i="2" a="1"/>
  <c r="BD35" i="2" s="1"/>
  <c r="BF35" i="2" a="1"/>
  <c r="BF35" i="2" s="1"/>
  <c r="AL35" i="2" a="1"/>
  <c r="AL35" i="2" s="1"/>
  <c r="AN35" i="2" a="1"/>
  <c r="AN35" i="2" s="1"/>
  <c r="AP35" i="2" a="1"/>
  <c r="AP35" i="2" s="1"/>
  <c r="DE35" i="2" a="1"/>
  <c r="DE35" i="2" s="1"/>
  <c r="DI35" i="2" a="1"/>
  <c r="DI35" i="2" s="1"/>
  <c r="CR35" i="2" a="1"/>
  <c r="CR35" i="2" s="1"/>
  <c r="CT35" i="2" a="1"/>
  <c r="CT35" i="2" s="1"/>
  <c r="CV35" i="2" a="1"/>
  <c r="CV35" i="2" s="1"/>
  <c r="CX35" i="2" a="1"/>
  <c r="CX35" i="2" s="1"/>
  <c r="CG35" i="2" a="1"/>
  <c r="CG35" i="2" s="1"/>
  <c r="CI35" i="2" a="1"/>
  <c r="CI35" i="2" s="1"/>
  <c r="CK35" i="2" a="1"/>
  <c r="CK35" i="2" s="1"/>
  <c r="BQ35" i="2" a="1"/>
  <c r="BQ35" i="2" s="1"/>
  <c r="BU35" i="2" a="1"/>
  <c r="BU35" i="2" s="1"/>
  <c r="BA35" i="2" a="1"/>
  <c r="BA35" i="2" s="1"/>
  <c r="BE35" i="2" a="1"/>
  <c r="BE35" i="2" s="1"/>
  <c r="AK35" i="2" a="1"/>
  <c r="AK35" i="2" s="1"/>
  <c r="AO35" i="2" a="1"/>
  <c r="AO35" i="2" s="1"/>
  <c r="U35" i="2" a="1"/>
  <c r="U35" i="2" s="1"/>
  <c r="W35" i="2" a="1"/>
  <c r="W35" i="2" s="1"/>
  <c r="Y35" i="2" a="1"/>
  <c r="Y35" i="2" s="1"/>
  <c r="AA35" i="2" a="1"/>
  <c r="AA35" i="2" s="1"/>
  <c r="L35" i="2" a="1"/>
  <c r="L35" i="2" s="1"/>
  <c r="N35" i="2" a="1"/>
  <c r="N35" i="2" s="1"/>
  <c r="P35" i="2" a="1"/>
  <c r="P35" i="2" s="1"/>
  <c r="BS35" i="2" a="1"/>
  <c r="BS35" i="2" s="1"/>
  <c r="BC35" i="2" a="1"/>
  <c r="BC35" i="2" s="1"/>
  <c r="AM35" i="2" a="1"/>
  <c r="AM35" i="2" s="1"/>
  <c r="V35" i="2" a="1"/>
  <c r="V35" i="2" s="1"/>
  <c r="X35" i="2" a="1"/>
  <c r="X35" i="2" s="1"/>
  <c r="Z35" i="2" a="1"/>
  <c r="Z35" i="2" s="1"/>
  <c r="M35" i="2" a="1"/>
  <c r="M35" i="2" s="1"/>
  <c r="O35" i="2" a="1"/>
  <c r="O35" i="2" s="1"/>
  <c r="DY34" i="2"/>
  <c r="EB34" i="2" a="1"/>
  <c r="EB34" i="2" s="1"/>
  <c r="EC34" i="2"/>
  <c r="EF34" i="2" a="1"/>
  <c r="EF34" i="2" s="1"/>
  <c r="D35" i="2" a="1"/>
  <c r="D35" i="2" s="1"/>
  <c r="E35" i="2" s="1" a="1"/>
  <c r="E35" i="2" s="1"/>
  <c r="C35" i="2" a="1"/>
  <c r="C35" i="2" s="1"/>
  <c r="GK35" i="2" a="1"/>
  <c r="GK35" i="2" s="1"/>
  <c r="FX35" i="2" a="1"/>
  <c r="FX35" i="2" s="1"/>
  <c r="CZ35" i="2" a="1"/>
  <c r="CZ35" i="2" s="1"/>
  <c r="CN35" i="2" a="1"/>
  <c r="CN35" i="2" s="1"/>
  <c r="CC35" i="2" a="1"/>
  <c r="CC35" i="2" s="1"/>
  <c r="BZ35" i="2" a="1"/>
  <c r="BZ35" i="2" s="1"/>
  <c r="GA35" i="2" a="1"/>
  <c r="GA35" i="2" s="1"/>
  <c r="EU35" i="2" a="1"/>
  <c r="EU35" i="2" s="1"/>
  <c r="DL35" i="2" a="1"/>
  <c r="DL35" i="2" s="1"/>
  <c r="AR35" i="2" a="1"/>
  <c r="AR35" i="2" s="1"/>
  <c r="BL35" i="2" a="1"/>
  <c r="BL35" i="2" s="1"/>
  <c r="BH35" i="2" a="1"/>
  <c r="BH35" i="2" s="1"/>
  <c r="AV35" i="2" a="1"/>
  <c r="AV35" i="2" s="1"/>
  <c r="GB35" i="2" a="1"/>
  <c r="GB35" i="2" s="1"/>
  <c r="FJ35" i="2" a="1"/>
  <c r="FJ35" i="2" s="1"/>
  <c r="FG35" i="2" a="1"/>
  <c r="FG35" i="2" s="1"/>
  <c r="CD35" i="2" a="1"/>
  <c r="CD35" i="2" s="1"/>
  <c r="FH35" i="2" a="1"/>
  <c r="FH35" i="2" s="1"/>
  <c r="CA35" i="2" a="1"/>
  <c r="CA35" i="2" s="1"/>
  <c r="BM35" i="2" a="1"/>
  <c r="BM35" i="2" s="1"/>
  <c r="BI35" i="2" a="1"/>
  <c r="BI35" i="2" s="1"/>
  <c r="AW35" i="2" a="1"/>
  <c r="AW35" i="2" s="1"/>
  <c r="AC35" i="2" a="1"/>
  <c r="AC35" i="2" s="1"/>
  <c r="FY35" i="2" a="1"/>
  <c r="FY35" i="2" s="1"/>
  <c r="F35" i="2" a="1"/>
  <c r="F35" i="2" s="1"/>
  <c r="FK35" i="2" a="1"/>
  <c r="FK35" i="2" s="1"/>
  <c r="AS35" i="2" a="1"/>
  <c r="AS35" i="2" s="1"/>
  <c r="AD35" i="2" a="1"/>
  <c r="AD35" i="2" s="1"/>
  <c r="BO33" i="2" a="1"/>
  <c r="BO33" i="2" s="1"/>
  <c r="DN34" i="2"/>
  <c r="P26" i="8"/>
  <c r="Q26" i="8" s="1"/>
  <c r="R26" i="8" s="1"/>
  <c r="EQ32" i="2" s="1"/>
  <c r="BJ34" i="2"/>
  <c r="CB34" i="2"/>
  <c r="AE34" i="2" a="1"/>
  <c r="AE34" i="2" s="1"/>
  <c r="FI34" i="2"/>
  <c r="FZ34" i="2"/>
  <c r="AT34" i="2"/>
  <c r="AQ34" i="2" a="1"/>
  <c r="AQ34" i="2" s="1"/>
  <c r="CY34" i="2"/>
  <c r="DB34" i="2"/>
  <c r="ET34" i="2"/>
  <c r="AX34" i="2"/>
  <c r="AU34" i="2" a="1"/>
  <c r="AU34" i="2" s="1"/>
  <c r="A27" i="10"/>
  <c r="A28" i="8"/>
  <c r="S28" i="8" s="1"/>
  <c r="GD34" i="2"/>
  <c r="FN34" i="2"/>
  <c r="DC34" i="2"/>
  <c r="CF34" i="2"/>
  <c r="AJ34" i="2"/>
  <c r="T34" i="2"/>
  <c r="J34" i="2"/>
  <c r="GN34" i="2"/>
  <c r="FM34" i="2"/>
  <c r="ES34" i="2"/>
  <c r="CQ34" i="2"/>
  <c r="BP34" i="2"/>
  <c r="AZ34" i="2"/>
  <c r="AI34" i="2"/>
  <c r="K34" i="2"/>
  <c r="C28" i="8"/>
  <c r="EK34" i="2"/>
  <c r="E28" i="8" s="1"/>
  <c r="B28" i="10"/>
  <c r="B29" i="8"/>
  <c r="B36" i="2"/>
  <c r="GL35" i="2" a="1"/>
  <c r="GL35" i="2" s="1"/>
  <c r="EV35" i="2" a="1"/>
  <c r="EV35" i="2" s="1"/>
  <c r="EW35" i="2" s="1"/>
  <c r="EJ35" i="2" a="1"/>
  <c r="EJ35" i="2" s="1"/>
  <c r="D29" i="8" s="1"/>
  <c r="EI35" i="2" a="1"/>
  <c r="EI35" i="2" s="1"/>
  <c r="DA35" i="2" a="1"/>
  <c r="DA35" i="2" s="1"/>
  <c r="AG35" i="2" a="1"/>
  <c r="AG35" i="2" s="1"/>
  <c r="AF35" i="2" a="1"/>
  <c r="AF35" i="2" s="1"/>
  <c r="G35" i="2" a="1"/>
  <c r="G35" i="2" s="1"/>
  <c r="H35" i="2" s="1" a="1"/>
  <c r="H35" i="2" s="1"/>
  <c r="A35" i="2"/>
  <c r="DQ35" i="2" s="1"/>
  <c r="DM35" i="2" a="1"/>
  <c r="DM35" i="2" s="1"/>
  <c r="CO35" i="2" a="1"/>
  <c r="CO35" i="2" s="1"/>
  <c r="S35" i="2" a="1"/>
  <c r="S35" i="2" s="1"/>
  <c r="Q35" i="2" a="1"/>
  <c r="Q35" i="2" s="1"/>
  <c r="DK34" i="2"/>
  <c r="FL34" i="2" a="1"/>
  <c r="FL34" i="2" s="1"/>
  <c r="FF34" i="2"/>
  <c r="GC34" i="2"/>
  <c r="FW34" i="2"/>
  <c r="FN32" i="2"/>
  <c r="FM32" i="2"/>
  <c r="N27" i="8"/>
  <c r="AH33" i="2" a="1"/>
  <c r="AH33" i="2" s="1"/>
  <c r="I34" i="2"/>
  <c r="BY34" i="2"/>
  <c r="BN34" i="2"/>
  <c r="BK34" i="2"/>
  <c r="CP34" i="2"/>
  <c r="CM34" i="2"/>
  <c r="J28" i="8" a="1"/>
  <c r="J28" i="8" s="1"/>
  <c r="K28" i="8" s="1" a="1"/>
  <c r="K28" i="8" s="1"/>
  <c r="I28" i="8" a="1"/>
  <c r="I28" i="8" s="1"/>
  <c r="M28" i="8" s="1"/>
  <c r="G28" i="8" a="1"/>
  <c r="G28" i="8" s="1"/>
  <c r="H28" i="8" s="1" a="1"/>
  <c r="H28" i="8" s="1"/>
  <c r="F28" i="8" a="1"/>
  <c r="F28" i="8" s="1"/>
  <c r="L28" i="8" s="1"/>
  <c r="AI32" i="2"/>
  <c r="AJ32" i="2"/>
  <c r="O27" i="8"/>
  <c r="CE33" i="2" a="1"/>
  <c r="CE33" i="2" s="1"/>
  <c r="AY33" i="2" a="1"/>
  <c r="AY33" i="2" s="1"/>
  <c r="GC33" i="2"/>
  <c r="FL33" i="2" a="1"/>
  <c r="FL33" i="2" s="1"/>
  <c r="BO34" i="2" l="1" a="1"/>
  <c r="BO34" i="2" s="1"/>
  <c r="CE34" i="2" a="1"/>
  <c r="CE34" i="2" s="1"/>
  <c r="EC35" i="2"/>
  <c r="DY35" i="2"/>
  <c r="EB35" i="2" a="1"/>
  <c r="EB35" i="2" s="1"/>
  <c r="EF35" i="2" a="1"/>
  <c r="EF35" i="2" s="1"/>
  <c r="GE36" i="2" a="1"/>
  <c r="GE36" i="2" s="1"/>
  <c r="GG36" i="2" a="1"/>
  <c r="GG36" i="2" s="1"/>
  <c r="GI36" i="2" a="1"/>
  <c r="GI36" i="2" s="1"/>
  <c r="FP36" i="2" a="1"/>
  <c r="FP36" i="2" s="1"/>
  <c r="FR36" i="2" a="1"/>
  <c r="FR36" i="2" s="1"/>
  <c r="FT36" i="2" a="1"/>
  <c r="FT36" i="2" s="1"/>
  <c r="GF36" i="2" a="1"/>
  <c r="GF36" i="2" s="1"/>
  <c r="GH36" i="2" a="1"/>
  <c r="GH36" i="2" s="1"/>
  <c r="GJ36" i="2" a="1"/>
  <c r="GJ36" i="2" s="1"/>
  <c r="FQ36" i="2" a="1"/>
  <c r="FQ36" i="2" s="1"/>
  <c r="FS36" i="2" a="1"/>
  <c r="FS36" i="2" s="1"/>
  <c r="FU36" i="2" a="1"/>
  <c r="FU36" i="2" s="1"/>
  <c r="EZ36" i="2" a="1"/>
  <c r="EZ36" i="2" s="1"/>
  <c r="FB36" i="2" a="1"/>
  <c r="FB36" i="2" s="1"/>
  <c r="FD36" i="2" a="1"/>
  <c r="FD36" i="2" s="1"/>
  <c r="EE36" i="2" a="1"/>
  <c r="EE36" i="2" s="1"/>
  <c r="ED36" i="2" a="1"/>
  <c r="ED36" i="2" s="1"/>
  <c r="EA36" i="2" a="1"/>
  <c r="EA36" i="2" s="1"/>
  <c r="DZ36" i="2" a="1"/>
  <c r="DZ36" i="2" s="1"/>
  <c r="EY36" i="2" a="1"/>
  <c r="EY36" i="2" s="1"/>
  <c r="FA36" i="2" a="1"/>
  <c r="FA36" i="2" s="1"/>
  <c r="FC36" i="2" a="1"/>
  <c r="FC36" i="2" s="1"/>
  <c r="FE36" i="2" a="1"/>
  <c r="FE36" i="2" s="1"/>
  <c r="DS36" i="2" a="1"/>
  <c r="DS36" i="2" s="1"/>
  <c r="DU36" i="2" a="1"/>
  <c r="DU36" i="2" s="1"/>
  <c r="DW36" i="2" a="1"/>
  <c r="DW36" i="2" s="1"/>
  <c r="DE36" i="2" a="1"/>
  <c r="DE36" i="2" s="1"/>
  <c r="DG36" i="2" a="1"/>
  <c r="DG36" i="2" s="1"/>
  <c r="DI36" i="2" a="1"/>
  <c r="DI36" i="2" s="1"/>
  <c r="DR36" i="2" a="1"/>
  <c r="DR36" i="2" s="1"/>
  <c r="DT36" i="2" a="1"/>
  <c r="DT36" i="2" s="1"/>
  <c r="DV36" i="2" a="1"/>
  <c r="DV36" i="2" s="1"/>
  <c r="DX36" i="2" a="1"/>
  <c r="DX36" i="2" s="1"/>
  <c r="DD36" i="2" a="1"/>
  <c r="DD36" i="2" s="1"/>
  <c r="DH36" i="2" a="1"/>
  <c r="DH36" i="2" s="1"/>
  <c r="CR36" i="2" a="1"/>
  <c r="CR36" i="2" s="1"/>
  <c r="CT36" i="2" a="1"/>
  <c r="CT36" i="2" s="1"/>
  <c r="CV36" i="2" a="1"/>
  <c r="CV36" i="2" s="1"/>
  <c r="CX36" i="2" a="1"/>
  <c r="CX36" i="2" s="1"/>
  <c r="CH36" i="2" a="1"/>
  <c r="CH36" i="2" s="1"/>
  <c r="CJ36" i="2" a="1"/>
  <c r="CJ36" i="2" s="1"/>
  <c r="CL36" i="2" a="1"/>
  <c r="CL36" i="2" s="1"/>
  <c r="BR36" i="2" a="1"/>
  <c r="BR36" i="2" s="1"/>
  <c r="BT36" i="2" a="1"/>
  <c r="BT36" i="2" s="1"/>
  <c r="BV36" i="2" a="1"/>
  <c r="BV36" i="2" s="1"/>
  <c r="BB36" i="2" a="1"/>
  <c r="BB36" i="2" s="1"/>
  <c r="BD36" i="2" a="1"/>
  <c r="BD36" i="2" s="1"/>
  <c r="BF36" i="2" a="1"/>
  <c r="BF36" i="2" s="1"/>
  <c r="AL36" i="2" a="1"/>
  <c r="AL36" i="2" s="1"/>
  <c r="AN36" i="2" a="1"/>
  <c r="AN36" i="2" s="1"/>
  <c r="AP36" i="2" a="1"/>
  <c r="AP36" i="2" s="1"/>
  <c r="DF36" i="2" a="1"/>
  <c r="DF36" i="2" s="1"/>
  <c r="DJ36" i="2" a="1"/>
  <c r="DJ36" i="2" s="1"/>
  <c r="CS36" i="2" a="1"/>
  <c r="CS36" i="2" s="1"/>
  <c r="CU36" i="2" a="1"/>
  <c r="CU36" i="2" s="1"/>
  <c r="CW36" i="2" a="1"/>
  <c r="CW36" i="2" s="1"/>
  <c r="CG36" i="2" a="1"/>
  <c r="CG36" i="2" s="1"/>
  <c r="CI36" i="2" a="1"/>
  <c r="CI36" i="2" s="1"/>
  <c r="CK36" i="2" a="1"/>
  <c r="CK36" i="2" s="1"/>
  <c r="BS36" i="2" a="1"/>
  <c r="BS36" i="2" s="1"/>
  <c r="BC36" i="2" a="1"/>
  <c r="BC36" i="2" s="1"/>
  <c r="AM36" i="2" a="1"/>
  <c r="AM36" i="2" s="1"/>
  <c r="V36" i="2" a="1"/>
  <c r="V36" i="2" s="1"/>
  <c r="X36" i="2" a="1"/>
  <c r="X36" i="2" s="1"/>
  <c r="Z36" i="2" a="1"/>
  <c r="Z36" i="2" s="1"/>
  <c r="M36" i="2" a="1"/>
  <c r="M36" i="2" s="1"/>
  <c r="O36" i="2" a="1"/>
  <c r="O36" i="2" s="1"/>
  <c r="BQ36" i="2" a="1"/>
  <c r="BQ36" i="2" s="1"/>
  <c r="BU36" i="2" a="1"/>
  <c r="BU36" i="2" s="1"/>
  <c r="BA36" i="2" a="1"/>
  <c r="BA36" i="2" s="1"/>
  <c r="BE36" i="2" a="1"/>
  <c r="BE36" i="2" s="1"/>
  <c r="AK36" i="2" a="1"/>
  <c r="AK36" i="2" s="1"/>
  <c r="AO36" i="2" a="1"/>
  <c r="AO36" i="2" s="1"/>
  <c r="U36" i="2" a="1"/>
  <c r="U36" i="2" s="1"/>
  <c r="W36" i="2" a="1"/>
  <c r="W36" i="2" s="1"/>
  <c r="Y36" i="2" a="1"/>
  <c r="Y36" i="2" s="1"/>
  <c r="AA36" i="2" a="1"/>
  <c r="AA36" i="2" s="1"/>
  <c r="L36" i="2" a="1"/>
  <c r="L36" i="2" s="1"/>
  <c r="N36" i="2" a="1"/>
  <c r="N36" i="2" s="1"/>
  <c r="P36" i="2" a="1"/>
  <c r="P36" i="2" s="1"/>
  <c r="D36" i="2" a="1"/>
  <c r="D36" i="2" s="1"/>
  <c r="E36" i="2" s="1" a="1"/>
  <c r="E36" i="2" s="1"/>
  <c r="S26" i="8"/>
  <c r="ER32" i="2" s="1"/>
  <c r="C36" i="2" a="1"/>
  <c r="C36" i="2" s="1"/>
  <c r="GK36" i="2" a="1"/>
  <c r="GK36" i="2" s="1"/>
  <c r="GA36" i="2" a="1"/>
  <c r="GA36" i="2" s="1"/>
  <c r="FX36" i="2" a="1"/>
  <c r="FX36" i="2" s="1"/>
  <c r="EU36" i="2" a="1"/>
  <c r="EU36" i="2" s="1"/>
  <c r="DL36" i="2" a="1"/>
  <c r="DL36" i="2" s="1"/>
  <c r="BL36" i="2" a="1"/>
  <c r="BL36" i="2" s="1"/>
  <c r="BH36" i="2" a="1"/>
  <c r="BH36" i="2" s="1"/>
  <c r="AV36" i="2" a="1"/>
  <c r="AV36" i="2" s="1"/>
  <c r="CZ36" i="2" a="1"/>
  <c r="CZ36" i="2" s="1"/>
  <c r="CN36" i="2" a="1"/>
  <c r="CN36" i="2" s="1"/>
  <c r="CC36" i="2" a="1"/>
  <c r="CC36" i="2" s="1"/>
  <c r="BZ36" i="2" a="1"/>
  <c r="BZ36" i="2" s="1"/>
  <c r="AR36" i="2" a="1"/>
  <c r="AR36" i="2" s="1"/>
  <c r="AB35" i="2" a="1"/>
  <c r="AB35" i="2" s="1"/>
  <c r="FY36" i="2" a="1"/>
  <c r="FY36" i="2" s="1"/>
  <c r="GB36" i="2" a="1"/>
  <c r="GB36" i="2" s="1"/>
  <c r="FK36" i="2" a="1"/>
  <c r="FK36" i="2" s="1"/>
  <c r="FH36" i="2" a="1"/>
  <c r="FH36" i="2" s="1"/>
  <c r="FJ36" i="2" a="1"/>
  <c r="FJ36" i="2" s="1"/>
  <c r="FG36" i="2" a="1"/>
  <c r="FG36" i="2" s="1"/>
  <c r="CD36" i="2" a="1"/>
  <c r="CD36" i="2" s="1"/>
  <c r="AS36" i="2" a="1"/>
  <c r="AS36" i="2" s="1"/>
  <c r="AD36" i="2" a="1"/>
  <c r="AD36" i="2" s="1"/>
  <c r="CA36" i="2" a="1"/>
  <c r="CA36" i="2" s="1"/>
  <c r="BI36" i="2" a="1"/>
  <c r="BI36" i="2" s="1"/>
  <c r="AW36" i="2" a="1"/>
  <c r="AW36" i="2" s="1"/>
  <c r="AC36" i="2" a="1"/>
  <c r="AC36" i="2" s="1"/>
  <c r="AB36" i="2" s="1" a="1"/>
  <c r="AB36" i="2" s="1"/>
  <c r="BM36" i="2" a="1"/>
  <c r="BM36" i="2" s="1"/>
  <c r="F36" i="2" a="1"/>
  <c r="F36" i="2" s="1"/>
  <c r="FI35" i="2"/>
  <c r="FZ35" i="2"/>
  <c r="BJ35" i="2"/>
  <c r="CB35" i="2"/>
  <c r="DN35" i="2"/>
  <c r="O28" i="8"/>
  <c r="AX35" i="2"/>
  <c r="AU35" i="2" a="1"/>
  <c r="AU35" i="2" s="1"/>
  <c r="BK35" i="2"/>
  <c r="BN35" i="2"/>
  <c r="CM35" i="2"/>
  <c r="CP35" i="2"/>
  <c r="A29" i="8"/>
  <c r="S29" i="8" s="1"/>
  <c r="A28" i="10"/>
  <c r="GN35" i="2"/>
  <c r="FM35" i="2"/>
  <c r="ES35" i="2"/>
  <c r="CQ35" i="2"/>
  <c r="BP35" i="2"/>
  <c r="AZ35" i="2"/>
  <c r="AI35" i="2"/>
  <c r="K35" i="2"/>
  <c r="GD35" i="2"/>
  <c r="FN35" i="2"/>
  <c r="DC35" i="2"/>
  <c r="CF35" i="2"/>
  <c r="AJ35" i="2"/>
  <c r="T35" i="2"/>
  <c r="J35" i="2"/>
  <c r="C29" i="8"/>
  <c r="EK35" i="2"/>
  <c r="FL35" i="2" s="1" a="1"/>
  <c r="FL35" i="2" s="1"/>
  <c r="B29" i="10"/>
  <c r="B30" i="8"/>
  <c r="DM36" i="2" a="1"/>
  <c r="DM36" i="2" s="1"/>
  <c r="B37" i="2"/>
  <c r="GL36" i="2" a="1"/>
  <c r="GL36" i="2" s="1"/>
  <c r="EI36" i="2" a="1"/>
  <c r="EI36" i="2" s="1"/>
  <c r="CO36" i="2" a="1"/>
  <c r="CO36" i="2" s="1"/>
  <c r="S36" i="2" a="1"/>
  <c r="S36" i="2" s="1"/>
  <c r="Q36" i="2" a="1"/>
  <c r="Q36" i="2" s="1"/>
  <c r="EV36" i="2" a="1"/>
  <c r="EV36" i="2" s="1"/>
  <c r="EW36" i="2" s="1"/>
  <c r="EJ36" i="2" a="1"/>
  <c r="EJ36" i="2" s="1"/>
  <c r="D30" i="8" s="1"/>
  <c r="DA36" i="2" a="1"/>
  <c r="DA36" i="2" s="1"/>
  <c r="AG36" i="2" a="1"/>
  <c r="AG36" i="2" s="1"/>
  <c r="AF36" i="2" a="1"/>
  <c r="AF36" i="2" s="1"/>
  <c r="G36" i="2" a="1"/>
  <c r="G36" i="2" s="1"/>
  <c r="H36" i="2" s="1" a="1"/>
  <c r="H36" i="2" s="1"/>
  <c r="A36" i="2"/>
  <c r="DQ36" i="2" s="1"/>
  <c r="AY34" i="2" a="1"/>
  <c r="AY34" i="2" s="1"/>
  <c r="AH34" i="2" a="1"/>
  <c r="AH34" i="2" s="1"/>
  <c r="ES32" i="2"/>
  <c r="N28" i="8"/>
  <c r="P27" i="8"/>
  <c r="Q27" i="8" s="1"/>
  <c r="R27" i="8" s="1"/>
  <c r="EQ33" i="2" s="1"/>
  <c r="DK35" i="2"/>
  <c r="FF35" i="2"/>
  <c r="FW35" i="2"/>
  <c r="I35" i="2"/>
  <c r="AH35" i="2" a="1"/>
  <c r="AH35" i="2" s="1"/>
  <c r="AE35" i="2" a="1"/>
  <c r="AE35" i="2" s="1"/>
  <c r="AT35" i="2"/>
  <c r="AQ35" i="2" a="1"/>
  <c r="AQ35" i="2" s="1"/>
  <c r="CE35" i="2" a="1"/>
  <c r="CE35" i="2" s="1"/>
  <c r="BY35" i="2"/>
  <c r="DB35" i="2"/>
  <c r="CY35" i="2"/>
  <c r="ET35" i="2"/>
  <c r="I29" i="8" a="1"/>
  <c r="I29" i="8" s="1"/>
  <c r="M29" i="8" s="1"/>
  <c r="G29" i="8" a="1"/>
  <c r="G29" i="8" s="1"/>
  <c r="H29" i="8" s="1" a="1"/>
  <c r="H29" i="8" s="1"/>
  <c r="J29" i="8" a="1"/>
  <c r="J29" i="8" s="1"/>
  <c r="K29" i="8" s="1" a="1"/>
  <c r="K29" i="8" s="1"/>
  <c r="F29" i="8" a="1"/>
  <c r="F29" i="8" s="1"/>
  <c r="L29" i="8" s="1"/>
  <c r="P28" i="8" l="1"/>
  <c r="Q28" i="8" s="1"/>
  <c r="R28" i="8" s="1"/>
  <c r="EQ34" i="2" s="1"/>
  <c r="GC35" i="2"/>
  <c r="GE37" i="2" a="1"/>
  <c r="GE37" i="2" s="1"/>
  <c r="GG37" i="2" a="1"/>
  <c r="GG37" i="2" s="1"/>
  <c r="GI37" i="2" a="1"/>
  <c r="GI37" i="2" s="1"/>
  <c r="FP37" i="2" a="1"/>
  <c r="FP37" i="2" s="1"/>
  <c r="FR37" i="2" a="1"/>
  <c r="FR37" i="2" s="1"/>
  <c r="FT37" i="2" a="1"/>
  <c r="FT37" i="2" s="1"/>
  <c r="GF37" i="2" a="1"/>
  <c r="GF37" i="2" s="1"/>
  <c r="GH37" i="2" a="1"/>
  <c r="GH37" i="2" s="1"/>
  <c r="GJ37" i="2" a="1"/>
  <c r="GJ37" i="2" s="1"/>
  <c r="FQ37" i="2" a="1"/>
  <c r="FQ37" i="2" s="1"/>
  <c r="FS37" i="2" a="1"/>
  <c r="FS37" i="2" s="1"/>
  <c r="FU37" i="2" a="1"/>
  <c r="FU37" i="2" s="1"/>
  <c r="EY37" i="2" a="1"/>
  <c r="EY37" i="2" s="1"/>
  <c r="FA37" i="2" a="1"/>
  <c r="FA37" i="2" s="1"/>
  <c r="FC37" i="2" a="1"/>
  <c r="FC37" i="2" s="1"/>
  <c r="FE37" i="2" a="1"/>
  <c r="FE37" i="2" s="1"/>
  <c r="EZ37" i="2" a="1"/>
  <c r="EZ37" i="2" s="1"/>
  <c r="FB37" i="2" a="1"/>
  <c r="FB37" i="2" s="1"/>
  <c r="FD37" i="2" a="1"/>
  <c r="FD37" i="2" s="1"/>
  <c r="EE37" i="2" a="1"/>
  <c r="EE37" i="2" s="1"/>
  <c r="ED37" i="2" a="1"/>
  <c r="ED37" i="2" s="1"/>
  <c r="EA37" i="2" a="1"/>
  <c r="EA37" i="2" s="1"/>
  <c r="DZ37" i="2" a="1"/>
  <c r="DZ37" i="2" s="1"/>
  <c r="DR37" i="2" a="1"/>
  <c r="DR37" i="2" s="1"/>
  <c r="DT37" i="2" a="1"/>
  <c r="DT37" i="2" s="1"/>
  <c r="DV37" i="2" a="1"/>
  <c r="DV37" i="2" s="1"/>
  <c r="DX37" i="2" a="1"/>
  <c r="DX37" i="2" s="1"/>
  <c r="DD37" i="2" a="1"/>
  <c r="DD37" i="2" s="1"/>
  <c r="DF37" i="2" a="1"/>
  <c r="DF37" i="2" s="1"/>
  <c r="DH37" i="2" a="1"/>
  <c r="DH37" i="2" s="1"/>
  <c r="DJ37" i="2" a="1"/>
  <c r="DJ37" i="2" s="1"/>
  <c r="DS37" i="2" a="1"/>
  <c r="DS37" i="2" s="1"/>
  <c r="DU37" i="2" a="1"/>
  <c r="DU37" i="2" s="1"/>
  <c r="DW37" i="2" a="1"/>
  <c r="DW37" i="2" s="1"/>
  <c r="DE37" i="2" a="1"/>
  <c r="DE37" i="2" s="1"/>
  <c r="DI37" i="2" a="1"/>
  <c r="DI37" i="2" s="1"/>
  <c r="CS37" i="2" a="1"/>
  <c r="CS37" i="2" s="1"/>
  <c r="CU37" i="2" a="1"/>
  <c r="CU37" i="2" s="1"/>
  <c r="CW37" i="2" a="1"/>
  <c r="CW37" i="2" s="1"/>
  <c r="CH37" i="2" a="1"/>
  <c r="CH37" i="2" s="1"/>
  <c r="CJ37" i="2" a="1"/>
  <c r="CJ37" i="2" s="1"/>
  <c r="CL37" i="2" a="1"/>
  <c r="CL37" i="2" s="1"/>
  <c r="BR37" i="2" a="1"/>
  <c r="BR37" i="2" s="1"/>
  <c r="BT37" i="2" a="1"/>
  <c r="BT37" i="2" s="1"/>
  <c r="BV37" i="2" a="1"/>
  <c r="BV37" i="2" s="1"/>
  <c r="BB37" i="2" a="1"/>
  <c r="BB37" i="2" s="1"/>
  <c r="BD37" i="2" a="1"/>
  <c r="BD37" i="2" s="1"/>
  <c r="BF37" i="2" a="1"/>
  <c r="BF37" i="2" s="1"/>
  <c r="AL37" i="2" a="1"/>
  <c r="AL37" i="2" s="1"/>
  <c r="AN37" i="2" a="1"/>
  <c r="AN37" i="2" s="1"/>
  <c r="AP37" i="2" a="1"/>
  <c r="AP37" i="2" s="1"/>
  <c r="DG37" i="2" a="1"/>
  <c r="DG37" i="2" s="1"/>
  <c r="CR37" i="2" a="1"/>
  <c r="CR37" i="2" s="1"/>
  <c r="CT37" i="2" a="1"/>
  <c r="CT37" i="2" s="1"/>
  <c r="CV37" i="2" a="1"/>
  <c r="CV37" i="2" s="1"/>
  <c r="CX37" i="2" a="1"/>
  <c r="CX37" i="2" s="1"/>
  <c r="CG37" i="2" a="1"/>
  <c r="CG37" i="2" s="1"/>
  <c r="CI37" i="2" a="1"/>
  <c r="CI37" i="2" s="1"/>
  <c r="CK37" i="2" a="1"/>
  <c r="CK37" i="2" s="1"/>
  <c r="BQ37" i="2" a="1"/>
  <c r="BQ37" i="2" s="1"/>
  <c r="BU37" i="2" a="1"/>
  <c r="BU37" i="2" s="1"/>
  <c r="BA37" i="2" a="1"/>
  <c r="BA37" i="2" s="1"/>
  <c r="BE37" i="2" a="1"/>
  <c r="BE37" i="2" s="1"/>
  <c r="AK37" i="2" a="1"/>
  <c r="AK37" i="2" s="1"/>
  <c r="AO37" i="2" a="1"/>
  <c r="AO37" i="2" s="1"/>
  <c r="U37" i="2" a="1"/>
  <c r="U37" i="2" s="1"/>
  <c r="W37" i="2" a="1"/>
  <c r="W37" i="2" s="1"/>
  <c r="Y37" i="2" a="1"/>
  <c r="Y37" i="2" s="1"/>
  <c r="AA37" i="2" a="1"/>
  <c r="AA37" i="2" s="1"/>
  <c r="L37" i="2" a="1"/>
  <c r="L37" i="2" s="1"/>
  <c r="N37" i="2" a="1"/>
  <c r="N37" i="2" s="1"/>
  <c r="P37" i="2" a="1"/>
  <c r="P37" i="2" s="1"/>
  <c r="BS37" i="2" a="1"/>
  <c r="BS37" i="2" s="1"/>
  <c r="BC37" i="2" a="1"/>
  <c r="BC37" i="2" s="1"/>
  <c r="AM37" i="2" a="1"/>
  <c r="AM37" i="2" s="1"/>
  <c r="V37" i="2" a="1"/>
  <c r="V37" i="2" s="1"/>
  <c r="X37" i="2" a="1"/>
  <c r="X37" i="2" s="1"/>
  <c r="Z37" i="2" a="1"/>
  <c r="Z37" i="2" s="1"/>
  <c r="M37" i="2" a="1"/>
  <c r="M37" i="2" s="1"/>
  <c r="O37" i="2" a="1"/>
  <c r="O37" i="2" s="1"/>
  <c r="CO37" i="2" a="1"/>
  <c r="CO37" i="2" s="1"/>
  <c r="EB36" i="2" a="1"/>
  <c r="EB36" i="2" s="1"/>
  <c r="DY36" i="2"/>
  <c r="EC36" i="2"/>
  <c r="EF36" i="2" a="1"/>
  <c r="EF36" i="2" s="1"/>
  <c r="D37" i="2" a="1"/>
  <c r="D37" i="2" s="1"/>
  <c r="E37" i="2" s="1" a="1"/>
  <c r="E37" i="2" s="1"/>
  <c r="C37" i="2" a="1"/>
  <c r="C37" i="2" s="1"/>
  <c r="GK37" i="2" a="1"/>
  <c r="GK37" i="2" s="1"/>
  <c r="FX37" i="2" a="1"/>
  <c r="FX37" i="2" s="1"/>
  <c r="GA37" i="2" a="1"/>
  <c r="GA37" i="2" s="1"/>
  <c r="CZ37" i="2" a="1"/>
  <c r="CZ37" i="2" s="1"/>
  <c r="CN37" i="2" a="1"/>
  <c r="CN37" i="2" s="1"/>
  <c r="CC37" i="2" a="1"/>
  <c r="CC37" i="2" s="1"/>
  <c r="BZ37" i="2" a="1"/>
  <c r="BZ37" i="2" s="1"/>
  <c r="AR37" i="2" a="1"/>
  <c r="AR37" i="2" s="1"/>
  <c r="EU37" i="2" a="1"/>
  <c r="EU37" i="2" s="1"/>
  <c r="DL37" i="2" a="1"/>
  <c r="DL37" i="2" s="1"/>
  <c r="BL37" i="2" a="1"/>
  <c r="BL37" i="2" s="1"/>
  <c r="BH37" i="2" a="1"/>
  <c r="BH37" i="2" s="1"/>
  <c r="AV37" i="2" a="1"/>
  <c r="AV37" i="2" s="1"/>
  <c r="AY35" i="2" a="1"/>
  <c r="AY35" i="2" s="1"/>
  <c r="GB37" i="2" a="1"/>
  <c r="GB37" i="2" s="1"/>
  <c r="FY37" i="2" a="1"/>
  <c r="FY37" i="2" s="1"/>
  <c r="FJ37" i="2" a="1"/>
  <c r="FJ37" i="2" s="1"/>
  <c r="FG37" i="2" a="1"/>
  <c r="FG37" i="2" s="1"/>
  <c r="CD37" i="2" a="1"/>
  <c r="CD37" i="2" s="1"/>
  <c r="FK37" i="2" a="1"/>
  <c r="FK37" i="2" s="1"/>
  <c r="CA37" i="2" a="1"/>
  <c r="CA37" i="2" s="1"/>
  <c r="BM37" i="2" a="1"/>
  <c r="BM37" i="2" s="1"/>
  <c r="BI37" i="2" a="1"/>
  <c r="BI37" i="2" s="1"/>
  <c r="AW37" i="2" a="1"/>
  <c r="AW37" i="2" s="1"/>
  <c r="AC37" i="2" a="1"/>
  <c r="AC37" i="2" s="1"/>
  <c r="FH37" i="2" a="1"/>
  <c r="FH37" i="2" s="1"/>
  <c r="AS37" i="2" a="1"/>
  <c r="AS37" i="2" s="1"/>
  <c r="AD37" i="2" a="1"/>
  <c r="AD37" i="2" s="1"/>
  <c r="F37" i="2" a="1"/>
  <c r="F37" i="2" s="1"/>
  <c r="BO35" i="2" a="1"/>
  <c r="BO35" i="2" s="1"/>
  <c r="FZ36" i="2"/>
  <c r="DN36" i="2"/>
  <c r="B30" i="10"/>
  <c r="B31" i="8"/>
  <c r="B38" i="2"/>
  <c r="GL37" i="2" a="1"/>
  <c r="GL37" i="2" s="1"/>
  <c r="EV37" i="2" a="1"/>
  <c r="EV37" i="2" s="1"/>
  <c r="EW37" i="2" s="1"/>
  <c r="EJ37" i="2" a="1"/>
  <c r="EJ37" i="2" s="1"/>
  <c r="D31" i="8" s="1"/>
  <c r="EI37" i="2" a="1"/>
  <c r="EI37" i="2" s="1"/>
  <c r="DA37" i="2" a="1"/>
  <c r="DA37" i="2" s="1"/>
  <c r="AG37" i="2" a="1"/>
  <c r="AG37" i="2" s="1"/>
  <c r="AF37" i="2" a="1"/>
  <c r="AF37" i="2" s="1"/>
  <c r="G37" i="2" a="1"/>
  <c r="G37" i="2" s="1"/>
  <c r="H37" i="2" s="1" a="1"/>
  <c r="H37" i="2" s="1"/>
  <c r="A37" i="2"/>
  <c r="DQ37" i="2" s="1"/>
  <c r="S37" i="2" a="1"/>
  <c r="S37" i="2" s="1"/>
  <c r="DM37" i="2" a="1"/>
  <c r="DM37" i="2" s="1"/>
  <c r="Q37" i="2" a="1"/>
  <c r="Q37" i="2" s="1"/>
  <c r="N29" i="8"/>
  <c r="I36" i="2"/>
  <c r="AE36" i="2" a="1"/>
  <c r="AE36" i="2" s="1"/>
  <c r="AT36" i="2"/>
  <c r="AQ36" i="2" a="1"/>
  <c r="AQ36" i="2" s="1"/>
  <c r="BY36" i="2"/>
  <c r="CY36" i="2"/>
  <c r="DB36" i="2"/>
  <c r="ET36" i="2"/>
  <c r="AX36" i="2"/>
  <c r="AU36" i="2" a="1"/>
  <c r="AU36" i="2" s="1"/>
  <c r="BJ36" i="2"/>
  <c r="BN36" i="2"/>
  <c r="BK36" i="2"/>
  <c r="CB36" i="2"/>
  <c r="CP36" i="2"/>
  <c r="CM36" i="2"/>
  <c r="C30" i="8"/>
  <c r="EK36" i="2"/>
  <c r="E30" i="8" s="1"/>
  <c r="FI36" i="2"/>
  <c r="J30" i="8" a="1"/>
  <c r="J30" i="8" s="1"/>
  <c r="K30" i="8" s="1" a="1"/>
  <c r="K30" i="8" s="1"/>
  <c r="I30" i="8" a="1"/>
  <c r="I30" i="8" s="1"/>
  <c r="M30" i="8" s="1"/>
  <c r="G30" i="8" a="1"/>
  <c r="G30" i="8" s="1"/>
  <c r="H30" i="8" s="1" a="1"/>
  <c r="H30" i="8" s="1"/>
  <c r="F30" i="8" a="1"/>
  <c r="F30" i="8" s="1"/>
  <c r="L30" i="8" s="1"/>
  <c r="E29" i="8"/>
  <c r="O29" i="8"/>
  <c r="A29" i="10"/>
  <c r="A30" i="8"/>
  <c r="S30" i="8" s="1"/>
  <c r="GD36" i="2"/>
  <c r="FN36" i="2"/>
  <c r="FM36" i="2"/>
  <c r="DC36" i="2"/>
  <c r="CF36" i="2"/>
  <c r="AJ36" i="2"/>
  <c r="T36" i="2"/>
  <c r="J36" i="2"/>
  <c r="GN36" i="2"/>
  <c r="ES36" i="2"/>
  <c r="CQ36" i="2"/>
  <c r="BP36" i="2"/>
  <c r="AZ36" i="2"/>
  <c r="AI36" i="2"/>
  <c r="K36" i="2"/>
  <c r="DK36" i="2"/>
  <c r="FF36" i="2"/>
  <c r="FW36" i="2"/>
  <c r="CP37" i="2" l="1"/>
  <c r="EC37" i="2"/>
  <c r="GE38" i="2" a="1"/>
  <c r="GE38" i="2" s="1"/>
  <c r="GG38" i="2" a="1"/>
  <c r="GG38" i="2" s="1"/>
  <c r="GI38" i="2" a="1"/>
  <c r="GI38" i="2" s="1"/>
  <c r="FP38" i="2" a="1"/>
  <c r="FP38" i="2" s="1"/>
  <c r="FR38" i="2" a="1"/>
  <c r="FR38" i="2" s="1"/>
  <c r="FT38" i="2" a="1"/>
  <c r="FT38" i="2" s="1"/>
  <c r="GF38" i="2" a="1"/>
  <c r="GF38" i="2" s="1"/>
  <c r="GH38" i="2" a="1"/>
  <c r="GH38" i="2" s="1"/>
  <c r="GJ38" i="2" a="1"/>
  <c r="GJ38" i="2" s="1"/>
  <c r="FQ38" i="2" a="1"/>
  <c r="FQ38" i="2" s="1"/>
  <c r="FS38" i="2" a="1"/>
  <c r="FS38" i="2" s="1"/>
  <c r="FU38" i="2" a="1"/>
  <c r="FU38" i="2" s="1"/>
  <c r="EZ38" i="2" a="1"/>
  <c r="EZ38" i="2" s="1"/>
  <c r="FB38" i="2" a="1"/>
  <c r="FB38" i="2" s="1"/>
  <c r="FD38" i="2" a="1"/>
  <c r="FD38" i="2" s="1"/>
  <c r="EE38" i="2" a="1"/>
  <c r="EE38" i="2" s="1"/>
  <c r="ED38" i="2" a="1"/>
  <c r="ED38" i="2" s="1"/>
  <c r="EA38" i="2" a="1"/>
  <c r="EA38" i="2" s="1"/>
  <c r="DZ38" i="2" a="1"/>
  <c r="DZ38" i="2" s="1"/>
  <c r="EY38" i="2" a="1"/>
  <c r="EY38" i="2" s="1"/>
  <c r="FA38" i="2" a="1"/>
  <c r="FA38" i="2" s="1"/>
  <c r="FC38" i="2" a="1"/>
  <c r="FC38" i="2" s="1"/>
  <c r="FE38" i="2" a="1"/>
  <c r="FE38" i="2" s="1"/>
  <c r="DS38" i="2" a="1"/>
  <c r="DS38" i="2" s="1"/>
  <c r="DU38" i="2" a="1"/>
  <c r="DU38" i="2" s="1"/>
  <c r="DW38" i="2" a="1"/>
  <c r="DW38" i="2" s="1"/>
  <c r="DE38" i="2" a="1"/>
  <c r="DE38" i="2" s="1"/>
  <c r="DG38" i="2" a="1"/>
  <c r="DG38" i="2" s="1"/>
  <c r="DI38" i="2" a="1"/>
  <c r="DI38" i="2" s="1"/>
  <c r="DR38" i="2" a="1"/>
  <c r="DR38" i="2" s="1"/>
  <c r="DT38" i="2" a="1"/>
  <c r="DT38" i="2" s="1"/>
  <c r="DV38" i="2" a="1"/>
  <c r="DV38" i="2" s="1"/>
  <c r="DX38" i="2" a="1"/>
  <c r="DX38" i="2" s="1"/>
  <c r="DF38" i="2" a="1"/>
  <c r="DF38" i="2" s="1"/>
  <c r="DJ38" i="2" a="1"/>
  <c r="DJ38" i="2" s="1"/>
  <c r="CR38" i="2" a="1"/>
  <c r="CR38" i="2" s="1"/>
  <c r="CT38" i="2" a="1"/>
  <c r="CT38" i="2" s="1"/>
  <c r="CV38" i="2" a="1"/>
  <c r="CV38" i="2" s="1"/>
  <c r="CX38" i="2" a="1"/>
  <c r="CX38" i="2" s="1"/>
  <c r="CH38" i="2" a="1"/>
  <c r="CH38" i="2" s="1"/>
  <c r="CJ38" i="2" a="1"/>
  <c r="CJ38" i="2" s="1"/>
  <c r="CL38" i="2" a="1"/>
  <c r="CL38" i="2" s="1"/>
  <c r="BR38" i="2" a="1"/>
  <c r="BR38" i="2" s="1"/>
  <c r="BT38" i="2" a="1"/>
  <c r="BT38" i="2" s="1"/>
  <c r="BV38" i="2" a="1"/>
  <c r="BV38" i="2" s="1"/>
  <c r="BB38" i="2" a="1"/>
  <c r="BB38" i="2" s="1"/>
  <c r="BD38" i="2" a="1"/>
  <c r="BD38" i="2" s="1"/>
  <c r="BF38" i="2" a="1"/>
  <c r="BF38" i="2" s="1"/>
  <c r="AL38" i="2" a="1"/>
  <c r="AL38" i="2" s="1"/>
  <c r="AN38" i="2" a="1"/>
  <c r="AN38" i="2" s="1"/>
  <c r="AP38" i="2" a="1"/>
  <c r="AP38" i="2" s="1"/>
  <c r="DD38" i="2" a="1"/>
  <c r="DD38" i="2" s="1"/>
  <c r="DH38" i="2" a="1"/>
  <c r="DH38" i="2" s="1"/>
  <c r="CS38" i="2" a="1"/>
  <c r="CS38" i="2" s="1"/>
  <c r="CU38" i="2" a="1"/>
  <c r="CU38" i="2" s="1"/>
  <c r="CW38" i="2" a="1"/>
  <c r="CW38" i="2" s="1"/>
  <c r="CG38" i="2" a="1"/>
  <c r="CG38" i="2" s="1"/>
  <c r="CI38" i="2" a="1"/>
  <c r="CI38" i="2" s="1"/>
  <c r="CK38" i="2" a="1"/>
  <c r="CK38" i="2" s="1"/>
  <c r="BS38" i="2" a="1"/>
  <c r="BS38" i="2" s="1"/>
  <c r="BC38" i="2" a="1"/>
  <c r="BC38" i="2" s="1"/>
  <c r="AM38" i="2" a="1"/>
  <c r="AM38" i="2" s="1"/>
  <c r="V38" i="2" a="1"/>
  <c r="V38" i="2" s="1"/>
  <c r="X38" i="2" a="1"/>
  <c r="X38" i="2" s="1"/>
  <c r="Z38" i="2" a="1"/>
  <c r="Z38" i="2" s="1"/>
  <c r="M38" i="2" a="1"/>
  <c r="M38" i="2" s="1"/>
  <c r="O38" i="2" a="1"/>
  <c r="O38" i="2" s="1"/>
  <c r="BQ38" i="2" a="1"/>
  <c r="BQ38" i="2" s="1"/>
  <c r="BU38" i="2" a="1"/>
  <c r="BU38" i="2" s="1"/>
  <c r="BA38" i="2" a="1"/>
  <c r="BA38" i="2" s="1"/>
  <c r="BE38" i="2" a="1"/>
  <c r="BE38" i="2" s="1"/>
  <c r="AK38" i="2" a="1"/>
  <c r="AK38" i="2" s="1"/>
  <c r="AO38" i="2" a="1"/>
  <c r="AO38" i="2" s="1"/>
  <c r="U38" i="2" a="1"/>
  <c r="U38" i="2" s="1"/>
  <c r="W38" i="2" a="1"/>
  <c r="W38" i="2" s="1"/>
  <c r="Y38" i="2" a="1"/>
  <c r="Y38" i="2" s="1"/>
  <c r="AA38" i="2" a="1"/>
  <c r="AA38" i="2" s="1"/>
  <c r="L38" i="2" a="1"/>
  <c r="L38" i="2" s="1"/>
  <c r="N38" i="2" a="1"/>
  <c r="N38" i="2" s="1"/>
  <c r="P38" i="2" a="1"/>
  <c r="P38" i="2" s="1"/>
  <c r="CO38" i="2" a="1"/>
  <c r="CO38" i="2" s="1"/>
  <c r="EB37" i="2" a="1"/>
  <c r="EB37" i="2" s="1"/>
  <c r="DY37" i="2"/>
  <c r="EF37" i="2" a="1"/>
  <c r="EF37" i="2" s="1"/>
  <c r="DN37" i="2"/>
  <c r="DK37" i="2"/>
  <c r="D38" i="2" a="1"/>
  <c r="D38" i="2" s="1"/>
  <c r="E38" i="2" s="1" a="1"/>
  <c r="E38" i="2" s="1"/>
  <c r="GA38" i="2" a="1"/>
  <c r="GA38" i="2" s="1"/>
  <c r="C38" i="2" a="1"/>
  <c r="C38" i="2" s="1"/>
  <c r="EU38" i="2" a="1"/>
  <c r="EU38" i="2" s="1"/>
  <c r="DL38" i="2" a="1"/>
  <c r="DL38" i="2" s="1"/>
  <c r="FX38" i="2" a="1"/>
  <c r="FX38" i="2" s="1"/>
  <c r="CZ38" i="2" a="1"/>
  <c r="CZ38" i="2" s="1"/>
  <c r="CN38" i="2" a="1"/>
  <c r="CN38" i="2" s="1"/>
  <c r="CC38" i="2" a="1"/>
  <c r="CC38" i="2" s="1"/>
  <c r="BZ38" i="2" a="1"/>
  <c r="BZ38" i="2" s="1"/>
  <c r="BL38" i="2" a="1"/>
  <c r="BL38" i="2" s="1"/>
  <c r="BH38" i="2" a="1"/>
  <c r="BH38" i="2" s="1"/>
  <c r="AV38" i="2" a="1"/>
  <c r="AV38" i="2" s="1"/>
  <c r="GK38" i="2" a="1"/>
  <c r="GK38" i="2" s="1"/>
  <c r="AR38" i="2" a="1"/>
  <c r="AR38" i="2" s="1"/>
  <c r="AB37" i="2" a="1"/>
  <c r="AB37" i="2" s="1"/>
  <c r="GC36" i="2"/>
  <c r="FL36" i="2" a="1"/>
  <c r="FL36" i="2" s="1"/>
  <c r="FY38" i="2" a="1"/>
  <c r="FY38" i="2" s="1"/>
  <c r="FK38" i="2" a="1"/>
  <c r="FK38" i="2" s="1"/>
  <c r="FH38" i="2" a="1"/>
  <c r="FH38" i="2" s="1"/>
  <c r="AS38" i="2" a="1"/>
  <c r="AS38" i="2" s="1"/>
  <c r="AD38" i="2" a="1"/>
  <c r="AD38" i="2" s="1"/>
  <c r="FG38" i="2" a="1"/>
  <c r="FG38" i="2" s="1"/>
  <c r="CD38" i="2" a="1"/>
  <c r="CD38" i="2" s="1"/>
  <c r="BM38" i="2" a="1"/>
  <c r="BM38" i="2" s="1"/>
  <c r="GB38" i="2" a="1"/>
  <c r="GB38" i="2" s="1"/>
  <c r="FJ38" i="2" a="1"/>
  <c r="FJ38" i="2" s="1"/>
  <c r="CA38" i="2" a="1"/>
  <c r="CA38" i="2" s="1"/>
  <c r="BI38" i="2" a="1"/>
  <c r="BI38" i="2" s="1"/>
  <c r="AW38" i="2" a="1"/>
  <c r="AW38" i="2" s="1"/>
  <c r="AC38" i="2" a="1"/>
  <c r="AC38" i="2" s="1"/>
  <c r="F38" i="2" a="1"/>
  <c r="F38" i="2" s="1"/>
  <c r="AH36" i="2" a="1"/>
  <c r="AH36" i="2" s="1"/>
  <c r="N30" i="8"/>
  <c r="BO36" i="2" a="1"/>
  <c r="BO36" i="2" s="1"/>
  <c r="AE37" i="2" a="1"/>
  <c r="AE37" i="2" s="1"/>
  <c r="O30" i="8"/>
  <c r="CE36" i="2" a="1"/>
  <c r="CE36" i="2" s="1"/>
  <c r="AY36" i="2" a="1"/>
  <c r="AY36" i="2" s="1"/>
  <c r="P29" i="8"/>
  <c r="Q29" i="8" s="1"/>
  <c r="R29" i="8" s="1"/>
  <c r="EQ35" i="2" s="1"/>
  <c r="FW37" i="2"/>
  <c r="CB37" i="2"/>
  <c r="I37" i="2"/>
  <c r="AT37" i="2"/>
  <c r="AQ37" i="2" a="1"/>
  <c r="AQ37" i="2" s="1"/>
  <c r="BY37" i="2"/>
  <c r="DB37" i="2"/>
  <c r="CY37" i="2"/>
  <c r="ET37" i="2"/>
  <c r="FI37" i="2"/>
  <c r="FZ37" i="2"/>
  <c r="J31" i="8" a="1"/>
  <c r="J31" i="8" s="1"/>
  <c r="K31" i="8" s="1" a="1"/>
  <c r="K31" i="8" s="1"/>
  <c r="F31" i="8" a="1"/>
  <c r="F31" i="8" s="1"/>
  <c r="L31" i="8" s="1"/>
  <c r="I31" i="8" a="1"/>
  <c r="I31" i="8" s="1"/>
  <c r="M31" i="8" s="1"/>
  <c r="G31" i="8" a="1"/>
  <c r="G31" i="8" s="1"/>
  <c r="H31" i="8" s="1" a="1"/>
  <c r="H31" i="8" s="1"/>
  <c r="BK37" i="2"/>
  <c r="BN37" i="2"/>
  <c r="AU37" i="2" a="1"/>
  <c r="AU37" i="2" s="1"/>
  <c r="AX37" i="2"/>
  <c r="BJ37" i="2"/>
  <c r="CM37" i="2"/>
  <c r="FF37" i="2"/>
  <c r="A31" i="8"/>
  <c r="S31" i="8" s="1"/>
  <c r="A30" i="10"/>
  <c r="GN37" i="2"/>
  <c r="FM37" i="2"/>
  <c r="ES37" i="2"/>
  <c r="CQ37" i="2"/>
  <c r="BP37" i="2"/>
  <c r="AZ37" i="2"/>
  <c r="AI37" i="2"/>
  <c r="K37" i="2"/>
  <c r="DC37" i="2"/>
  <c r="CF37" i="2"/>
  <c r="AJ37" i="2"/>
  <c r="GD37" i="2"/>
  <c r="FN37" i="2"/>
  <c r="T37" i="2"/>
  <c r="J37" i="2"/>
  <c r="C31" i="8"/>
  <c r="EK37" i="2"/>
  <c r="B31" i="10"/>
  <c r="B32" i="8"/>
  <c r="DM38" i="2" a="1"/>
  <c r="DM38" i="2" s="1"/>
  <c r="DK38" i="2" s="1"/>
  <c r="S38" i="2" a="1"/>
  <c r="S38" i="2" s="1"/>
  <c r="Q38" i="2" a="1"/>
  <c r="Q38" i="2" s="1"/>
  <c r="EV38" i="2" a="1"/>
  <c r="EV38" i="2" s="1"/>
  <c r="EW38" i="2" s="1"/>
  <c r="EJ38" i="2" a="1"/>
  <c r="EJ38" i="2" s="1"/>
  <c r="D32" i="8" s="1"/>
  <c r="AG38" i="2" a="1"/>
  <c r="AG38" i="2" s="1"/>
  <c r="A38" i="2"/>
  <c r="DQ38" i="2" s="1"/>
  <c r="B39" i="2"/>
  <c r="GL38" i="2" a="1"/>
  <c r="GL38" i="2" s="1"/>
  <c r="FI38" i="2"/>
  <c r="EI38" i="2" a="1"/>
  <c r="EI38" i="2" s="1"/>
  <c r="DA38" i="2" a="1"/>
  <c r="DA38" i="2" s="1"/>
  <c r="AF38" i="2" a="1"/>
  <c r="AF38" i="2" s="1"/>
  <c r="G38" i="2" a="1"/>
  <c r="G38" i="2" s="1"/>
  <c r="H38" i="2" s="1" a="1"/>
  <c r="H38" i="2" s="1"/>
  <c r="CP38" i="2" l="1"/>
  <c r="GE39" i="2" a="1"/>
  <c r="GE39" i="2" s="1"/>
  <c r="GG39" i="2" a="1"/>
  <c r="GG39" i="2" s="1"/>
  <c r="GI39" i="2" a="1"/>
  <c r="GI39" i="2" s="1"/>
  <c r="FP39" i="2" a="1"/>
  <c r="FP39" i="2" s="1"/>
  <c r="FR39" i="2" a="1"/>
  <c r="FR39" i="2" s="1"/>
  <c r="FT39" i="2" a="1"/>
  <c r="FT39" i="2" s="1"/>
  <c r="GF39" i="2" a="1"/>
  <c r="GF39" i="2" s="1"/>
  <c r="GH39" i="2" a="1"/>
  <c r="GH39" i="2" s="1"/>
  <c r="GJ39" i="2" a="1"/>
  <c r="GJ39" i="2" s="1"/>
  <c r="FQ39" i="2" a="1"/>
  <c r="FQ39" i="2" s="1"/>
  <c r="FS39" i="2" a="1"/>
  <c r="FS39" i="2" s="1"/>
  <c r="FU39" i="2" a="1"/>
  <c r="FU39" i="2" s="1"/>
  <c r="EY39" i="2" a="1"/>
  <c r="EY39" i="2" s="1"/>
  <c r="FA39" i="2" a="1"/>
  <c r="FA39" i="2" s="1"/>
  <c r="FC39" i="2" a="1"/>
  <c r="FC39" i="2" s="1"/>
  <c r="FE39" i="2" a="1"/>
  <c r="FE39" i="2" s="1"/>
  <c r="EZ39" i="2" a="1"/>
  <c r="EZ39" i="2" s="1"/>
  <c r="FB39" i="2" a="1"/>
  <c r="FB39" i="2" s="1"/>
  <c r="FD39" i="2" a="1"/>
  <c r="FD39" i="2" s="1"/>
  <c r="EE39" i="2" a="1"/>
  <c r="EE39" i="2" s="1"/>
  <c r="ED39" i="2" a="1"/>
  <c r="ED39" i="2" s="1"/>
  <c r="EA39" i="2" a="1"/>
  <c r="EA39" i="2" s="1"/>
  <c r="DZ39" i="2" a="1"/>
  <c r="DZ39" i="2" s="1"/>
  <c r="DR39" i="2" a="1"/>
  <c r="DR39" i="2" s="1"/>
  <c r="DT39" i="2" a="1"/>
  <c r="DT39" i="2" s="1"/>
  <c r="DV39" i="2" a="1"/>
  <c r="DV39" i="2" s="1"/>
  <c r="DX39" i="2" a="1"/>
  <c r="DX39" i="2" s="1"/>
  <c r="DD39" i="2" a="1"/>
  <c r="DD39" i="2" s="1"/>
  <c r="DF39" i="2" a="1"/>
  <c r="DF39" i="2" s="1"/>
  <c r="DH39" i="2" a="1"/>
  <c r="DH39" i="2" s="1"/>
  <c r="DJ39" i="2" a="1"/>
  <c r="DJ39" i="2" s="1"/>
  <c r="DS39" i="2" a="1"/>
  <c r="DS39" i="2" s="1"/>
  <c r="DU39" i="2" a="1"/>
  <c r="DU39" i="2" s="1"/>
  <c r="DW39" i="2" a="1"/>
  <c r="DW39" i="2" s="1"/>
  <c r="DG39" i="2" a="1"/>
  <c r="DG39" i="2" s="1"/>
  <c r="CS39" i="2" a="1"/>
  <c r="CS39" i="2" s="1"/>
  <c r="CU39" i="2" a="1"/>
  <c r="CU39" i="2" s="1"/>
  <c r="CW39" i="2" a="1"/>
  <c r="CW39" i="2" s="1"/>
  <c r="CH39" i="2" a="1"/>
  <c r="CH39" i="2" s="1"/>
  <c r="CJ39" i="2" a="1"/>
  <c r="CJ39" i="2" s="1"/>
  <c r="CL39" i="2" a="1"/>
  <c r="CL39" i="2" s="1"/>
  <c r="BR39" i="2" a="1"/>
  <c r="BR39" i="2" s="1"/>
  <c r="BT39" i="2" a="1"/>
  <c r="BT39" i="2" s="1"/>
  <c r="BV39" i="2" a="1"/>
  <c r="BV39" i="2" s="1"/>
  <c r="BB39" i="2" a="1"/>
  <c r="BB39" i="2" s="1"/>
  <c r="BD39" i="2" a="1"/>
  <c r="BD39" i="2" s="1"/>
  <c r="BF39" i="2" a="1"/>
  <c r="BF39" i="2" s="1"/>
  <c r="AL39" i="2" a="1"/>
  <c r="AL39" i="2" s="1"/>
  <c r="AN39" i="2" a="1"/>
  <c r="AN39" i="2" s="1"/>
  <c r="AP39" i="2" a="1"/>
  <c r="AP39" i="2" s="1"/>
  <c r="DE39" i="2" a="1"/>
  <c r="DE39" i="2" s="1"/>
  <c r="DI39" i="2" a="1"/>
  <c r="DI39" i="2" s="1"/>
  <c r="CR39" i="2" a="1"/>
  <c r="CR39" i="2" s="1"/>
  <c r="CT39" i="2" a="1"/>
  <c r="CT39" i="2" s="1"/>
  <c r="CV39" i="2" a="1"/>
  <c r="CV39" i="2" s="1"/>
  <c r="CX39" i="2" a="1"/>
  <c r="CX39" i="2" s="1"/>
  <c r="CG39" i="2" a="1"/>
  <c r="CG39" i="2" s="1"/>
  <c r="CI39" i="2" a="1"/>
  <c r="CI39" i="2" s="1"/>
  <c r="CK39" i="2" a="1"/>
  <c r="CK39" i="2" s="1"/>
  <c r="BQ39" i="2" a="1"/>
  <c r="BQ39" i="2" s="1"/>
  <c r="BU39" i="2" a="1"/>
  <c r="BU39" i="2" s="1"/>
  <c r="BA39" i="2" a="1"/>
  <c r="BA39" i="2" s="1"/>
  <c r="BE39" i="2" a="1"/>
  <c r="BE39" i="2" s="1"/>
  <c r="AK39" i="2" a="1"/>
  <c r="AK39" i="2" s="1"/>
  <c r="AO39" i="2" a="1"/>
  <c r="AO39" i="2" s="1"/>
  <c r="U39" i="2" a="1"/>
  <c r="U39" i="2" s="1"/>
  <c r="W39" i="2" a="1"/>
  <c r="W39" i="2" s="1"/>
  <c r="Y39" i="2" a="1"/>
  <c r="Y39" i="2" s="1"/>
  <c r="AA39" i="2" a="1"/>
  <c r="AA39" i="2" s="1"/>
  <c r="L39" i="2" a="1"/>
  <c r="L39" i="2" s="1"/>
  <c r="N39" i="2" a="1"/>
  <c r="N39" i="2" s="1"/>
  <c r="P39" i="2" a="1"/>
  <c r="P39" i="2" s="1"/>
  <c r="BS39" i="2" a="1"/>
  <c r="BS39" i="2" s="1"/>
  <c r="BC39" i="2" a="1"/>
  <c r="BC39" i="2" s="1"/>
  <c r="AM39" i="2" a="1"/>
  <c r="AM39" i="2" s="1"/>
  <c r="V39" i="2" a="1"/>
  <c r="V39" i="2" s="1"/>
  <c r="X39" i="2" a="1"/>
  <c r="X39" i="2" s="1"/>
  <c r="Z39" i="2" a="1"/>
  <c r="Z39" i="2" s="1"/>
  <c r="M39" i="2" a="1"/>
  <c r="M39" i="2" s="1"/>
  <c r="O39" i="2" a="1"/>
  <c r="O39" i="2" s="1"/>
  <c r="CO39" i="2" a="1"/>
  <c r="CO39" i="2" s="1"/>
  <c r="DY38" i="2"/>
  <c r="EB38" i="2" a="1"/>
  <c r="EB38" i="2" s="1"/>
  <c r="EC38" i="2"/>
  <c r="EF38" i="2" a="1"/>
  <c r="EF38" i="2" s="1"/>
  <c r="D39" i="2" a="1"/>
  <c r="D39" i="2" s="1"/>
  <c r="E39" i="2" s="1" a="1"/>
  <c r="E39" i="2" s="1"/>
  <c r="AB38" i="2" a="1"/>
  <c r="AB38" i="2" s="1"/>
  <c r="C39" i="2" a="1"/>
  <c r="C39" i="2" s="1"/>
  <c r="GK39" i="2" a="1"/>
  <c r="GK39" i="2" s="1"/>
  <c r="FX39" i="2" a="1"/>
  <c r="FX39" i="2" s="1"/>
  <c r="CZ39" i="2" a="1"/>
  <c r="CZ39" i="2" s="1"/>
  <c r="CN39" i="2" a="1"/>
  <c r="CN39" i="2" s="1"/>
  <c r="CC39" i="2" a="1"/>
  <c r="CC39" i="2" s="1"/>
  <c r="BZ39" i="2" a="1"/>
  <c r="BZ39" i="2" s="1"/>
  <c r="EU39" i="2" a="1"/>
  <c r="EU39" i="2" s="1"/>
  <c r="DL39" i="2" a="1"/>
  <c r="DL39" i="2" s="1"/>
  <c r="AR39" i="2" a="1"/>
  <c r="AR39" i="2" s="1"/>
  <c r="GA39" i="2" a="1"/>
  <c r="GA39" i="2" s="1"/>
  <c r="BL39" i="2" a="1"/>
  <c r="BL39" i="2" s="1"/>
  <c r="BH39" i="2" a="1"/>
  <c r="BH39" i="2" s="1"/>
  <c r="AV39" i="2" a="1"/>
  <c r="AV39" i="2" s="1"/>
  <c r="P30" i="8"/>
  <c r="Q30" i="8" s="1"/>
  <c r="R30" i="8" s="1"/>
  <c r="EQ36" i="2" s="1"/>
  <c r="GB39" i="2" a="1"/>
  <c r="GB39" i="2" s="1"/>
  <c r="FJ39" i="2" a="1"/>
  <c r="FJ39" i="2" s="1"/>
  <c r="FG39" i="2" a="1"/>
  <c r="FG39" i="2" s="1"/>
  <c r="CD39" i="2" a="1"/>
  <c r="CD39" i="2" s="1"/>
  <c r="FY39" i="2" a="1"/>
  <c r="FY39" i="2" s="1"/>
  <c r="FH39" i="2" a="1"/>
  <c r="FH39" i="2" s="1"/>
  <c r="CA39" i="2" a="1"/>
  <c r="CA39" i="2" s="1"/>
  <c r="BM39" i="2" a="1"/>
  <c r="BM39" i="2" s="1"/>
  <c r="BI39" i="2" a="1"/>
  <c r="BI39" i="2" s="1"/>
  <c r="AW39" i="2" a="1"/>
  <c r="AW39" i="2" s="1"/>
  <c r="AC39" i="2" a="1"/>
  <c r="AC39" i="2" s="1"/>
  <c r="FK39" i="2" a="1"/>
  <c r="FK39" i="2" s="1"/>
  <c r="F39" i="2" a="1"/>
  <c r="F39" i="2" s="1"/>
  <c r="AS39" i="2" a="1"/>
  <c r="AS39" i="2" s="1"/>
  <c r="AD39" i="2" a="1"/>
  <c r="AD39" i="2" s="1"/>
  <c r="DN38" i="2"/>
  <c r="I38" i="2"/>
  <c r="A31" i="10"/>
  <c r="A32" i="8"/>
  <c r="S32" i="8" s="1"/>
  <c r="GD38" i="2"/>
  <c r="FN38" i="2"/>
  <c r="DC38" i="2"/>
  <c r="CF38" i="2"/>
  <c r="AJ38" i="2"/>
  <c r="T38" i="2"/>
  <c r="J38" i="2"/>
  <c r="GN38" i="2"/>
  <c r="ES38" i="2"/>
  <c r="CQ38" i="2"/>
  <c r="BP38" i="2"/>
  <c r="AI38" i="2"/>
  <c r="K38" i="2"/>
  <c r="FM38" i="2"/>
  <c r="AZ38" i="2"/>
  <c r="AT38" i="2"/>
  <c r="AQ38" i="2" a="1"/>
  <c r="AQ38" i="2" s="1"/>
  <c r="B32" i="10"/>
  <c r="B33" i="8"/>
  <c r="EJ39" i="2" a="1"/>
  <c r="EJ39" i="2" s="1"/>
  <c r="D33" i="8" s="1"/>
  <c r="EI39" i="2" a="1"/>
  <c r="EI39" i="2" s="1"/>
  <c r="DA39" i="2" a="1"/>
  <c r="DA39" i="2" s="1"/>
  <c r="AG39" i="2" a="1"/>
  <c r="AG39" i="2" s="1"/>
  <c r="AF39" i="2" a="1"/>
  <c r="AF39" i="2" s="1"/>
  <c r="G39" i="2" a="1"/>
  <c r="G39" i="2" s="1"/>
  <c r="H39" i="2" s="1" a="1"/>
  <c r="H39" i="2" s="1"/>
  <c r="A39" i="2"/>
  <c r="B40" i="2"/>
  <c r="GL39" i="2" a="1"/>
  <c r="GL39" i="2" s="1"/>
  <c r="DM39" i="2" a="1"/>
  <c r="DM39" i="2" s="1"/>
  <c r="DK39" i="2" s="1"/>
  <c r="Q39" i="2" a="1"/>
  <c r="Q39" i="2" s="1"/>
  <c r="EV39" i="2" a="1"/>
  <c r="EV39" i="2" s="1"/>
  <c r="EW39" i="2" s="1"/>
  <c r="S39" i="2" a="1"/>
  <c r="S39" i="2" s="1"/>
  <c r="AE38" i="2" a="1"/>
  <c r="AE38" i="2" s="1"/>
  <c r="ET38" i="2"/>
  <c r="AX38" i="2"/>
  <c r="AU38" i="2" a="1"/>
  <c r="AU38" i="2" s="1"/>
  <c r="BJ38" i="2"/>
  <c r="BN38" i="2"/>
  <c r="BK38" i="2"/>
  <c r="CB38" i="2"/>
  <c r="CM38" i="2"/>
  <c r="J32" i="8" a="1"/>
  <c r="J32" i="8" s="1"/>
  <c r="K32" i="8" s="1" a="1"/>
  <c r="K32" i="8" s="1"/>
  <c r="I32" i="8" a="1"/>
  <c r="I32" i="8" s="1"/>
  <c r="M32" i="8" s="1"/>
  <c r="G32" i="8" a="1"/>
  <c r="G32" i="8" s="1"/>
  <c r="H32" i="8" s="1" a="1"/>
  <c r="H32" i="8" s="1"/>
  <c r="F32" i="8" a="1"/>
  <c r="F32" i="8" s="1"/>
  <c r="L32" i="8" s="1"/>
  <c r="E31" i="8"/>
  <c r="FL37" i="2" a="1"/>
  <c r="FL37" i="2" s="1"/>
  <c r="BO37" i="2" a="1"/>
  <c r="BO37" i="2" s="1"/>
  <c r="N31" i="8"/>
  <c r="AY37" i="2" a="1"/>
  <c r="AY37" i="2" s="1"/>
  <c r="AH37" i="2" a="1"/>
  <c r="AH37" i="2" s="1"/>
  <c r="GC37" i="2"/>
  <c r="CY38" i="2"/>
  <c r="DB38" i="2"/>
  <c r="C32" i="8"/>
  <c r="EK38" i="2"/>
  <c r="E32" i="8" s="1"/>
  <c r="BY38" i="2"/>
  <c r="FZ38" i="2"/>
  <c r="FF38" i="2"/>
  <c r="FW38" i="2"/>
  <c r="O31" i="8"/>
  <c r="CE37" i="2" a="1"/>
  <c r="CE37" i="2" s="1"/>
  <c r="CB39" i="2" l="1"/>
  <c r="CP39" i="2"/>
  <c r="EF39" i="2" a="1"/>
  <c r="EF39" i="2" s="1"/>
  <c r="DY39" i="2"/>
  <c r="EB39" i="2" a="1"/>
  <c r="EB39" i="2" s="1"/>
  <c r="FL38" i="2" a="1"/>
  <c r="FL38" i="2" s="1"/>
  <c r="GE40" i="2" a="1"/>
  <c r="GE40" i="2" s="1"/>
  <c r="GG40" i="2" a="1"/>
  <c r="GG40" i="2" s="1"/>
  <c r="GI40" i="2" a="1"/>
  <c r="GI40" i="2" s="1"/>
  <c r="FP40" i="2" a="1"/>
  <c r="FP40" i="2" s="1"/>
  <c r="FR40" i="2" a="1"/>
  <c r="FR40" i="2" s="1"/>
  <c r="FT40" i="2" a="1"/>
  <c r="FT40" i="2" s="1"/>
  <c r="GF40" i="2" a="1"/>
  <c r="GF40" i="2" s="1"/>
  <c r="GH40" i="2" a="1"/>
  <c r="GH40" i="2" s="1"/>
  <c r="GJ40" i="2" a="1"/>
  <c r="GJ40" i="2" s="1"/>
  <c r="FQ40" i="2" a="1"/>
  <c r="FQ40" i="2" s="1"/>
  <c r="FS40" i="2" a="1"/>
  <c r="FS40" i="2" s="1"/>
  <c r="FU40" i="2" a="1"/>
  <c r="FU40" i="2" s="1"/>
  <c r="EZ40" i="2" a="1"/>
  <c r="EZ40" i="2" s="1"/>
  <c r="FB40" i="2" a="1"/>
  <c r="FB40" i="2" s="1"/>
  <c r="FD40" i="2" a="1"/>
  <c r="FD40" i="2" s="1"/>
  <c r="EE40" i="2" a="1"/>
  <c r="EE40" i="2" s="1"/>
  <c r="ED40" i="2" a="1"/>
  <c r="ED40" i="2" s="1"/>
  <c r="EA40" i="2" a="1"/>
  <c r="EA40" i="2" s="1"/>
  <c r="DZ40" i="2" a="1"/>
  <c r="DZ40" i="2" s="1"/>
  <c r="EY40" i="2" a="1"/>
  <c r="EY40" i="2" s="1"/>
  <c r="FA40" i="2" a="1"/>
  <c r="FA40" i="2" s="1"/>
  <c r="FC40" i="2" a="1"/>
  <c r="FC40" i="2" s="1"/>
  <c r="FE40" i="2" a="1"/>
  <c r="FE40" i="2" s="1"/>
  <c r="DS40" i="2" a="1"/>
  <c r="DS40" i="2" s="1"/>
  <c r="DU40" i="2" a="1"/>
  <c r="DU40" i="2" s="1"/>
  <c r="DW40" i="2" a="1"/>
  <c r="DW40" i="2" s="1"/>
  <c r="DE40" i="2" a="1"/>
  <c r="DE40" i="2" s="1"/>
  <c r="DG40" i="2" a="1"/>
  <c r="DG40" i="2" s="1"/>
  <c r="DI40" i="2" a="1"/>
  <c r="DI40" i="2" s="1"/>
  <c r="DR40" i="2" a="1"/>
  <c r="DR40" i="2" s="1"/>
  <c r="DT40" i="2" a="1"/>
  <c r="DT40" i="2" s="1"/>
  <c r="DV40" i="2" a="1"/>
  <c r="DV40" i="2" s="1"/>
  <c r="DX40" i="2" a="1"/>
  <c r="DX40" i="2" s="1"/>
  <c r="DD40" i="2" a="1"/>
  <c r="DD40" i="2" s="1"/>
  <c r="DH40" i="2" a="1"/>
  <c r="DH40" i="2" s="1"/>
  <c r="CR40" i="2" a="1"/>
  <c r="CR40" i="2" s="1"/>
  <c r="CT40" i="2" a="1"/>
  <c r="CT40" i="2" s="1"/>
  <c r="CV40" i="2" a="1"/>
  <c r="CV40" i="2" s="1"/>
  <c r="CX40" i="2" a="1"/>
  <c r="CX40" i="2" s="1"/>
  <c r="CH40" i="2" a="1"/>
  <c r="CH40" i="2" s="1"/>
  <c r="CJ40" i="2" a="1"/>
  <c r="CJ40" i="2" s="1"/>
  <c r="CL40" i="2" a="1"/>
  <c r="CL40" i="2" s="1"/>
  <c r="BR40" i="2" a="1"/>
  <c r="BR40" i="2" s="1"/>
  <c r="BT40" i="2" a="1"/>
  <c r="BT40" i="2" s="1"/>
  <c r="BV40" i="2" a="1"/>
  <c r="BV40" i="2" s="1"/>
  <c r="BB40" i="2" a="1"/>
  <c r="BB40" i="2" s="1"/>
  <c r="BD40" i="2" a="1"/>
  <c r="BD40" i="2" s="1"/>
  <c r="BF40" i="2" a="1"/>
  <c r="BF40" i="2" s="1"/>
  <c r="AL40" i="2" a="1"/>
  <c r="AL40" i="2" s="1"/>
  <c r="AN40" i="2" a="1"/>
  <c r="AN40" i="2" s="1"/>
  <c r="AP40" i="2" a="1"/>
  <c r="AP40" i="2" s="1"/>
  <c r="DF40" i="2" a="1"/>
  <c r="DF40" i="2" s="1"/>
  <c r="DJ40" i="2" a="1"/>
  <c r="DJ40" i="2" s="1"/>
  <c r="CS40" i="2" a="1"/>
  <c r="CS40" i="2" s="1"/>
  <c r="CU40" i="2" a="1"/>
  <c r="CU40" i="2" s="1"/>
  <c r="CW40" i="2" a="1"/>
  <c r="CW40" i="2" s="1"/>
  <c r="CG40" i="2" a="1"/>
  <c r="CG40" i="2" s="1"/>
  <c r="CI40" i="2" a="1"/>
  <c r="CI40" i="2" s="1"/>
  <c r="CK40" i="2" a="1"/>
  <c r="CK40" i="2" s="1"/>
  <c r="BS40" i="2" a="1"/>
  <c r="BS40" i="2" s="1"/>
  <c r="BC40" i="2" a="1"/>
  <c r="BC40" i="2" s="1"/>
  <c r="AM40" i="2" a="1"/>
  <c r="AM40" i="2" s="1"/>
  <c r="V40" i="2" a="1"/>
  <c r="V40" i="2" s="1"/>
  <c r="X40" i="2" a="1"/>
  <c r="X40" i="2" s="1"/>
  <c r="Z40" i="2" a="1"/>
  <c r="Z40" i="2" s="1"/>
  <c r="M40" i="2" a="1"/>
  <c r="M40" i="2" s="1"/>
  <c r="O40" i="2" a="1"/>
  <c r="O40" i="2" s="1"/>
  <c r="BQ40" i="2" a="1"/>
  <c r="BQ40" i="2" s="1"/>
  <c r="BU40" i="2" a="1"/>
  <c r="BU40" i="2" s="1"/>
  <c r="BA40" i="2" a="1"/>
  <c r="BA40" i="2" s="1"/>
  <c r="BE40" i="2" a="1"/>
  <c r="BE40" i="2" s="1"/>
  <c r="AK40" i="2" a="1"/>
  <c r="AK40" i="2" s="1"/>
  <c r="AO40" i="2" a="1"/>
  <c r="AO40" i="2" s="1"/>
  <c r="U40" i="2" a="1"/>
  <c r="U40" i="2" s="1"/>
  <c r="W40" i="2" a="1"/>
  <c r="W40" i="2" s="1"/>
  <c r="Y40" i="2" a="1"/>
  <c r="Y40" i="2" s="1"/>
  <c r="AA40" i="2" a="1"/>
  <c r="AA40" i="2" s="1"/>
  <c r="L40" i="2" a="1"/>
  <c r="L40" i="2" s="1"/>
  <c r="N40" i="2" a="1"/>
  <c r="N40" i="2" s="1"/>
  <c r="P40" i="2" a="1"/>
  <c r="P40" i="2" s="1"/>
  <c r="CO40" i="2" a="1"/>
  <c r="CO40" i="2" s="1"/>
  <c r="EC39" i="2"/>
  <c r="FZ39" i="2"/>
  <c r="D40" i="2" a="1"/>
  <c r="D40" i="2" s="1"/>
  <c r="E40" i="2" s="1" a="1"/>
  <c r="E40" i="2" s="1"/>
  <c r="C40" i="2" a="1"/>
  <c r="C40" i="2" s="1"/>
  <c r="GK40" i="2" a="1"/>
  <c r="GK40" i="2" s="1"/>
  <c r="GA40" i="2" a="1"/>
  <c r="GA40" i="2" s="1"/>
  <c r="FX40" i="2" a="1"/>
  <c r="FX40" i="2" s="1"/>
  <c r="EU40" i="2" a="1"/>
  <c r="EU40" i="2" s="1"/>
  <c r="DL40" i="2" a="1"/>
  <c r="DL40" i="2" s="1"/>
  <c r="BL40" i="2" a="1"/>
  <c r="BL40" i="2" s="1"/>
  <c r="BH40" i="2" a="1"/>
  <c r="BH40" i="2" s="1"/>
  <c r="AV40" i="2" a="1"/>
  <c r="AV40" i="2" s="1"/>
  <c r="CZ40" i="2" a="1"/>
  <c r="CZ40" i="2" s="1"/>
  <c r="CN40" i="2" a="1"/>
  <c r="CN40" i="2" s="1"/>
  <c r="CP40" i="2" s="1"/>
  <c r="CC40" i="2" a="1"/>
  <c r="CC40" i="2" s="1"/>
  <c r="BZ40" i="2" a="1"/>
  <c r="BZ40" i="2" s="1"/>
  <c r="AR40" i="2" a="1"/>
  <c r="AR40" i="2" s="1"/>
  <c r="AB39" i="2" a="1"/>
  <c r="AB39" i="2" s="1"/>
  <c r="FY40" i="2" a="1"/>
  <c r="FY40" i="2" s="1"/>
  <c r="GB40" i="2" a="1"/>
  <c r="GB40" i="2" s="1"/>
  <c r="FK40" i="2" a="1"/>
  <c r="FK40" i="2" s="1"/>
  <c r="FH40" i="2" a="1"/>
  <c r="FH40" i="2" s="1"/>
  <c r="FJ40" i="2" a="1"/>
  <c r="FJ40" i="2" s="1"/>
  <c r="FG40" i="2" a="1"/>
  <c r="FG40" i="2" s="1"/>
  <c r="CD40" i="2" a="1"/>
  <c r="CD40" i="2" s="1"/>
  <c r="AS40" i="2" a="1"/>
  <c r="AS40" i="2" s="1"/>
  <c r="AD40" i="2" a="1"/>
  <c r="AD40" i="2" s="1"/>
  <c r="CA40" i="2" a="1"/>
  <c r="CA40" i="2" s="1"/>
  <c r="BI40" i="2" a="1"/>
  <c r="BI40" i="2" s="1"/>
  <c r="AW40" i="2" a="1"/>
  <c r="AW40" i="2" s="1"/>
  <c r="AC40" i="2" a="1"/>
  <c r="AC40" i="2" s="1"/>
  <c r="AB40" i="2" s="1" a="1"/>
  <c r="AB40" i="2" s="1"/>
  <c r="BM40" i="2" a="1"/>
  <c r="BM40" i="2" s="1"/>
  <c r="F40" i="2" a="1"/>
  <c r="F40" i="2" s="1"/>
  <c r="BJ39" i="2"/>
  <c r="DN39" i="2"/>
  <c r="DQ39" i="2"/>
  <c r="N32" i="8"/>
  <c r="AE39" i="2" a="1"/>
  <c r="AE39" i="2" s="1"/>
  <c r="GC38" i="2"/>
  <c r="CE38" i="2" a="1"/>
  <c r="CE38" i="2" s="1"/>
  <c r="AH38" i="2" a="1"/>
  <c r="AH38" i="2" s="1"/>
  <c r="P31" i="8"/>
  <c r="Q31" i="8" s="1"/>
  <c r="R31" i="8" s="1"/>
  <c r="EQ37" i="2" s="1"/>
  <c r="O32" i="8"/>
  <c r="BO38" i="2" a="1"/>
  <c r="BO38" i="2" s="1"/>
  <c r="AX39" i="2"/>
  <c r="AU39" i="2" a="1"/>
  <c r="AU39" i="2" s="1"/>
  <c r="CM39" i="2"/>
  <c r="ET39" i="2"/>
  <c r="BK39" i="2"/>
  <c r="BN39" i="2"/>
  <c r="B33" i="10"/>
  <c r="B34" i="8"/>
  <c r="EJ40" i="2" a="1"/>
  <c r="EJ40" i="2" s="1"/>
  <c r="D34" i="8" s="1"/>
  <c r="EI40" i="2" a="1"/>
  <c r="EI40" i="2" s="1"/>
  <c r="DA40" i="2" a="1"/>
  <c r="DA40" i="2" s="1"/>
  <c r="AG40" i="2" a="1"/>
  <c r="AG40" i="2" s="1"/>
  <c r="AF40" i="2" a="1"/>
  <c r="AF40" i="2" s="1"/>
  <c r="G40" i="2" a="1"/>
  <c r="G40" i="2" s="1"/>
  <c r="H40" i="2" s="1" a="1"/>
  <c r="H40" i="2" s="1"/>
  <c r="A40" i="2"/>
  <c r="DQ40" i="2" s="1"/>
  <c r="EV40" i="2" a="1"/>
  <c r="EV40" i="2" s="1"/>
  <c r="EW40" i="2" s="1"/>
  <c r="S40" i="2" a="1"/>
  <c r="S40" i="2" s="1"/>
  <c r="B41" i="2"/>
  <c r="GL40" i="2" a="1"/>
  <c r="GL40" i="2" s="1"/>
  <c r="DM40" i="2" a="1"/>
  <c r="DM40" i="2" s="1"/>
  <c r="DK40" i="2" s="1"/>
  <c r="Q40" i="2" a="1"/>
  <c r="Q40" i="2" s="1"/>
  <c r="I39" i="2"/>
  <c r="K39" i="2" s="1"/>
  <c r="AT39" i="2"/>
  <c r="AQ39" i="2" a="1"/>
  <c r="AQ39" i="2" s="1"/>
  <c r="BY39" i="2"/>
  <c r="DB39" i="2"/>
  <c r="CY39" i="2"/>
  <c r="FF39" i="2"/>
  <c r="FW39" i="2"/>
  <c r="AY38" i="2" a="1"/>
  <c r="AY38" i="2" s="1"/>
  <c r="FI39" i="2"/>
  <c r="A33" i="8"/>
  <c r="A32" i="10"/>
  <c r="GD39" i="2"/>
  <c r="CQ39" i="2"/>
  <c r="BP39" i="2"/>
  <c r="AZ39" i="2"/>
  <c r="T39" i="2"/>
  <c r="GN39" i="2"/>
  <c r="DC39" i="2"/>
  <c r="C33" i="8"/>
  <c r="EK39" i="2"/>
  <c r="E33" i="8" s="1"/>
  <c r="I33" i="8" a="1"/>
  <c r="I33" i="8" s="1"/>
  <c r="M33" i="8" s="1"/>
  <c r="G33" i="8" a="1"/>
  <c r="G33" i="8" s="1"/>
  <c r="H33" i="8" s="1" a="1"/>
  <c r="H33" i="8" s="1"/>
  <c r="J33" i="8" a="1"/>
  <c r="J33" i="8" s="1"/>
  <c r="K33" i="8" s="1" a="1"/>
  <c r="K33" i="8" s="1"/>
  <c r="F33" i="8" a="1"/>
  <c r="F33" i="8" s="1"/>
  <c r="L33" i="8" s="1"/>
  <c r="FI40" i="2" l="1"/>
  <c r="GE41" i="2" a="1"/>
  <c r="GE41" i="2" s="1"/>
  <c r="GG41" i="2" a="1"/>
  <c r="GG41" i="2" s="1"/>
  <c r="GI41" i="2" a="1"/>
  <c r="GI41" i="2" s="1"/>
  <c r="FP41" i="2" a="1"/>
  <c r="FP41" i="2" s="1"/>
  <c r="FR41" i="2" a="1"/>
  <c r="FR41" i="2" s="1"/>
  <c r="FT41" i="2" a="1"/>
  <c r="FT41" i="2" s="1"/>
  <c r="GF41" i="2" a="1"/>
  <c r="GF41" i="2" s="1"/>
  <c r="GH41" i="2" a="1"/>
  <c r="GH41" i="2" s="1"/>
  <c r="GJ41" i="2" a="1"/>
  <c r="GJ41" i="2" s="1"/>
  <c r="FQ41" i="2" a="1"/>
  <c r="FQ41" i="2" s="1"/>
  <c r="FS41" i="2" a="1"/>
  <c r="FS41" i="2" s="1"/>
  <c r="FU41" i="2" a="1"/>
  <c r="FU41" i="2" s="1"/>
  <c r="EY41" i="2" a="1"/>
  <c r="EY41" i="2" s="1"/>
  <c r="FA41" i="2" a="1"/>
  <c r="FA41" i="2" s="1"/>
  <c r="FC41" i="2" a="1"/>
  <c r="FC41" i="2" s="1"/>
  <c r="FE41" i="2" a="1"/>
  <c r="FE41" i="2" s="1"/>
  <c r="EZ41" i="2" a="1"/>
  <c r="EZ41" i="2" s="1"/>
  <c r="FB41" i="2" a="1"/>
  <c r="FB41" i="2" s="1"/>
  <c r="FD41" i="2" a="1"/>
  <c r="FD41" i="2" s="1"/>
  <c r="EE41" i="2" a="1"/>
  <c r="EE41" i="2" s="1"/>
  <c r="ED41" i="2" a="1"/>
  <c r="ED41" i="2" s="1"/>
  <c r="EA41" i="2" a="1"/>
  <c r="EA41" i="2" s="1"/>
  <c r="DZ41" i="2" a="1"/>
  <c r="DZ41" i="2" s="1"/>
  <c r="DR41" i="2" a="1"/>
  <c r="DR41" i="2" s="1"/>
  <c r="DT41" i="2" a="1"/>
  <c r="DT41" i="2" s="1"/>
  <c r="DV41" i="2" a="1"/>
  <c r="DV41" i="2" s="1"/>
  <c r="DX41" i="2" a="1"/>
  <c r="DX41" i="2" s="1"/>
  <c r="DD41" i="2" a="1"/>
  <c r="DD41" i="2" s="1"/>
  <c r="DF41" i="2" a="1"/>
  <c r="DF41" i="2" s="1"/>
  <c r="DH41" i="2" a="1"/>
  <c r="DH41" i="2" s="1"/>
  <c r="DJ41" i="2" a="1"/>
  <c r="DJ41" i="2" s="1"/>
  <c r="DS41" i="2" a="1"/>
  <c r="DS41" i="2" s="1"/>
  <c r="DU41" i="2" a="1"/>
  <c r="DU41" i="2" s="1"/>
  <c r="DW41" i="2" a="1"/>
  <c r="DW41" i="2" s="1"/>
  <c r="DE41" i="2" a="1"/>
  <c r="DE41" i="2" s="1"/>
  <c r="DI41" i="2" a="1"/>
  <c r="DI41" i="2" s="1"/>
  <c r="CS41" i="2" a="1"/>
  <c r="CS41" i="2" s="1"/>
  <c r="CU41" i="2" a="1"/>
  <c r="CU41" i="2" s="1"/>
  <c r="CW41" i="2" a="1"/>
  <c r="CW41" i="2" s="1"/>
  <c r="CH41" i="2" a="1"/>
  <c r="CH41" i="2" s="1"/>
  <c r="CJ41" i="2" a="1"/>
  <c r="CJ41" i="2" s="1"/>
  <c r="CL41" i="2" a="1"/>
  <c r="CL41" i="2" s="1"/>
  <c r="BR41" i="2" a="1"/>
  <c r="BR41" i="2" s="1"/>
  <c r="BT41" i="2" a="1"/>
  <c r="BT41" i="2" s="1"/>
  <c r="BV41" i="2" a="1"/>
  <c r="BV41" i="2" s="1"/>
  <c r="BB41" i="2" a="1"/>
  <c r="BB41" i="2" s="1"/>
  <c r="BD41" i="2" a="1"/>
  <c r="BD41" i="2" s="1"/>
  <c r="BF41" i="2" a="1"/>
  <c r="BF41" i="2" s="1"/>
  <c r="AL41" i="2" a="1"/>
  <c r="AL41" i="2" s="1"/>
  <c r="AN41" i="2" a="1"/>
  <c r="AN41" i="2" s="1"/>
  <c r="AP41" i="2" a="1"/>
  <c r="AP41" i="2" s="1"/>
  <c r="DG41" i="2" a="1"/>
  <c r="DG41" i="2" s="1"/>
  <c r="CR41" i="2" a="1"/>
  <c r="CR41" i="2" s="1"/>
  <c r="CT41" i="2" a="1"/>
  <c r="CT41" i="2" s="1"/>
  <c r="CV41" i="2" a="1"/>
  <c r="CV41" i="2" s="1"/>
  <c r="CX41" i="2" a="1"/>
  <c r="CX41" i="2" s="1"/>
  <c r="CG41" i="2" a="1"/>
  <c r="CG41" i="2" s="1"/>
  <c r="CI41" i="2" a="1"/>
  <c r="CI41" i="2" s="1"/>
  <c r="CK41" i="2" a="1"/>
  <c r="CK41" i="2" s="1"/>
  <c r="BQ41" i="2" a="1"/>
  <c r="BQ41" i="2" s="1"/>
  <c r="BU41" i="2" a="1"/>
  <c r="BU41" i="2" s="1"/>
  <c r="BA41" i="2" a="1"/>
  <c r="BA41" i="2" s="1"/>
  <c r="BE41" i="2" a="1"/>
  <c r="BE41" i="2" s="1"/>
  <c r="AK41" i="2" a="1"/>
  <c r="AK41" i="2" s="1"/>
  <c r="AO41" i="2" a="1"/>
  <c r="AO41" i="2" s="1"/>
  <c r="U41" i="2" a="1"/>
  <c r="U41" i="2" s="1"/>
  <c r="W41" i="2" a="1"/>
  <c r="W41" i="2" s="1"/>
  <c r="Y41" i="2" a="1"/>
  <c r="Y41" i="2" s="1"/>
  <c r="AA41" i="2" a="1"/>
  <c r="AA41" i="2" s="1"/>
  <c r="L41" i="2" a="1"/>
  <c r="L41" i="2" s="1"/>
  <c r="N41" i="2" a="1"/>
  <c r="N41" i="2" s="1"/>
  <c r="P41" i="2" a="1"/>
  <c r="P41" i="2" s="1"/>
  <c r="BS41" i="2" a="1"/>
  <c r="BS41" i="2" s="1"/>
  <c r="BC41" i="2" a="1"/>
  <c r="BC41" i="2" s="1"/>
  <c r="AM41" i="2" a="1"/>
  <c r="AM41" i="2" s="1"/>
  <c r="V41" i="2" a="1"/>
  <c r="V41" i="2" s="1"/>
  <c r="X41" i="2" a="1"/>
  <c r="X41" i="2" s="1"/>
  <c r="Z41" i="2" a="1"/>
  <c r="Z41" i="2" s="1"/>
  <c r="M41" i="2" a="1"/>
  <c r="M41" i="2" s="1"/>
  <c r="O41" i="2" a="1"/>
  <c r="O41" i="2" s="1"/>
  <c r="CO41" i="2" a="1"/>
  <c r="CO41" i="2" s="1"/>
  <c r="EB40" i="2" a="1"/>
  <c r="EB40" i="2" s="1"/>
  <c r="DY40" i="2"/>
  <c r="EC40" i="2"/>
  <c r="EF40" i="2" a="1"/>
  <c r="EF40" i="2" s="1"/>
  <c r="P32" i="8"/>
  <c r="Q32" i="8" s="1"/>
  <c r="R32" i="8" s="1"/>
  <c r="EQ38" i="2" s="1"/>
  <c r="J39" i="2"/>
  <c r="D41" i="2" a="1"/>
  <c r="D41" i="2" s="1"/>
  <c r="E41" i="2" s="1" a="1"/>
  <c r="E41" i="2" s="1"/>
  <c r="C41" i="2" a="1"/>
  <c r="C41" i="2" s="1"/>
  <c r="GK41" i="2" a="1"/>
  <c r="GK41" i="2" s="1"/>
  <c r="FX41" i="2" a="1"/>
  <c r="FX41" i="2" s="1"/>
  <c r="GA41" i="2" a="1"/>
  <c r="GA41" i="2" s="1"/>
  <c r="CZ41" i="2" a="1"/>
  <c r="CZ41" i="2" s="1"/>
  <c r="CN41" i="2" a="1"/>
  <c r="CN41" i="2" s="1"/>
  <c r="CC41" i="2" a="1"/>
  <c r="CC41" i="2" s="1"/>
  <c r="BZ41" i="2" a="1"/>
  <c r="BZ41" i="2" s="1"/>
  <c r="AR41" i="2" a="1"/>
  <c r="AR41" i="2" s="1"/>
  <c r="EU41" i="2" a="1"/>
  <c r="EU41" i="2" s="1"/>
  <c r="DL41" i="2" a="1"/>
  <c r="DL41" i="2" s="1"/>
  <c r="BL41" i="2" a="1"/>
  <c r="BL41" i="2" s="1"/>
  <c r="BH41" i="2" a="1"/>
  <c r="BH41" i="2" s="1"/>
  <c r="AV41" i="2" a="1"/>
  <c r="AV41" i="2" s="1"/>
  <c r="GB41" i="2" a="1"/>
  <c r="GB41" i="2" s="1"/>
  <c r="FY41" i="2" a="1"/>
  <c r="FY41" i="2" s="1"/>
  <c r="FJ41" i="2" a="1"/>
  <c r="FJ41" i="2" s="1"/>
  <c r="FG41" i="2" a="1"/>
  <c r="FG41" i="2" s="1"/>
  <c r="CD41" i="2" a="1"/>
  <c r="CD41" i="2" s="1"/>
  <c r="CB41" i="2" s="1"/>
  <c r="FK41" i="2" a="1"/>
  <c r="FK41" i="2" s="1"/>
  <c r="CA41" i="2" a="1"/>
  <c r="CA41" i="2" s="1"/>
  <c r="BM41" i="2" a="1"/>
  <c r="BM41" i="2" s="1"/>
  <c r="BI41" i="2" a="1"/>
  <c r="BI41" i="2" s="1"/>
  <c r="AW41" i="2" a="1"/>
  <c r="AW41" i="2" s="1"/>
  <c r="AC41" i="2" a="1"/>
  <c r="AC41" i="2" s="1"/>
  <c r="AS41" i="2" a="1"/>
  <c r="AS41" i="2" s="1"/>
  <c r="AD41" i="2" a="1"/>
  <c r="AD41" i="2" s="1"/>
  <c r="F41" i="2" a="1"/>
  <c r="F41" i="2" s="1"/>
  <c r="FH41" i="2" a="1"/>
  <c r="FH41" i="2" s="1"/>
  <c r="BO39" i="2" a="1"/>
  <c r="BO39" i="2" s="1"/>
  <c r="DN40" i="2"/>
  <c r="N33" i="8"/>
  <c r="O33" i="8"/>
  <c r="GC39" i="2"/>
  <c r="CE39" i="2" a="1"/>
  <c r="CE39" i="2" s="1"/>
  <c r="CF39" i="2" s="1"/>
  <c r="AY39" i="2" a="1"/>
  <c r="AY39" i="2" s="1"/>
  <c r="AH39" i="2" a="1"/>
  <c r="AH39" i="2" s="1"/>
  <c r="BK40" i="2"/>
  <c r="BN40" i="2"/>
  <c r="B34" i="10"/>
  <c r="B35" i="8"/>
  <c r="EJ41" i="2" a="1"/>
  <c r="EJ41" i="2" s="1"/>
  <c r="D35" i="8" s="1"/>
  <c r="EI41" i="2" a="1"/>
  <c r="EI41" i="2" s="1"/>
  <c r="DA41" i="2" a="1"/>
  <c r="DA41" i="2" s="1"/>
  <c r="AG41" i="2" a="1"/>
  <c r="AG41" i="2" s="1"/>
  <c r="AF41" i="2" a="1"/>
  <c r="AF41" i="2" s="1"/>
  <c r="G41" i="2" a="1"/>
  <c r="G41" i="2" s="1"/>
  <c r="H41" i="2" s="1" a="1"/>
  <c r="H41" i="2" s="1"/>
  <c r="A41" i="2"/>
  <c r="DQ41" i="2" s="1"/>
  <c r="B42" i="2"/>
  <c r="GL41" i="2" a="1"/>
  <c r="GL41" i="2" s="1"/>
  <c r="DM41" i="2" a="1"/>
  <c r="DM41" i="2" s="1"/>
  <c r="DK41" i="2" s="1"/>
  <c r="Q41" i="2" a="1"/>
  <c r="Q41" i="2" s="1"/>
  <c r="EV41" i="2" a="1"/>
  <c r="EV41" i="2" s="1"/>
  <c r="EW41" i="2" s="1"/>
  <c r="S41" i="2" a="1"/>
  <c r="S41" i="2" s="1"/>
  <c r="CB40" i="2"/>
  <c r="FZ40" i="2"/>
  <c r="I40" i="2"/>
  <c r="AE40" i="2" a="1"/>
  <c r="AE40" i="2" s="1"/>
  <c r="AT40" i="2"/>
  <c r="AQ40" i="2" a="1"/>
  <c r="AQ40" i="2" s="1"/>
  <c r="BY40" i="2"/>
  <c r="DB40" i="2"/>
  <c r="CY40" i="2"/>
  <c r="FF40" i="2"/>
  <c r="FW40" i="2"/>
  <c r="FL39" i="2" a="1"/>
  <c r="FL39" i="2" s="1"/>
  <c r="AU40" i="2" a="1"/>
  <c r="AU40" i="2" s="1"/>
  <c r="AX40" i="2"/>
  <c r="BJ40" i="2"/>
  <c r="CM40" i="2"/>
  <c r="ET40" i="2"/>
  <c r="A33" i="10"/>
  <c r="A34" i="8"/>
  <c r="S34" i="8" s="1"/>
  <c r="ER40" i="2" s="1"/>
  <c r="GD40" i="2"/>
  <c r="FN40" i="2"/>
  <c r="CQ40" i="2"/>
  <c r="BP40" i="2"/>
  <c r="AZ40" i="2"/>
  <c r="AI40" i="2"/>
  <c r="K40" i="2"/>
  <c r="GN40" i="2"/>
  <c r="ES40" i="2"/>
  <c r="DC40" i="2"/>
  <c r="CF40" i="2"/>
  <c r="AJ40" i="2"/>
  <c r="FM40" i="2"/>
  <c r="T40" i="2"/>
  <c r="J40" i="2"/>
  <c r="C34" i="8"/>
  <c r="EK40" i="2"/>
  <c r="J34" i="8" a="1"/>
  <c r="J34" i="8" s="1"/>
  <c r="K34" i="8" s="1" a="1"/>
  <c r="K34" i="8" s="1"/>
  <c r="I34" i="8" a="1"/>
  <c r="I34" i="8" s="1"/>
  <c r="M34" i="8" s="1"/>
  <c r="G34" i="8" a="1"/>
  <c r="G34" i="8" s="1"/>
  <c r="H34" i="8" s="1" a="1"/>
  <c r="H34" i="8" s="1"/>
  <c r="F34" i="8" a="1"/>
  <c r="F34" i="8" s="1"/>
  <c r="L34" i="8" s="1"/>
  <c r="FZ41" i="2" l="1"/>
  <c r="CP41" i="2"/>
  <c r="EC41" i="2"/>
  <c r="EB41" i="2" a="1"/>
  <c r="EB41" i="2" s="1"/>
  <c r="DY41" i="2"/>
  <c r="EF41" i="2" a="1"/>
  <c r="EF41" i="2" s="1"/>
  <c r="GE42" i="2" a="1"/>
  <c r="GE42" i="2" s="1"/>
  <c r="GG42" i="2" a="1"/>
  <c r="GG42" i="2" s="1"/>
  <c r="GI42" i="2" a="1"/>
  <c r="GI42" i="2" s="1"/>
  <c r="FP42" i="2" a="1"/>
  <c r="FP42" i="2" s="1"/>
  <c r="FR42" i="2" a="1"/>
  <c r="FR42" i="2" s="1"/>
  <c r="FT42" i="2" a="1"/>
  <c r="FT42" i="2" s="1"/>
  <c r="GF42" i="2" a="1"/>
  <c r="GF42" i="2" s="1"/>
  <c r="GH42" i="2" a="1"/>
  <c r="GH42" i="2" s="1"/>
  <c r="GJ42" i="2" a="1"/>
  <c r="GJ42" i="2" s="1"/>
  <c r="FQ42" i="2" a="1"/>
  <c r="FQ42" i="2" s="1"/>
  <c r="FS42" i="2" a="1"/>
  <c r="FS42" i="2" s="1"/>
  <c r="FU42" i="2" a="1"/>
  <c r="FU42" i="2" s="1"/>
  <c r="EZ42" i="2" a="1"/>
  <c r="EZ42" i="2" s="1"/>
  <c r="FB42" i="2" a="1"/>
  <c r="FB42" i="2" s="1"/>
  <c r="FD42" i="2" a="1"/>
  <c r="FD42" i="2" s="1"/>
  <c r="EE42" i="2" a="1"/>
  <c r="EE42" i="2" s="1"/>
  <c r="ED42" i="2" a="1"/>
  <c r="ED42" i="2" s="1"/>
  <c r="EA42" i="2" a="1"/>
  <c r="EA42" i="2" s="1"/>
  <c r="DZ42" i="2" a="1"/>
  <c r="DZ42" i="2" s="1"/>
  <c r="EY42" i="2" a="1"/>
  <c r="EY42" i="2" s="1"/>
  <c r="FA42" i="2" a="1"/>
  <c r="FA42" i="2" s="1"/>
  <c r="FC42" i="2" a="1"/>
  <c r="FC42" i="2" s="1"/>
  <c r="FE42" i="2" a="1"/>
  <c r="FE42" i="2" s="1"/>
  <c r="DS42" i="2" a="1"/>
  <c r="DS42" i="2" s="1"/>
  <c r="DU42" i="2" a="1"/>
  <c r="DU42" i="2" s="1"/>
  <c r="DW42" i="2" a="1"/>
  <c r="DW42" i="2" s="1"/>
  <c r="DE42" i="2" a="1"/>
  <c r="DE42" i="2" s="1"/>
  <c r="DG42" i="2" a="1"/>
  <c r="DG42" i="2" s="1"/>
  <c r="DI42" i="2" a="1"/>
  <c r="DI42" i="2" s="1"/>
  <c r="DR42" i="2" a="1"/>
  <c r="DR42" i="2" s="1"/>
  <c r="DT42" i="2" a="1"/>
  <c r="DT42" i="2" s="1"/>
  <c r="DV42" i="2" a="1"/>
  <c r="DV42" i="2" s="1"/>
  <c r="DX42" i="2" a="1"/>
  <c r="DX42" i="2" s="1"/>
  <c r="DF42" i="2" a="1"/>
  <c r="DF42" i="2" s="1"/>
  <c r="DJ42" i="2" a="1"/>
  <c r="DJ42" i="2" s="1"/>
  <c r="CR42" i="2" a="1"/>
  <c r="CR42" i="2" s="1"/>
  <c r="CT42" i="2" a="1"/>
  <c r="CT42" i="2" s="1"/>
  <c r="CV42" i="2" a="1"/>
  <c r="CV42" i="2" s="1"/>
  <c r="CX42" i="2" a="1"/>
  <c r="CX42" i="2" s="1"/>
  <c r="CH42" i="2" a="1"/>
  <c r="CH42" i="2" s="1"/>
  <c r="CJ42" i="2" a="1"/>
  <c r="CJ42" i="2" s="1"/>
  <c r="CL42" i="2" a="1"/>
  <c r="CL42" i="2" s="1"/>
  <c r="BR42" i="2" a="1"/>
  <c r="BR42" i="2" s="1"/>
  <c r="BT42" i="2" a="1"/>
  <c r="BT42" i="2" s="1"/>
  <c r="BV42" i="2" a="1"/>
  <c r="BV42" i="2" s="1"/>
  <c r="BB42" i="2" a="1"/>
  <c r="BB42" i="2" s="1"/>
  <c r="BD42" i="2" a="1"/>
  <c r="BD42" i="2" s="1"/>
  <c r="BF42" i="2" a="1"/>
  <c r="BF42" i="2" s="1"/>
  <c r="AL42" i="2" a="1"/>
  <c r="AL42" i="2" s="1"/>
  <c r="AN42" i="2" a="1"/>
  <c r="AN42" i="2" s="1"/>
  <c r="AP42" i="2" a="1"/>
  <c r="AP42" i="2" s="1"/>
  <c r="DD42" i="2" a="1"/>
  <c r="DD42" i="2" s="1"/>
  <c r="DH42" i="2" a="1"/>
  <c r="DH42" i="2" s="1"/>
  <c r="CS42" i="2" a="1"/>
  <c r="CS42" i="2" s="1"/>
  <c r="CU42" i="2" a="1"/>
  <c r="CU42" i="2" s="1"/>
  <c r="CW42" i="2" a="1"/>
  <c r="CW42" i="2" s="1"/>
  <c r="CG42" i="2" a="1"/>
  <c r="CG42" i="2" s="1"/>
  <c r="CI42" i="2" a="1"/>
  <c r="CI42" i="2" s="1"/>
  <c r="CK42" i="2" a="1"/>
  <c r="CK42" i="2" s="1"/>
  <c r="BS42" i="2" a="1"/>
  <c r="BS42" i="2" s="1"/>
  <c r="BC42" i="2" a="1"/>
  <c r="BC42" i="2" s="1"/>
  <c r="AM42" i="2" a="1"/>
  <c r="AM42" i="2" s="1"/>
  <c r="V42" i="2" a="1"/>
  <c r="V42" i="2" s="1"/>
  <c r="X42" i="2" a="1"/>
  <c r="X42" i="2" s="1"/>
  <c r="Z42" i="2" a="1"/>
  <c r="Z42" i="2" s="1"/>
  <c r="M42" i="2" a="1"/>
  <c r="M42" i="2" s="1"/>
  <c r="O42" i="2" a="1"/>
  <c r="O42" i="2" s="1"/>
  <c r="BQ42" i="2" a="1"/>
  <c r="BQ42" i="2" s="1"/>
  <c r="BU42" i="2" a="1"/>
  <c r="BU42" i="2" s="1"/>
  <c r="BA42" i="2" a="1"/>
  <c r="BA42" i="2" s="1"/>
  <c r="BE42" i="2" a="1"/>
  <c r="BE42" i="2" s="1"/>
  <c r="AK42" i="2" a="1"/>
  <c r="AK42" i="2" s="1"/>
  <c r="AO42" i="2" a="1"/>
  <c r="AO42" i="2" s="1"/>
  <c r="U42" i="2" a="1"/>
  <c r="U42" i="2" s="1"/>
  <c r="W42" i="2" a="1"/>
  <c r="W42" i="2" s="1"/>
  <c r="Y42" i="2" a="1"/>
  <c r="Y42" i="2" s="1"/>
  <c r="AA42" i="2" a="1"/>
  <c r="AA42" i="2" s="1"/>
  <c r="L42" i="2" a="1"/>
  <c r="L42" i="2" s="1"/>
  <c r="N42" i="2" a="1"/>
  <c r="N42" i="2" s="1"/>
  <c r="P42" i="2" a="1"/>
  <c r="P42" i="2" s="1"/>
  <c r="CO42" i="2" a="1"/>
  <c r="CO42" i="2" s="1"/>
  <c r="D42" i="2" a="1"/>
  <c r="D42" i="2" s="1"/>
  <c r="E42" i="2" s="1" a="1"/>
  <c r="E42" i="2" s="1"/>
  <c r="GA42" i="2" a="1"/>
  <c r="GA42" i="2" s="1"/>
  <c r="GK42" i="2" a="1"/>
  <c r="GK42" i="2" s="1"/>
  <c r="EU42" i="2" a="1"/>
  <c r="EU42" i="2" s="1"/>
  <c r="DL42" i="2" a="1"/>
  <c r="DL42" i="2" s="1"/>
  <c r="CZ42" i="2" a="1"/>
  <c r="CZ42" i="2" s="1"/>
  <c r="CN42" i="2" a="1"/>
  <c r="CN42" i="2" s="1"/>
  <c r="CC42" i="2" a="1"/>
  <c r="CC42" i="2" s="1"/>
  <c r="BZ42" i="2" a="1"/>
  <c r="BZ42" i="2" s="1"/>
  <c r="BL42" i="2" a="1"/>
  <c r="BL42" i="2" s="1"/>
  <c r="BH42" i="2" a="1"/>
  <c r="BH42" i="2" s="1"/>
  <c r="AV42" i="2" a="1"/>
  <c r="AV42" i="2" s="1"/>
  <c r="C42" i="2" a="1"/>
  <c r="C42" i="2" s="1"/>
  <c r="FX42" i="2" a="1"/>
  <c r="FX42" i="2" s="1"/>
  <c r="AR42" i="2" a="1"/>
  <c r="AR42" i="2" s="1"/>
  <c r="AB41" i="2" a="1"/>
  <c r="AB41" i="2" s="1"/>
  <c r="FY42" i="2" a="1"/>
  <c r="FY42" i="2" s="1"/>
  <c r="FK42" i="2" a="1"/>
  <c r="FK42" i="2" s="1"/>
  <c r="FH42" i="2" a="1"/>
  <c r="FH42" i="2" s="1"/>
  <c r="GB42" i="2" a="1"/>
  <c r="GB42" i="2" s="1"/>
  <c r="AS42" i="2" a="1"/>
  <c r="AS42" i="2" s="1"/>
  <c r="AD42" i="2" a="1"/>
  <c r="AD42" i="2" s="1"/>
  <c r="FJ42" i="2" a="1"/>
  <c r="FJ42" i="2" s="1"/>
  <c r="BM42" i="2" a="1"/>
  <c r="BM42" i="2" s="1"/>
  <c r="FG42" i="2" a="1"/>
  <c r="FG42" i="2" s="1"/>
  <c r="CD42" i="2" a="1"/>
  <c r="CD42" i="2" s="1"/>
  <c r="CA42" i="2" a="1"/>
  <c r="CA42" i="2" s="1"/>
  <c r="BI42" i="2" a="1"/>
  <c r="BI42" i="2" s="1"/>
  <c r="AW42" i="2" a="1"/>
  <c r="AW42" i="2" s="1"/>
  <c r="AC42" i="2" a="1"/>
  <c r="AC42" i="2" s="1"/>
  <c r="AB42" i="2" s="1" a="1"/>
  <c r="AB42" i="2" s="1"/>
  <c r="F42" i="2" a="1"/>
  <c r="F42" i="2" s="1"/>
  <c r="DN41" i="2"/>
  <c r="N34" i="8"/>
  <c r="BJ41" i="2"/>
  <c r="E34" i="8"/>
  <c r="FL40" i="2" a="1"/>
  <c r="FL40" i="2" s="1"/>
  <c r="CE40" i="2" a="1"/>
  <c r="CE40" i="2" s="1"/>
  <c r="AH40" i="2" a="1"/>
  <c r="AH40" i="2" s="1"/>
  <c r="FI41" i="2"/>
  <c r="A35" i="8"/>
  <c r="S35" i="8" s="1"/>
  <c r="ER41" i="2" s="1"/>
  <c r="A34" i="10"/>
  <c r="GD41" i="2"/>
  <c r="FN41" i="2"/>
  <c r="CQ41" i="2"/>
  <c r="BP41" i="2"/>
  <c r="AZ41" i="2"/>
  <c r="AI41" i="2"/>
  <c r="K41" i="2"/>
  <c r="FM41" i="2"/>
  <c r="T41" i="2"/>
  <c r="J41" i="2"/>
  <c r="GN41" i="2"/>
  <c r="ES41" i="2"/>
  <c r="DC41" i="2"/>
  <c r="CF41" i="2"/>
  <c r="AJ41" i="2"/>
  <c r="C35" i="8"/>
  <c r="EK41" i="2"/>
  <c r="E35" i="8" s="1"/>
  <c r="J35" i="8" a="1"/>
  <c r="J35" i="8" s="1"/>
  <c r="K35" i="8" s="1" a="1"/>
  <c r="K35" i="8" s="1"/>
  <c r="F35" i="8" a="1"/>
  <c r="F35" i="8" s="1"/>
  <c r="L35" i="8" s="1"/>
  <c r="G35" i="8" a="1"/>
  <c r="G35" i="8" s="1"/>
  <c r="H35" i="8" s="1" a="1"/>
  <c r="H35" i="8" s="1"/>
  <c r="I35" i="8" a="1"/>
  <c r="I35" i="8" s="1"/>
  <c r="M35" i="8" s="1"/>
  <c r="AI39" i="2"/>
  <c r="AJ39" i="2"/>
  <c r="P33" i="8"/>
  <c r="Q33" i="8" s="1"/>
  <c r="R33" i="8" s="1"/>
  <c r="O34" i="8"/>
  <c r="BO40" i="2" a="1"/>
  <c r="BO40" i="2" s="1"/>
  <c r="FM39" i="2"/>
  <c r="FN39" i="2"/>
  <c r="GC40" i="2"/>
  <c r="AY40" i="2" a="1"/>
  <c r="AY40" i="2" s="1"/>
  <c r="AX41" i="2"/>
  <c r="AU41" i="2" a="1"/>
  <c r="AU41" i="2" s="1"/>
  <c r="CM41" i="2"/>
  <c r="ET41" i="2"/>
  <c r="BK41" i="2"/>
  <c r="BN41" i="2"/>
  <c r="B35" i="10"/>
  <c r="B36" i="8"/>
  <c r="EJ42" i="2" a="1"/>
  <c r="EJ42" i="2" s="1"/>
  <c r="D36" i="8" s="1"/>
  <c r="EI42" i="2" a="1"/>
  <c r="EI42" i="2" s="1"/>
  <c r="DA42" i="2" a="1"/>
  <c r="DA42" i="2" s="1"/>
  <c r="AG42" i="2" a="1"/>
  <c r="AG42" i="2" s="1"/>
  <c r="AF42" i="2" a="1"/>
  <c r="AF42" i="2" s="1"/>
  <c r="G42" i="2" a="1"/>
  <c r="G42" i="2" s="1"/>
  <c r="H42" i="2" s="1" a="1"/>
  <c r="H42" i="2" s="1"/>
  <c r="A42" i="2"/>
  <c r="DQ42" i="2" s="1"/>
  <c r="EV42" i="2" a="1"/>
  <c r="EV42" i="2" s="1"/>
  <c r="EW42" i="2" s="1"/>
  <c r="S42" i="2" a="1"/>
  <c r="S42" i="2" s="1"/>
  <c r="B43" i="2"/>
  <c r="GL42" i="2" a="1"/>
  <c r="GL42" i="2" s="1"/>
  <c r="DM42" i="2" a="1"/>
  <c r="DM42" i="2" s="1"/>
  <c r="DK42" i="2" s="1"/>
  <c r="Q42" i="2" a="1"/>
  <c r="Q42" i="2" s="1"/>
  <c r="I41" i="2"/>
  <c r="AH41" i="2" a="1"/>
  <c r="AH41" i="2" s="1"/>
  <c r="AE41" i="2" a="1"/>
  <c r="AE41" i="2" s="1"/>
  <c r="AT41" i="2"/>
  <c r="AY41" i="2" s="1" a="1"/>
  <c r="AY41" i="2" s="1"/>
  <c r="AQ41" i="2" a="1"/>
  <c r="AQ41" i="2" s="1"/>
  <c r="CE41" i="2" a="1"/>
  <c r="CE41" i="2" s="1"/>
  <c r="BY41" i="2"/>
  <c r="DB41" i="2"/>
  <c r="CY41" i="2"/>
  <c r="FF41" i="2"/>
  <c r="FL41" i="2" a="1"/>
  <c r="FL41" i="2" s="1"/>
  <c r="GC41" i="2"/>
  <c r="FW41" i="2"/>
  <c r="BO41" i="2" l="1" a="1"/>
  <c r="BO41" i="2" s="1"/>
  <c r="CP42" i="2"/>
  <c r="GE43" i="2" a="1"/>
  <c r="GE43" i="2" s="1"/>
  <c r="GG43" i="2" a="1"/>
  <c r="GG43" i="2" s="1"/>
  <c r="GI43" i="2" a="1"/>
  <c r="GI43" i="2" s="1"/>
  <c r="FP43" i="2" a="1"/>
  <c r="FP43" i="2" s="1"/>
  <c r="FR43" i="2" a="1"/>
  <c r="FR43" i="2" s="1"/>
  <c r="FT43" i="2" a="1"/>
  <c r="FT43" i="2" s="1"/>
  <c r="GF43" i="2" a="1"/>
  <c r="GF43" i="2" s="1"/>
  <c r="GH43" i="2" a="1"/>
  <c r="GH43" i="2" s="1"/>
  <c r="GJ43" i="2" a="1"/>
  <c r="GJ43" i="2" s="1"/>
  <c r="FQ43" i="2" a="1"/>
  <c r="FQ43" i="2" s="1"/>
  <c r="FS43" i="2" a="1"/>
  <c r="FS43" i="2" s="1"/>
  <c r="FU43" i="2" a="1"/>
  <c r="FU43" i="2" s="1"/>
  <c r="EY43" i="2" a="1"/>
  <c r="EY43" i="2" s="1"/>
  <c r="FA43" i="2" a="1"/>
  <c r="FA43" i="2" s="1"/>
  <c r="FC43" i="2" a="1"/>
  <c r="FC43" i="2" s="1"/>
  <c r="FE43" i="2" a="1"/>
  <c r="FE43" i="2" s="1"/>
  <c r="EZ43" i="2" a="1"/>
  <c r="EZ43" i="2" s="1"/>
  <c r="FB43" i="2" a="1"/>
  <c r="FB43" i="2" s="1"/>
  <c r="FD43" i="2" a="1"/>
  <c r="FD43" i="2" s="1"/>
  <c r="EE43" i="2" a="1"/>
  <c r="EE43" i="2" s="1"/>
  <c r="ED43" i="2" a="1"/>
  <c r="ED43" i="2" s="1"/>
  <c r="EA43" i="2" a="1"/>
  <c r="EA43" i="2" s="1"/>
  <c r="DZ43" i="2" a="1"/>
  <c r="DZ43" i="2" s="1"/>
  <c r="DR43" i="2" a="1"/>
  <c r="DR43" i="2" s="1"/>
  <c r="DT43" i="2" a="1"/>
  <c r="DT43" i="2" s="1"/>
  <c r="DV43" i="2" a="1"/>
  <c r="DV43" i="2" s="1"/>
  <c r="DX43" i="2" a="1"/>
  <c r="DX43" i="2" s="1"/>
  <c r="DD43" i="2" a="1"/>
  <c r="DD43" i="2" s="1"/>
  <c r="DF43" i="2" a="1"/>
  <c r="DF43" i="2" s="1"/>
  <c r="DH43" i="2" a="1"/>
  <c r="DH43" i="2" s="1"/>
  <c r="DJ43" i="2" a="1"/>
  <c r="DJ43" i="2" s="1"/>
  <c r="DS43" i="2" a="1"/>
  <c r="DS43" i="2" s="1"/>
  <c r="DU43" i="2" a="1"/>
  <c r="DU43" i="2" s="1"/>
  <c r="DW43" i="2" a="1"/>
  <c r="DW43" i="2" s="1"/>
  <c r="DG43" i="2" a="1"/>
  <c r="DG43" i="2" s="1"/>
  <c r="CS43" i="2" a="1"/>
  <c r="CS43" i="2" s="1"/>
  <c r="CU43" i="2" a="1"/>
  <c r="CU43" i="2" s="1"/>
  <c r="CW43" i="2" a="1"/>
  <c r="CW43" i="2" s="1"/>
  <c r="CO43" i="2" a="1"/>
  <c r="CO43" i="2" s="1"/>
  <c r="CH43" i="2" a="1"/>
  <c r="CH43" i="2" s="1"/>
  <c r="CJ43" i="2" a="1"/>
  <c r="CJ43" i="2" s="1"/>
  <c r="CL43" i="2" a="1"/>
  <c r="CL43" i="2" s="1"/>
  <c r="BR43" i="2" a="1"/>
  <c r="BR43" i="2" s="1"/>
  <c r="BT43" i="2" a="1"/>
  <c r="BT43" i="2" s="1"/>
  <c r="BV43" i="2" a="1"/>
  <c r="BV43" i="2" s="1"/>
  <c r="BB43" i="2" a="1"/>
  <c r="BB43" i="2" s="1"/>
  <c r="BD43" i="2" a="1"/>
  <c r="BD43" i="2" s="1"/>
  <c r="BF43" i="2" a="1"/>
  <c r="BF43" i="2" s="1"/>
  <c r="AL43" i="2" a="1"/>
  <c r="AL43" i="2" s="1"/>
  <c r="AN43" i="2" a="1"/>
  <c r="AN43" i="2" s="1"/>
  <c r="AP43" i="2" a="1"/>
  <c r="AP43" i="2" s="1"/>
  <c r="DE43" i="2" a="1"/>
  <c r="DE43" i="2" s="1"/>
  <c r="DI43" i="2" a="1"/>
  <c r="DI43" i="2" s="1"/>
  <c r="CR43" i="2" a="1"/>
  <c r="CR43" i="2" s="1"/>
  <c r="CT43" i="2" a="1"/>
  <c r="CT43" i="2" s="1"/>
  <c r="CV43" i="2" a="1"/>
  <c r="CV43" i="2" s="1"/>
  <c r="CX43" i="2" a="1"/>
  <c r="CX43" i="2" s="1"/>
  <c r="CG43" i="2" a="1"/>
  <c r="CG43" i="2" s="1"/>
  <c r="CI43" i="2" a="1"/>
  <c r="CI43" i="2" s="1"/>
  <c r="CK43" i="2" a="1"/>
  <c r="CK43" i="2" s="1"/>
  <c r="BQ43" i="2" a="1"/>
  <c r="BQ43" i="2" s="1"/>
  <c r="BU43" i="2" a="1"/>
  <c r="BU43" i="2" s="1"/>
  <c r="BA43" i="2" a="1"/>
  <c r="BA43" i="2" s="1"/>
  <c r="BE43" i="2" a="1"/>
  <c r="BE43" i="2" s="1"/>
  <c r="AK43" i="2" a="1"/>
  <c r="AK43" i="2" s="1"/>
  <c r="AO43" i="2" a="1"/>
  <c r="AO43" i="2" s="1"/>
  <c r="U43" i="2" a="1"/>
  <c r="U43" i="2" s="1"/>
  <c r="W43" i="2" a="1"/>
  <c r="W43" i="2" s="1"/>
  <c r="Y43" i="2" a="1"/>
  <c r="Y43" i="2" s="1"/>
  <c r="AA43" i="2" a="1"/>
  <c r="AA43" i="2" s="1"/>
  <c r="L43" i="2" a="1"/>
  <c r="L43" i="2" s="1"/>
  <c r="N43" i="2" a="1"/>
  <c r="N43" i="2" s="1"/>
  <c r="P43" i="2" a="1"/>
  <c r="P43" i="2" s="1"/>
  <c r="BS43" i="2" a="1"/>
  <c r="BS43" i="2" s="1"/>
  <c r="BC43" i="2" a="1"/>
  <c r="BC43" i="2" s="1"/>
  <c r="AM43" i="2" a="1"/>
  <c r="AM43" i="2" s="1"/>
  <c r="V43" i="2" a="1"/>
  <c r="V43" i="2" s="1"/>
  <c r="X43" i="2" a="1"/>
  <c r="X43" i="2" s="1"/>
  <c r="Z43" i="2" a="1"/>
  <c r="Z43" i="2" s="1"/>
  <c r="M43" i="2" a="1"/>
  <c r="M43" i="2" s="1"/>
  <c r="O43" i="2" a="1"/>
  <c r="O43" i="2" s="1"/>
  <c r="DY42" i="2"/>
  <c r="EB42" i="2" a="1"/>
  <c r="EB42" i="2" s="1"/>
  <c r="EC42" i="2"/>
  <c r="EF42" i="2" a="1"/>
  <c r="EF42" i="2" s="1"/>
  <c r="D43" i="2" a="1"/>
  <c r="D43" i="2" s="1"/>
  <c r="E43" i="2" s="1" a="1"/>
  <c r="E43" i="2" s="1"/>
  <c r="P34" i="8"/>
  <c r="Q34" i="8" s="1"/>
  <c r="R34" i="8" s="1"/>
  <c r="EQ40" i="2" s="1"/>
  <c r="C43" i="2" a="1"/>
  <c r="C43" i="2" s="1"/>
  <c r="GK43" i="2" a="1"/>
  <c r="GK43" i="2" s="1"/>
  <c r="FX43" i="2" a="1"/>
  <c r="FX43" i="2" s="1"/>
  <c r="CZ43" i="2" a="1"/>
  <c r="CZ43" i="2" s="1"/>
  <c r="CN43" i="2" a="1"/>
  <c r="CN43" i="2" s="1"/>
  <c r="CP43" i="2" s="1"/>
  <c r="CC43" i="2" a="1"/>
  <c r="CC43" i="2" s="1"/>
  <c r="BZ43" i="2" a="1"/>
  <c r="BZ43" i="2" s="1"/>
  <c r="GA43" i="2" a="1"/>
  <c r="GA43" i="2" s="1"/>
  <c r="EU43" i="2" a="1"/>
  <c r="EU43" i="2" s="1"/>
  <c r="DL43" i="2" a="1"/>
  <c r="DL43" i="2" s="1"/>
  <c r="AR43" i="2" a="1"/>
  <c r="AR43" i="2" s="1"/>
  <c r="BL43" i="2" a="1"/>
  <c r="BL43" i="2" s="1"/>
  <c r="BH43" i="2" a="1"/>
  <c r="BH43" i="2" s="1"/>
  <c r="AV43" i="2" a="1"/>
  <c r="AV43" i="2" s="1"/>
  <c r="GB43" i="2" a="1"/>
  <c r="GB43" i="2" s="1"/>
  <c r="FJ43" i="2" a="1"/>
  <c r="FJ43" i="2" s="1"/>
  <c r="FG43" i="2" a="1"/>
  <c r="FG43" i="2" s="1"/>
  <c r="CD43" i="2" a="1"/>
  <c r="CD43" i="2" s="1"/>
  <c r="FH43" i="2" a="1"/>
  <c r="FH43" i="2" s="1"/>
  <c r="CA43" i="2" a="1"/>
  <c r="CA43" i="2" s="1"/>
  <c r="BM43" i="2" a="1"/>
  <c r="BM43" i="2" s="1"/>
  <c r="BI43" i="2" a="1"/>
  <c r="BI43" i="2" s="1"/>
  <c r="AW43" i="2" a="1"/>
  <c r="AW43" i="2" s="1"/>
  <c r="AX43" i="2" s="1"/>
  <c r="AC43" i="2" a="1"/>
  <c r="AC43" i="2" s="1"/>
  <c r="F43" i="2" a="1"/>
  <c r="F43" i="2" s="1"/>
  <c r="FY43" i="2" a="1"/>
  <c r="FY43" i="2" s="1"/>
  <c r="FK43" i="2" a="1"/>
  <c r="FK43" i="2" s="1"/>
  <c r="AS43" i="2" a="1"/>
  <c r="AS43" i="2" s="1"/>
  <c r="AD43" i="2" a="1"/>
  <c r="AD43" i="2" s="1"/>
  <c r="DN42" i="2"/>
  <c r="AE42" i="2" a="1"/>
  <c r="AE42" i="2" s="1"/>
  <c r="FZ42" i="2"/>
  <c r="BK42" i="2"/>
  <c r="BN42" i="2"/>
  <c r="CB42" i="2"/>
  <c r="FI42" i="2"/>
  <c r="AU42" i="2" a="1"/>
  <c r="AU42" i="2" s="1"/>
  <c r="AX42" i="2"/>
  <c r="BJ42" i="2"/>
  <c r="CM42" i="2"/>
  <c r="ET42" i="2"/>
  <c r="A35" i="10"/>
  <c r="A36" i="8"/>
  <c r="S36" i="8" s="1"/>
  <c r="ER42" i="2" s="1"/>
  <c r="GD42" i="2"/>
  <c r="FN42" i="2"/>
  <c r="CQ42" i="2"/>
  <c r="BP42" i="2"/>
  <c r="BP54" i="2" s="1"/>
  <c r="BP55" i="2" s="1"/>
  <c r="AF6" i="16" s="1"/>
  <c r="AZ42" i="2"/>
  <c r="AI42" i="2"/>
  <c r="K42" i="2"/>
  <c r="GN42" i="2"/>
  <c r="ES42" i="2"/>
  <c r="DC42" i="2"/>
  <c r="DC54" i="2" s="1"/>
  <c r="DC55" i="2" s="1"/>
  <c r="AF11" i="16" s="1"/>
  <c r="CF42" i="2"/>
  <c r="AJ42" i="2"/>
  <c r="FM42" i="2"/>
  <c r="DQ54" i="2"/>
  <c r="DQ55" i="2" s="1"/>
  <c r="AF12" i="16" s="1"/>
  <c r="T42" i="2"/>
  <c r="J42" i="2"/>
  <c r="C36" i="8"/>
  <c r="EK42" i="2"/>
  <c r="E36" i="8" s="1"/>
  <c r="J36" i="8" a="1"/>
  <c r="J36" i="8" s="1"/>
  <c r="K36" i="8" s="1" a="1"/>
  <c r="K36" i="8" s="1"/>
  <c r="I36" i="8" a="1"/>
  <c r="I36" i="8" s="1"/>
  <c r="M36" i="8" s="1"/>
  <c r="G36" i="8" a="1"/>
  <c r="G36" i="8" s="1"/>
  <c r="H36" i="8" s="1" a="1"/>
  <c r="H36" i="8" s="1"/>
  <c r="F36" i="8" a="1"/>
  <c r="F36" i="8" s="1"/>
  <c r="L36" i="8" s="1"/>
  <c r="N35" i="8"/>
  <c r="B37" i="8"/>
  <c r="B44" i="2"/>
  <c r="GL43" i="2" a="1"/>
  <c r="GL43" i="2" s="1"/>
  <c r="EV43" i="2" a="1"/>
  <c r="EV43" i="2" s="1"/>
  <c r="EW43" i="2" s="1"/>
  <c r="EJ43" i="2" a="1"/>
  <c r="EJ43" i="2" s="1"/>
  <c r="D37" i="8" s="1"/>
  <c r="EI43" i="2" a="1"/>
  <c r="EI43" i="2" s="1"/>
  <c r="DM43" i="2" a="1"/>
  <c r="DM43" i="2" s="1"/>
  <c r="DK43" i="2" s="1"/>
  <c r="AG43" i="2" a="1"/>
  <c r="AG43" i="2" s="1"/>
  <c r="AF43" i="2" a="1"/>
  <c r="AF43" i="2" s="1"/>
  <c r="G43" i="2" a="1"/>
  <c r="G43" i="2" s="1"/>
  <c r="H43" i="2" s="1" a="1"/>
  <c r="H43" i="2" s="1"/>
  <c r="A43" i="2"/>
  <c r="DA43" i="2" a="1"/>
  <c r="DA43" i="2" s="1"/>
  <c r="S43" i="2" a="1"/>
  <c r="S43" i="2" s="1"/>
  <c r="BJ43" i="2"/>
  <c r="I42" i="2"/>
  <c r="AT42" i="2"/>
  <c r="AY42" i="2" s="1" a="1"/>
  <c r="AY42" i="2" s="1"/>
  <c r="AQ42" i="2" a="1"/>
  <c r="AQ42" i="2" s="1"/>
  <c r="BY42" i="2"/>
  <c r="DB42" i="2"/>
  <c r="CY42" i="2"/>
  <c r="FL42" i="2" a="1"/>
  <c r="FL42" i="2" s="1"/>
  <c r="FF42" i="2"/>
  <c r="FW42" i="2"/>
  <c r="EQ39" i="2"/>
  <c r="S33" i="8"/>
  <c r="ER39" i="2" s="1"/>
  <c r="O35" i="8"/>
  <c r="GC42" i="2" l="1"/>
  <c r="CE42" i="2" a="1"/>
  <c r="CE42" i="2" s="1"/>
  <c r="AH42" i="2" a="1"/>
  <c r="AH42" i="2" s="1"/>
  <c r="EC43" i="2"/>
  <c r="DY43" i="2"/>
  <c r="EB43" i="2" a="1"/>
  <c r="EB43" i="2" s="1"/>
  <c r="EF43" i="2" a="1"/>
  <c r="EF43" i="2" s="1"/>
  <c r="GE44" i="2" a="1"/>
  <c r="GE44" i="2" s="1"/>
  <c r="GG44" i="2" a="1"/>
  <c r="GG44" i="2" s="1"/>
  <c r="GI44" i="2" a="1"/>
  <c r="GI44" i="2" s="1"/>
  <c r="FP44" i="2" a="1"/>
  <c r="FP44" i="2" s="1"/>
  <c r="FR44" i="2" a="1"/>
  <c r="FR44" i="2" s="1"/>
  <c r="FT44" i="2" a="1"/>
  <c r="FT44" i="2" s="1"/>
  <c r="GF44" i="2" a="1"/>
  <c r="GF44" i="2" s="1"/>
  <c r="GH44" i="2" a="1"/>
  <c r="GH44" i="2" s="1"/>
  <c r="GJ44" i="2" a="1"/>
  <c r="GJ44" i="2" s="1"/>
  <c r="FQ44" i="2" a="1"/>
  <c r="FQ44" i="2" s="1"/>
  <c r="FS44" i="2" a="1"/>
  <c r="FS44" i="2" s="1"/>
  <c r="FU44" i="2" a="1"/>
  <c r="FU44" i="2" s="1"/>
  <c r="EZ44" i="2" a="1"/>
  <c r="EZ44" i="2" s="1"/>
  <c r="FB44" i="2" a="1"/>
  <c r="FB44" i="2" s="1"/>
  <c r="FD44" i="2" a="1"/>
  <c r="FD44" i="2" s="1"/>
  <c r="EE44" i="2" a="1"/>
  <c r="EE44" i="2" s="1"/>
  <c r="ED44" i="2" a="1"/>
  <c r="ED44" i="2" s="1"/>
  <c r="EA44" i="2" a="1"/>
  <c r="EA44" i="2" s="1"/>
  <c r="DZ44" i="2" a="1"/>
  <c r="DZ44" i="2" s="1"/>
  <c r="EY44" i="2" a="1"/>
  <c r="EY44" i="2" s="1"/>
  <c r="FA44" i="2" a="1"/>
  <c r="FA44" i="2" s="1"/>
  <c r="FC44" i="2" a="1"/>
  <c r="FC44" i="2" s="1"/>
  <c r="FE44" i="2" a="1"/>
  <c r="FE44" i="2" s="1"/>
  <c r="DS44" i="2" a="1"/>
  <c r="DS44" i="2" s="1"/>
  <c r="DU44" i="2" a="1"/>
  <c r="DU44" i="2" s="1"/>
  <c r="DW44" i="2" a="1"/>
  <c r="DW44" i="2" s="1"/>
  <c r="DE44" i="2" a="1"/>
  <c r="DE44" i="2" s="1"/>
  <c r="DG44" i="2" a="1"/>
  <c r="DG44" i="2" s="1"/>
  <c r="DI44" i="2" a="1"/>
  <c r="DI44" i="2" s="1"/>
  <c r="DR44" i="2" a="1"/>
  <c r="DR44" i="2" s="1"/>
  <c r="DT44" i="2" a="1"/>
  <c r="DT44" i="2" s="1"/>
  <c r="DV44" i="2" a="1"/>
  <c r="DV44" i="2" s="1"/>
  <c r="DX44" i="2" a="1"/>
  <c r="DX44" i="2" s="1"/>
  <c r="DD44" i="2" a="1"/>
  <c r="DD44" i="2" s="1"/>
  <c r="DH44" i="2" a="1"/>
  <c r="DH44" i="2" s="1"/>
  <c r="CR44" i="2" a="1"/>
  <c r="CR44" i="2" s="1"/>
  <c r="CT44" i="2" a="1"/>
  <c r="CT44" i="2" s="1"/>
  <c r="CV44" i="2" a="1"/>
  <c r="CV44" i="2" s="1"/>
  <c r="CX44" i="2" a="1"/>
  <c r="CX44" i="2" s="1"/>
  <c r="CH44" i="2" a="1"/>
  <c r="CH44" i="2" s="1"/>
  <c r="CJ44" i="2" a="1"/>
  <c r="CJ44" i="2" s="1"/>
  <c r="CL44" i="2" a="1"/>
  <c r="CL44" i="2" s="1"/>
  <c r="BR44" i="2" a="1"/>
  <c r="BR44" i="2" s="1"/>
  <c r="BT44" i="2" a="1"/>
  <c r="BT44" i="2" s="1"/>
  <c r="BV44" i="2" a="1"/>
  <c r="BV44" i="2" s="1"/>
  <c r="BB44" i="2" a="1"/>
  <c r="BB44" i="2" s="1"/>
  <c r="BD44" i="2" a="1"/>
  <c r="BD44" i="2" s="1"/>
  <c r="BF44" i="2" a="1"/>
  <c r="BF44" i="2" s="1"/>
  <c r="AL44" i="2" a="1"/>
  <c r="AL44" i="2" s="1"/>
  <c r="AN44" i="2" a="1"/>
  <c r="AN44" i="2" s="1"/>
  <c r="AP44" i="2" a="1"/>
  <c r="AP44" i="2" s="1"/>
  <c r="DF44" i="2" a="1"/>
  <c r="DF44" i="2" s="1"/>
  <c r="DJ44" i="2" a="1"/>
  <c r="DJ44" i="2" s="1"/>
  <c r="CS44" i="2" a="1"/>
  <c r="CS44" i="2" s="1"/>
  <c r="CU44" i="2" a="1"/>
  <c r="CU44" i="2" s="1"/>
  <c r="CW44" i="2" a="1"/>
  <c r="CW44" i="2" s="1"/>
  <c r="CG44" i="2" a="1"/>
  <c r="CG44" i="2" s="1"/>
  <c r="CI44" i="2" a="1"/>
  <c r="CI44" i="2" s="1"/>
  <c r="CK44" i="2" a="1"/>
  <c r="CK44" i="2" s="1"/>
  <c r="BS44" i="2" a="1"/>
  <c r="BS44" i="2" s="1"/>
  <c r="BC44" i="2" a="1"/>
  <c r="BC44" i="2" s="1"/>
  <c r="AM44" i="2" a="1"/>
  <c r="AM44" i="2" s="1"/>
  <c r="V44" i="2" a="1"/>
  <c r="V44" i="2" s="1"/>
  <c r="X44" i="2" a="1"/>
  <c r="X44" i="2" s="1"/>
  <c r="Z44" i="2" a="1"/>
  <c r="Z44" i="2" s="1"/>
  <c r="M44" i="2" a="1"/>
  <c r="M44" i="2" s="1"/>
  <c r="O44" i="2" a="1"/>
  <c r="O44" i="2" s="1"/>
  <c r="BQ44" i="2" a="1"/>
  <c r="BQ44" i="2" s="1"/>
  <c r="BU44" i="2" a="1"/>
  <c r="BU44" i="2" s="1"/>
  <c r="BA44" i="2" a="1"/>
  <c r="BA44" i="2" s="1"/>
  <c r="BE44" i="2" a="1"/>
  <c r="BE44" i="2" s="1"/>
  <c r="AK44" i="2" a="1"/>
  <c r="AK44" i="2" s="1"/>
  <c r="AO44" i="2" a="1"/>
  <c r="AO44" i="2" s="1"/>
  <c r="U44" i="2" a="1"/>
  <c r="U44" i="2" s="1"/>
  <c r="W44" i="2" a="1"/>
  <c r="W44" i="2" s="1"/>
  <c r="Y44" i="2" a="1"/>
  <c r="Y44" i="2" s="1"/>
  <c r="AA44" i="2" a="1"/>
  <c r="AA44" i="2" s="1"/>
  <c r="L44" i="2" a="1"/>
  <c r="L44" i="2" s="1"/>
  <c r="N44" i="2" a="1"/>
  <c r="N44" i="2" s="1"/>
  <c r="P44" i="2" a="1"/>
  <c r="P44" i="2" s="1"/>
  <c r="CO44" i="2" a="1"/>
  <c r="CO44" i="2" s="1"/>
  <c r="D44" i="2" a="1"/>
  <c r="D44" i="2" s="1"/>
  <c r="E44" i="2" s="1" a="1"/>
  <c r="E44" i="2" s="1"/>
  <c r="C44" i="2" a="1"/>
  <c r="C44" i="2" s="1"/>
  <c r="GK44" i="2" a="1"/>
  <c r="GK44" i="2" s="1"/>
  <c r="GA44" i="2" a="1"/>
  <c r="GA44" i="2" s="1"/>
  <c r="FX44" i="2" a="1"/>
  <c r="FX44" i="2" s="1"/>
  <c r="EU44" i="2" a="1"/>
  <c r="EU44" i="2" s="1"/>
  <c r="DL44" i="2" a="1"/>
  <c r="DL44" i="2" s="1"/>
  <c r="BL44" i="2" a="1"/>
  <c r="BL44" i="2" s="1"/>
  <c r="BH44" i="2" a="1"/>
  <c r="BH44" i="2" s="1"/>
  <c r="AV44" i="2" a="1"/>
  <c r="AV44" i="2" s="1"/>
  <c r="CZ44" i="2" a="1"/>
  <c r="CZ44" i="2" s="1"/>
  <c r="CN44" i="2" a="1"/>
  <c r="CN44" i="2" s="1"/>
  <c r="CP44" i="2" s="1"/>
  <c r="CC44" i="2" a="1"/>
  <c r="CC44" i="2" s="1"/>
  <c r="BZ44" i="2" a="1"/>
  <c r="BZ44" i="2" s="1"/>
  <c r="AR44" i="2" a="1"/>
  <c r="AR44" i="2" s="1"/>
  <c r="AB43" i="2" a="1"/>
  <c r="AB43" i="2" s="1"/>
  <c r="FY44" i="2" a="1"/>
  <c r="FY44" i="2" s="1"/>
  <c r="GB44" i="2" a="1"/>
  <c r="GB44" i="2" s="1"/>
  <c r="FK44" i="2" a="1"/>
  <c r="FK44" i="2" s="1"/>
  <c r="FH44" i="2" a="1"/>
  <c r="FH44" i="2" s="1"/>
  <c r="FJ44" i="2" a="1"/>
  <c r="FJ44" i="2" s="1"/>
  <c r="FG44" i="2" a="1"/>
  <c r="FG44" i="2" s="1"/>
  <c r="CD44" i="2" a="1"/>
  <c r="CD44" i="2" s="1"/>
  <c r="AS44" i="2" a="1"/>
  <c r="AS44" i="2" s="1"/>
  <c r="AD44" i="2" a="1"/>
  <c r="AD44" i="2" s="1"/>
  <c r="CA44" i="2" a="1"/>
  <c r="CA44" i="2" s="1"/>
  <c r="BI44" i="2" a="1"/>
  <c r="BI44" i="2" s="1"/>
  <c r="AW44" i="2" a="1"/>
  <c r="AW44" i="2" s="1"/>
  <c r="AC44" i="2" a="1"/>
  <c r="AC44" i="2" s="1"/>
  <c r="AB44" i="2" s="1" a="1"/>
  <c r="AB44" i="2" s="1"/>
  <c r="BM44" i="2" a="1"/>
  <c r="BM44" i="2" s="1"/>
  <c r="F44" i="2" a="1"/>
  <c r="F44" i="2" s="1"/>
  <c r="BO42" i="2" a="1"/>
  <c r="BO42" i="2" s="1"/>
  <c r="DN43" i="2"/>
  <c r="BK43" i="2"/>
  <c r="BN43" i="2"/>
  <c r="DB43" i="2"/>
  <c r="I43" i="2"/>
  <c r="AE43" i="2" a="1"/>
  <c r="AE43" i="2" s="1"/>
  <c r="AT43" i="2"/>
  <c r="CB43" i="2"/>
  <c r="I37" i="8" a="1"/>
  <c r="I37" i="8" s="1"/>
  <c r="M37" i="8" s="1"/>
  <c r="G37" i="8" a="1"/>
  <c r="G37" i="8" s="1"/>
  <c r="H37" i="8" s="1" a="1"/>
  <c r="H37" i="8" s="1"/>
  <c r="J37" i="8" a="1"/>
  <c r="J37" i="8" s="1"/>
  <c r="K37" i="8" s="1" a="1"/>
  <c r="K37" i="8" s="1"/>
  <c r="F37" i="8" a="1"/>
  <c r="F37" i="8" s="1"/>
  <c r="L37" i="8" s="1"/>
  <c r="P35" i="8"/>
  <c r="Q35" i="8" s="1"/>
  <c r="R35" i="8" s="1"/>
  <c r="EQ41" i="2" s="1"/>
  <c r="N36" i="8"/>
  <c r="ES39" i="2"/>
  <c r="BY43" i="2"/>
  <c r="A37" i="8"/>
  <c r="S37" i="8" s="1"/>
  <c r="ER43" i="2" s="1"/>
  <c r="GN43" i="2"/>
  <c r="FM43" i="2"/>
  <c r="CQ43" i="2"/>
  <c r="CF43" i="2"/>
  <c r="AZ43" i="2"/>
  <c r="AI43" i="2"/>
  <c r="K43" i="2"/>
  <c r="FN43" i="2"/>
  <c r="ES43" i="2"/>
  <c r="J43" i="2"/>
  <c r="GD43" i="2"/>
  <c r="AJ43" i="2"/>
  <c r="T43" i="2"/>
  <c r="C37" i="8"/>
  <c r="EK43" i="2"/>
  <c r="AH43" i="2" s="1" a="1"/>
  <c r="AH43" i="2" s="1"/>
  <c r="B38" i="8"/>
  <c r="DA44" i="2" a="1"/>
  <c r="DA44" i="2" s="1"/>
  <c r="S44" i="2" a="1"/>
  <c r="S44" i="2" s="1"/>
  <c r="B45" i="2"/>
  <c r="GL44" i="2" a="1"/>
  <c r="GL44" i="2" s="1"/>
  <c r="EI44" i="2" a="1"/>
  <c r="EI44" i="2" s="1"/>
  <c r="AG44" i="2" a="1"/>
  <c r="AG44" i="2" s="1"/>
  <c r="A44" i="2"/>
  <c r="EV44" i="2" a="1"/>
  <c r="EV44" i="2" s="1"/>
  <c r="EJ44" i="2" a="1"/>
  <c r="EJ44" i="2" s="1"/>
  <c r="D38" i="8" s="1"/>
  <c r="DM44" i="2" a="1"/>
  <c r="DM44" i="2" s="1"/>
  <c r="DK44" i="2" s="1"/>
  <c r="AF44" i="2" a="1"/>
  <c r="AF44" i="2" s="1"/>
  <c r="G44" i="2" a="1"/>
  <c r="G44" i="2" s="1"/>
  <c r="H44" i="2" s="1" a="1"/>
  <c r="H44" i="2" s="1"/>
  <c r="O36" i="8"/>
  <c r="EW44" i="2" l="1"/>
  <c r="GE45" i="2" a="1"/>
  <c r="GE45" i="2" s="1"/>
  <c r="GG45" i="2" a="1"/>
  <c r="GG45" i="2" s="1"/>
  <c r="GI45" i="2" a="1"/>
  <c r="GI45" i="2" s="1"/>
  <c r="FP45" i="2" a="1"/>
  <c r="FP45" i="2" s="1"/>
  <c r="FR45" i="2" a="1"/>
  <c r="FR45" i="2" s="1"/>
  <c r="FT45" i="2" a="1"/>
  <c r="FT45" i="2" s="1"/>
  <c r="GF45" i="2" a="1"/>
  <c r="GF45" i="2" s="1"/>
  <c r="GH45" i="2" a="1"/>
  <c r="GH45" i="2" s="1"/>
  <c r="GJ45" i="2" a="1"/>
  <c r="GJ45" i="2" s="1"/>
  <c r="FQ45" i="2" a="1"/>
  <c r="FQ45" i="2" s="1"/>
  <c r="FS45" i="2" a="1"/>
  <c r="FS45" i="2" s="1"/>
  <c r="FU45" i="2" a="1"/>
  <c r="FU45" i="2" s="1"/>
  <c r="EY45" i="2" a="1"/>
  <c r="EY45" i="2" s="1"/>
  <c r="FA45" i="2" a="1"/>
  <c r="FA45" i="2" s="1"/>
  <c r="FC45" i="2" a="1"/>
  <c r="FC45" i="2" s="1"/>
  <c r="FE45" i="2" a="1"/>
  <c r="FE45" i="2" s="1"/>
  <c r="EZ45" i="2" a="1"/>
  <c r="EZ45" i="2" s="1"/>
  <c r="FB45" i="2" a="1"/>
  <c r="FB45" i="2" s="1"/>
  <c r="FD45" i="2" a="1"/>
  <c r="FD45" i="2" s="1"/>
  <c r="EE45" i="2" a="1"/>
  <c r="EE45" i="2" s="1"/>
  <c r="ED45" i="2" a="1"/>
  <c r="ED45" i="2" s="1"/>
  <c r="EA45" i="2" a="1"/>
  <c r="EA45" i="2" s="1"/>
  <c r="DZ45" i="2" a="1"/>
  <c r="DZ45" i="2" s="1"/>
  <c r="DR45" i="2" a="1"/>
  <c r="DR45" i="2" s="1"/>
  <c r="DT45" i="2" a="1"/>
  <c r="DT45" i="2" s="1"/>
  <c r="DV45" i="2" a="1"/>
  <c r="DV45" i="2" s="1"/>
  <c r="DX45" i="2" a="1"/>
  <c r="DX45" i="2" s="1"/>
  <c r="DD45" i="2" a="1"/>
  <c r="DD45" i="2" s="1"/>
  <c r="DF45" i="2" a="1"/>
  <c r="DF45" i="2" s="1"/>
  <c r="DH45" i="2" a="1"/>
  <c r="DH45" i="2" s="1"/>
  <c r="DJ45" i="2" a="1"/>
  <c r="DJ45" i="2" s="1"/>
  <c r="DS45" i="2" a="1"/>
  <c r="DS45" i="2" s="1"/>
  <c r="DU45" i="2" a="1"/>
  <c r="DU45" i="2" s="1"/>
  <c r="DW45" i="2" a="1"/>
  <c r="DW45" i="2" s="1"/>
  <c r="DE45" i="2" a="1"/>
  <c r="DE45" i="2" s="1"/>
  <c r="DI45" i="2" a="1"/>
  <c r="DI45" i="2" s="1"/>
  <c r="CS45" i="2" a="1"/>
  <c r="CS45" i="2" s="1"/>
  <c r="CU45" i="2" a="1"/>
  <c r="CU45" i="2" s="1"/>
  <c r="CW45" i="2" a="1"/>
  <c r="CW45" i="2" s="1"/>
  <c r="CH45" i="2" a="1"/>
  <c r="CH45" i="2" s="1"/>
  <c r="CJ45" i="2" a="1"/>
  <c r="CJ45" i="2" s="1"/>
  <c r="CL45" i="2" a="1"/>
  <c r="CL45" i="2" s="1"/>
  <c r="BR45" i="2" a="1"/>
  <c r="BR45" i="2" s="1"/>
  <c r="BT45" i="2" a="1"/>
  <c r="BT45" i="2" s="1"/>
  <c r="BV45" i="2" a="1"/>
  <c r="BV45" i="2" s="1"/>
  <c r="BB45" i="2" a="1"/>
  <c r="BB45" i="2" s="1"/>
  <c r="BD45" i="2" a="1"/>
  <c r="BD45" i="2" s="1"/>
  <c r="BF45" i="2" a="1"/>
  <c r="BF45" i="2" s="1"/>
  <c r="AL45" i="2" a="1"/>
  <c r="AL45" i="2" s="1"/>
  <c r="AN45" i="2" a="1"/>
  <c r="AN45" i="2" s="1"/>
  <c r="AP45" i="2" a="1"/>
  <c r="AP45" i="2" s="1"/>
  <c r="DG45" i="2" a="1"/>
  <c r="DG45" i="2" s="1"/>
  <c r="CR45" i="2" a="1"/>
  <c r="CR45" i="2" s="1"/>
  <c r="CT45" i="2" a="1"/>
  <c r="CT45" i="2" s="1"/>
  <c r="CV45" i="2" a="1"/>
  <c r="CV45" i="2" s="1"/>
  <c r="CX45" i="2" a="1"/>
  <c r="CX45" i="2" s="1"/>
  <c r="CG45" i="2" a="1"/>
  <c r="CG45" i="2" s="1"/>
  <c r="CI45" i="2" a="1"/>
  <c r="CI45" i="2" s="1"/>
  <c r="CK45" i="2" a="1"/>
  <c r="CK45" i="2" s="1"/>
  <c r="BQ45" i="2" a="1"/>
  <c r="BQ45" i="2" s="1"/>
  <c r="BU45" i="2" a="1"/>
  <c r="BU45" i="2" s="1"/>
  <c r="BA45" i="2" a="1"/>
  <c r="BA45" i="2" s="1"/>
  <c r="BE45" i="2" a="1"/>
  <c r="BE45" i="2" s="1"/>
  <c r="AK45" i="2" a="1"/>
  <c r="AK45" i="2" s="1"/>
  <c r="AO45" i="2" a="1"/>
  <c r="AO45" i="2" s="1"/>
  <c r="U45" i="2" a="1"/>
  <c r="U45" i="2" s="1"/>
  <c r="W45" i="2" a="1"/>
  <c r="W45" i="2" s="1"/>
  <c r="Y45" i="2" a="1"/>
  <c r="Y45" i="2" s="1"/>
  <c r="AA45" i="2" a="1"/>
  <c r="AA45" i="2" s="1"/>
  <c r="L45" i="2" a="1"/>
  <c r="L45" i="2" s="1"/>
  <c r="N45" i="2" a="1"/>
  <c r="N45" i="2" s="1"/>
  <c r="P45" i="2" a="1"/>
  <c r="P45" i="2" s="1"/>
  <c r="BS45" i="2" a="1"/>
  <c r="BS45" i="2" s="1"/>
  <c r="BC45" i="2" a="1"/>
  <c r="BC45" i="2" s="1"/>
  <c r="AM45" i="2" a="1"/>
  <c r="AM45" i="2" s="1"/>
  <c r="V45" i="2" a="1"/>
  <c r="V45" i="2" s="1"/>
  <c r="X45" i="2" a="1"/>
  <c r="X45" i="2" s="1"/>
  <c r="Z45" i="2" a="1"/>
  <c r="Z45" i="2" s="1"/>
  <c r="M45" i="2" a="1"/>
  <c r="M45" i="2" s="1"/>
  <c r="O45" i="2" a="1"/>
  <c r="O45" i="2" s="1"/>
  <c r="CO45" i="2" a="1"/>
  <c r="CO45" i="2" s="1"/>
  <c r="EB44" i="2" a="1"/>
  <c r="EB44" i="2" s="1"/>
  <c r="DY44" i="2"/>
  <c r="EC44" i="2"/>
  <c r="EF44" i="2" a="1"/>
  <c r="EF44" i="2" s="1"/>
  <c r="D45" i="2" a="1"/>
  <c r="D45" i="2" s="1"/>
  <c r="E45" i="2" s="1" a="1"/>
  <c r="E45" i="2" s="1"/>
  <c r="C45" i="2" a="1"/>
  <c r="C45" i="2" s="1"/>
  <c r="GK45" i="2" a="1"/>
  <c r="GK45" i="2" s="1"/>
  <c r="FX45" i="2" a="1"/>
  <c r="FX45" i="2" s="1"/>
  <c r="GA45" i="2" a="1"/>
  <c r="GA45" i="2" s="1"/>
  <c r="CZ45" i="2" a="1"/>
  <c r="CZ45" i="2" s="1"/>
  <c r="CN45" i="2" a="1"/>
  <c r="CN45" i="2" s="1"/>
  <c r="CC45" i="2" a="1"/>
  <c r="CC45" i="2" s="1"/>
  <c r="BZ45" i="2" a="1"/>
  <c r="BZ45" i="2" s="1"/>
  <c r="AR45" i="2" a="1"/>
  <c r="AR45" i="2" s="1"/>
  <c r="EU45" i="2" a="1"/>
  <c r="EU45" i="2" s="1"/>
  <c r="DL45" i="2" a="1"/>
  <c r="DL45" i="2" s="1"/>
  <c r="BL45" i="2" a="1"/>
  <c r="BL45" i="2" s="1"/>
  <c r="BH45" i="2" a="1"/>
  <c r="BH45" i="2" s="1"/>
  <c r="AV45" i="2" a="1"/>
  <c r="AV45" i="2" s="1"/>
  <c r="GB45" i="2" a="1"/>
  <c r="GB45" i="2" s="1"/>
  <c r="FY45" i="2" a="1"/>
  <c r="FY45" i="2" s="1"/>
  <c r="FJ45" i="2" a="1"/>
  <c r="FJ45" i="2" s="1"/>
  <c r="FG45" i="2" a="1"/>
  <c r="FG45" i="2" s="1"/>
  <c r="CD45" i="2" a="1"/>
  <c r="CD45" i="2" s="1"/>
  <c r="FK45" i="2" a="1"/>
  <c r="FK45" i="2" s="1"/>
  <c r="CA45" i="2" a="1"/>
  <c r="CA45" i="2" s="1"/>
  <c r="BM45" i="2" a="1"/>
  <c r="BM45" i="2" s="1"/>
  <c r="BI45" i="2" a="1"/>
  <c r="BI45" i="2" s="1"/>
  <c r="AW45" i="2" a="1"/>
  <c r="AW45" i="2" s="1"/>
  <c r="AC45" i="2" a="1"/>
  <c r="AC45" i="2" s="1"/>
  <c r="FH45" i="2" a="1"/>
  <c r="FH45" i="2" s="1"/>
  <c r="AS45" i="2" a="1"/>
  <c r="AS45" i="2" s="1"/>
  <c r="AD45" i="2" a="1"/>
  <c r="AD45" i="2" s="1"/>
  <c r="F45" i="2" a="1"/>
  <c r="F45" i="2" s="1"/>
  <c r="FL43" i="2" a="1"/>
  <c r="FL43" i="2" s="1"/>
  <c r="AY43" i="2" a="1"/>
  <c r="AY43" i="2" s="1"/>
  <c r="BO43" i="2" a="1"/>
  <c r="BO43" i="2" s="1"/>
  <c r="DN44" i="2"/>
  <c r="AX44" i="2"/>
  <c r="BJ44" i="2"/>
  <c r="A38" i="8"/>
  <c r="S38" i="8" s="1"/>
  <c r="ER44" i="2" s="1"/>
  <c r="GD44" i="2"/>
  <c r="FN44" i="2"/>
  <c r="ES44" i="2"/>
  <c r="AJ44" i="2"/>
  <c r="T44" i="2"/>
  <c r="J44" i="2"/>
  <c r="CF44" i="2"/>
  <c r="AI44" i="2"/>
  <c r="K44" i="2"/>
  <c r="GN44" i="2"/>
  <c r="FM44" i="2"/>
  <c r="CQ44" i="2"/>
  <c r="AZ44" i="2"/>
  <c r="AE44" i="2" a="1"/>
  <c r="AE44" i="2" s="1"/>
  <c r="AT44" i="2"/>
  <c r="CB44" i="2"/>
  <c r="C38" i="8"/>
  <c r="EK44" i="2"/>
  <c r="E38" i="8" s="1"/>
  <c r="DB44" i="2"/>
  <c r="E37" i="8"/>
  <c r="CE43" i="2" a="1"/>
  <c r="CE43" i="2" s="1"/>
  <c r="O37" i="8"/>
  <c r="GC43" i="2"/>
  <c r="I44" i="2"/>
  <c r="B39" i="8"/>
  <c r="B46" i="2"/>
  <c r="GL45" i="2" a="1"/>
  <c r="GL45" i="2" s="1"/>
  <c r="EV45" i="2" a="1"/>
  <c r="EV45" i="2" s="1"/>
  <c r="EW45" i="2" s="1"/>
  <c r="EJ45" i="2" a="1"/>
  <c r="EJ45" i="2" s="1"/>
  <c r="D39" i="8" s="1"/>
  <c r="EI45" i="2" a="1"/>
  <c r="EI45" i="2" s="1"/>
  <c r="DM45" i="2" a="1"/>
  <c r="DM45" i="2" s="1"/>
  <c r="DK45" i="2" s="1"/>
  <c r="AG45" i="2" a="1"/>
  <c r="AG45" i="2" s="1"/>
  <c r="AF45" i="2" a="1"/>
  <c r="AF45" i="2" s="1"/>
  <c r="G45" i="2" a="1"/>
  <c r="G45" i="2" s="1"/>
  <c r="H45" i="2" s="1" a="1"/>
  <c r="H45" i="2" s="1"/>
  <c r="A45" i="2"/>
  <c r="DA45" i="2" a="1"/>
  <c r="DA45" i="2" s="1"/>
  <c r="S45" i="2" a="1"/>
  <c r="S45" i="2" s="1"/>
  <c r="BN44" i="2"/>
  <c r="BK44" i="2"/>
  <c r="BY44" i="2"/>
  <c r="CE44" i="2" a="1"/>
  <c r="CE44" i="2" s="1"/>
  <c r="J38" i="8" a="1"/>
  <c r="J38" i="8" s="1"/>
  <c r="K38" i="8" s="1" a="1"/>
  <c r="K38" i="8" s="1"/>
  <c r="F38" i="8" a="1"/>
  <c r="F38" i="8" s="1"/>
  <c r="L38" i="8" s="1"/>
  <c r="I38" i="8" a="1"/>
  <c r="I38" i="8" s="1"/>
  <c r="M38" i="8" s="1"/>
  <c r="G38" i="8" a="1"/>
  <c r="G38" i="8" s="1"/>
  <c r="H38" i="8" s="1" a="1"/>
  <c r="H38" i="8" s="1"/>
  <c r="P36" i="8"/>
  <c r="Q36" i="8" s="1"/>
  <c r="R36" i="8" s="1"/>
  <c r="EQ42" i="2" s="1"/>
  <c r="N37" i="8"/>
  <c r="P37" i="8" s="1"/>
  <c r="Q37" i="8" s="1"/>
  <c r="R37" i="8" s="1"/>
  <c r="EQ43" i="2" s="1"/>
  <c r="CP45" i="2" l="1"/>
  <c r="EC45" i="2"/>
  <c r="BO44" i="2" a="1"/>
  <c r="BO44" i="2" s="1"/>
  <c r="GE46" i="2" a="1"/>
  <c r="GE46" i="2" s="1"/>
  <c r="GG46" i="2" a="1"/>
  <c r="GG46" i="2" s="1"/>
  <c r="GI46" i="2" a="1"/>
  <c r="GI46" i="2" s="1"/>
  <c r="FP46" i="2" a="1"/>
  <c r="FP46" i="2" s="1"/>
  <c r="FR46" i="2" a="1"/>
  <c r="FR46" i="2" s="1"/>
  <c r="FT46" i="2" a="1"/>
  <c r="FT46" i="2" s="1"/>
  <c r="GF46" i="2" a="1"/>
  <c r="GF46" i="2" s="1"/>
  <c r="GH46" i="2" a="1"/>
  <c r="GH46" i="2" s="1"/>
  <c r="GJ46" i="2" a="1"/>
  <c r="GJ46" i="2" s="1"/>
  <c r="FQ46" i="2" a="1"/>
  <c r="FQ46" i="2" s="1"/>
  <c r="FS46" i="2" a="1"/>
  <c r="FS46" i="2" s="1"/>
  <c r="FU46" i="2" a="1"/>
  <c r="FU46" i="2" s="1"/>
  <c r="EZ46" i="2" a="1"/>
  <c r="EZ46" i="2" s="1"/>
  <c r="FB46" i="2" a="1"/>
  <c r="FB46" i="2" s="1"/>
  <c r="FD46" i="2" a="1"/>
  <c r="FD46" i="2" s="1"/>
  <c r="EE46" i="2" a="1"/>
  <c r="EE46" i="2" s="1"/>
  <c r="ED46" i="2" a="1"/>
  <c r="ED46" i="2" s="1"/>
  <c r="EA46" i="2" a="1"/>
  <c r="EA46" i="2" s="1"/>
  <c r="DZ46" i="2" a="1"/>
  <c r="DZ46" i="2" s="1"/>
  <c r="EY46" i="2" a="1"/>
  <c r="EY46" i="2" s="1"/>
  <c r="FA46" i="2" a="1"/>
  <c r="FA46" i="2" s="1"/>
  <c r="FC46" i="2" a="1"/>
  <c r="FC46" i="2" s="1"/>
  <c r="FE46" i="2" a="1"/>
  <c r="FE46" i="2" s="1"/>
  <c r="DS46" i="2" a="1"/>
  <c r="DS46" i="2" s="1"/>
  <c r="DU46" i="2" a="1"/>
  <c r="DU46" i="2" s="1"/>
  <c r="DW46" i="2" a="1"/>
  <c r="DW46" i="2" s="1"/>
  <c r="DE46" i="2" a="1"/>
  <c r="DE46" i="2" s="1"/>
  <c r="DG46" i="2" a="1"/>
  <c r="DG46" i="2" s="1"/>
  <c r="DI46" i="2" a="1"/>
  <c r="DI46" i="2" s="1"/>
  <c r="DR46" i="2" a="1"/>
  <c r="DR46" i="2" s="1"/>
  <c r="DT46" i="2" a="1"/>
  <c r="DT46" i="2" s="1"/>
  <c r="DV46" i="2" a="1"/>
  <c r="DV46" i="2" s="1"/>
  <c r="DX46" i="2" a="1"/>
  <c r="DX46" i="2" s="1"/>
  <c r="DF46" i="2" a="1"/>
  <c r="DF46" i="2" s="1"/>
  <c r="DJ46" i="2" a="1"/>
  <c r="DJ46" i="2" s="1"/>
  <c r="CR46" i="2" a="1"/>
  <c r="CR46" i="2" s="1"/>
  <c r="CT46" i="2" a="1"/>
  <c r="CT46" i="2" s="1"/>
  <c r="CV46" i="2" a="1"/>
  <c r="CV46" i="2" s="1"/>
  <c r="CX46" i="2" a="1"/>
  <c r="CX46" i="2" s="1"/>
  <c r="CH46" i="2" a="1"/>
  <c r="CH46" i="2" s="1"/>
  <c r="CJ46" i="2" a="1"/>
  <c r="CJ46" i="2" s="1"/>
  <c r="CL46" i="2" a="1"/>
  <c r="CL46" i="2" s="1"/>
  <c r="BR46" i="2" a="1"/>
  <c r="BR46" i="2" s="1"/>
  <c r="BT46" i="2" a="1"/>
  <c r="BT46" i="2" s="1"/>
  <c r="BV46" i="2" a="1"/>
  <c r="BV46" i="2" s="1"/>
  <c r="BB46" i="2" a="1"/>
  <c r="BB46" i="2" s="1"/>
  <c r="BD46" i="2" a="1"/>
  <c r="BD46" i="2" s="1"/>
  <c r="BF46" i="2" a="1"/>
  <c r="BF46" i="2" s="1"/>
  <c r="AL46" i="2" a="1"/>
  <c r="AL46" i="2" s="1"/>
  <c r="AN46" i="2" a="1"/>
  <c r="AN46" i="2" s="1"/>
  <c r="AP46" i="2" a="1"/>
  <c r="AP46" i="2" s="1"/>
  <c r="DD46" i="2" a="1"/>
  <c r="DD46" i="2" s="1"/>
  <c r="DH46" i="2" a="1"/>
  <c r="DH46" i="2" s="1"/>
  <c r="CS46" i="2" a="1"/>
  <c r="CS46" i="2" s="1"/>
  <c r="CU46" i="2" a="1"/>
  <c r="CU46" i="2" s="1"/>
  <c r="CW46" i="2" a="1"/>
  <c r="CW46" i="2" s="1"/>
  <c r="CG46" i="2" a="1"/>
  <c r="CG46" i="2" s="1"/>
  <c r="CI46" i="2" a="1"/>
  <c r="CI46" i="2" s="1"/>
  <c r="CK46" i="2" a="1"/>
  <c r="CK46" i="2" s="1"/>
  <c r="BS46" i="2" a="1"/>
  <c r="BS46" i="2" s="1"/>
  <c r="BC46" i="2" a="1"/>
  <c r="BC46" i="2" s="1"/>
  <c r="AM46" i="2" a="1"/>
  <c r="AM46" i="2" s="1"/>
  <c r="V46" i="2" a="1"/>
  <c r="V46" i="2" s="1"/>
  <c r="X46" i="2" a="1"/>
  <c r="X46" i="2" s="1"/>
  <c r="Z46" i="2" a="1"/>
  <c r="Z46" i="2" s="1"/>
  <c r="M46" i="2" a="1"/>
  <c r="M46" i="2" s="1"/>
  <c r="O46" i="2" a="1"/>
  <c r="O46" i="2" s="1"/>
  <c r="BQ46" i="2" a="1"/>
  <c r="BQ46" i="2" s="1"/>
  <c r="BU46" i="2" a="1"/>
  <c r="BU46" i="2" s="1"/>
  <c r="BA46" i="2" a="1"/>
  <c r="BA46" i="2" s="1"/>
  <c r="BE46" i="2" a="1"/>
  <c r="BE46" i="2" s="1"/>
  <c r="AK46" i="2" a="1"/>
  <c r="AK46" i="2" s="1"/>
  <c r="AO46" i="2" a="1"/>
  <c r="AO46" i="2" s="1"/>
  <c r="U46" i="2" a="1"/>
  <c r="U46" i="2" s="1"/>
  <c r="W46" i="2" a="1"/>
  <c r="W46" i="2" s="1"/>
  <c r="Y46" i="2" a="1"/>
  <c r="Y46" i="2" s="1"/>
  <c r="AA46" i="2" a="1"/>
  <c r="AA46" i="2" s="1"/>
  <c r="L46" i="2" a="1"/>
  <c r="L46" i="2" s="1"/>
  <c r="N46" i="2" a="1"/>
  <c r="N46" i="2" s="1"/>
  <c r="P46" i="2" a="1"/>
  <c r="P46" i="2" s="1"/>
  <c r="CO46" i="2" a="1"/>
  <c r="CO46" i="2" s="1"/>
  <c r="EB45" i="2" a="1"/>
  <c r="EB45" i="2" s="1"/>
  <c r="DY45" i="2"/>
  <c r="EF45" i="2" a="1"/>
  <c r="EF45" i="2" s="1"/>
  <c r="D46" i="2" a="1"/>
  <c r="D46" i="2" s="1"/>
  <c r="E46" i="2" s="1" a="1"/>
  <c r="E46" i="2" s="1"/>
  <c r="GA46" i="2" a="1"/>
  <c r="GA46" i="2" s="1"/>
  <c r="C46" i="2" a="1"/>
  <c r="C46" i="2" s="1"/>
  <c r="EU46" i="2" a="1"/>
  <c r="EU46" i="2" s="1"/>
  <c r="DL46" i="2" a="1"/>
  <c r="DL46" i="2" s="1"/>
  <c r="GK46" i="2" a="1"/>
  <c r="GK46" i="2" s="1"/>
  <c r="FX46" i="2" a="1"/>
  <c r="FX46" i="2" s="1"/>
  <c r="CZ46" i="2" a="1"/>
  <c r="CZ46" i="2" s="1"/>
  <c r="CN46" i="2" a="1"/>
  <c r="CN46" i="2" s="1"/>
  <c r="CP46" i="2" s="1"/>
  <c r="CC46" i="2" a="1"/>
  <c r="CC46" i="2" s="1"/>
  <c r="BZ46" i="2" a="1"/>
  <c r="BZ46" i="2" s="1"/>
  <c r="BL46" i="2" a="1"/>
  <c r="BL46" i="2" s="1"/>
  <c r="BH46" i="2" a="1"/>
  <c r="BH46" i="2" s="1"/>
  <c r="AV46" i="2" a="1"/>
  <c r="AV46" i="2" s="1"/>
  <c r="AR46" i="2" a="1"/>
  <c r="AR46" i="2" s="1"/>
  <c r="AB45" i="2" a="1"/>
  <c r="AB45" i="2" s="1"/>
  <c r="FL44" i="2" a="1"/>
  <c r="FL44" i="2" s="1"/>
  <c r="FY46" i="2" a="1"/>
  <c r="FY46" i="2" s="1"/>
  <c r="FK46" i="2" a="1"/>
  <c r="FK46" i="2" s="1"/>
  <c r="FH46" i="2" a="1"/>
  <c r="FH46" i="2" s="1"/>
  <c r="AS46" i="2" a="1"/>
  <c r="AS46" i="2" s="1"/>
  <c r="AT46" i="2" s="1"/>
  <c r="AD46" i="2" a="1"/>
  <c r="AD46" i="2" s="1"/>
  <c r="GB46" i="2" a="1"/>
  <c r="GB46" i="2" s="1"/>
  <c r="FG46" i="2" a="1"/>
  <c r="FG46" i="2" s="1"/>
  <c r="CD46" i="2" a="1"/>
  <c r="CD46" i="2" s="1"/>
  <c r="CB46" i="2" s="1"/>
  <c r="BM46" i="2" a="1"/>
  <c r="BM46" i="2" s="1"/>
  <c r="FJ46" i="2" a="1"/>
  <c r="FJ46" i="2" s="1"/>
  <c r="CA46" i="2" a="1"/>
  <c r="CA46" i="2" s="1"/>
  <c r="BI46" i="2" a="1"/>
  <c r="BI46" i="2" s="1"/>
  <c r="AW46" i="2" a="1"/>
  <c r="AW46" i="2" s="1"/>
  <c r="AC46" i="2" a="1"/>
  <c r="AC46" i="2" s="1"/>
  <c r="AB46" i="2" s="1" a="1"/>
  <c r="AB46" i="2" s="1"/>
  <c r="F46" i="2" a="1"/>
  <c r="F46" i="2" s="1"/>
  <c r="DB45" i="2"/>
  <c r="AY44" i="2" a="1"/>
  <c r="AY44" i="2" s="1"/>
  <c r="DN45" i="2"/>
  <c r="O38" i="8"/>
  <c r="N38" i="8"/>
  <c r="BK45" i="2"/>
  <c r="BN45" i="2"/>
  <c r="AX45" i="2"/>
  <c r="BJ45" i="2"/>
  <c r="I45" i="2"/>
  <c r="AE45" i="2" a="1"/>
  <c r="AE45" i="2" s="1"/>
  <c r="AT45" i="2"/>
  <c r="CB45" i="2"/>
  <c r="J39" i="8" a="1"/>
  <c r="J39" i="8" s="1"/>
  <c r="K39" i="8" s="1" a="1"/>
  <c r="K39" i="8" s="1"/>
  <c r="I39" i="8" a="1"/>
  <c r="I39" i="8" s="1"/>
  <c r="M39" i="8" s="1"/>
  <c r="G39" i="8" a="1"/>
  <c r="G39" i="8" s="1"/>
  <c r="H39" i="8" s="1" a="1"/>
  <c r="H39" i="8" s="1"/>
  <c r="F39" i="8" a="1"/>
  <c r="F39" i="8" s="1"/>
  <c r="L39" i="8" s="1"/>
  <c r="AH44" i="2" a="1"/>
  <c r="AH44" i="2" s="1"/>
  <c r="BY45" i="2"/>
  <c r="A39" i="8"/>
  <c r="S39" i="8" s="1"/>
  <c r="ER45" i="2" s="1"/>
  <c r="GN45" i="2"/>
  <c r="FM45" i="2"/>
  <c r="CQ45" i="2"/>
  <c r="CF45" i="2"/>
  <c r="AZ45" i="2"/>
  <c r="AI45" i="2"/>
  <c r="K45" i="2"/>
  <c r="GD45" i="2"/>
  <c r="AJ45" i="2"/>
  <c r="T45" i="2"/>
  <c r="FN45" i="2"/>
  <c r="ES45" i="2"/>
  <c r="J45" i="2"/>
  <c r="C39" i="8"/>
  <c r="EK45" i="2"/>
  <c r="GC45" i="2" s="1"/>
  <c r="B40" i="8"/>
  <c r="DA46" i="2" a="1"/>
  <c r="DA46" i="2" s="1"/>
  <c r="S46" i="2" a="1"/>
  <c r="S46" i="2" s="1"/>
  <c r="EV46" i="2" a="1"/>
  <c r="EV46" i="2" s="1"/>
  <c r="EW46" i="2" s="1"/>
  <c r="EJ46" i="2" a="1"/>
  <c r="EJ46" i="2" s="1"/>
  <c r="D40" i="8" s="1"/>
  <c r="DM46" i="2" a="1"/>
  <c r="DM46" i="2" s="1"/>
  <c r="DK46" i="2" s="1"/>
  <c r="AF46" i="2" a="1"/>
  <c r="AF46" i="2" s="1"/>
  <c r="G46" i="2" a="1"/>
  <c r="G46" i="2" s="1"/>
  <c r="H46" i="2" s="1" a="1"/>
  <c r="H46" i="2" s="1"/>
  <c r="GL46" i="2" a="1"/>
  <c r="GL46" i="2" s="1"/>
  <c r="EI46" i="2" a="1"/>
  <c r="EI46" i="2" s="1"/>
  <c r="AG46" i="2" a="1"/>
  <c r="AG46" i="2" s="1"/>
  <c r="A46" i="2"/>
  <c r="GC44" i="2"/>
  <c r="EC46" i="2" l="1"/>
  <c r="DY46" i="2"/>
  <c r="EB46" i="2" a="1"/>
  <c r="EB46" i="2" s="1"/>
  <c r="EF46" i="2" a="1"/>
  <c r="EF46" i="2" s="1"/>
  <c r="P38" i="8"/>
  <c r="Q38" i="8" s="1"/>
  <c r="R38" i="8" s="1"/>
  <c r="EQ44" i="2" s="1"/>
  <c r="AE46" i="2" a="1"/>
  <c r="AE46" i="2" s="1"/>
  <c r="DN46" i="2"/>
  <c r="DB46" i="2"/>
  <c r="A40" i="8"/>
  <c r="GD46" i="2"/>
  <c r="T46" i="2"/>
  <c r="GN46" i="2"/>
  <c r="CQ46" i="2"/>
  <c r="AZ46" i="2"/>
  <c r="C40" i="8"/>
  <c r="EK46" i="2"/>
  <c r="E40" i="8" s="1"/>
  <c r="I46" i="2"/>
  <c r="J46" i="2" s="1"/>
  <c r="FL46" i="2" a="1"/>
  <c r="FL46" i="2" s="1"/>
  <c r="AX46" i="2"/>
  <c r="BJ46" i="2"/>
  <c r="BN46" i="2"/>
  <c r="BK46" i="2"/>
  <c r="BY46" i="2"/>
  <c r="I40" i="8" a="1"/>
  <c r="I40" i="8" s="1"/>
  <c r="M40" i="8" s="1"/>
  <c r="G40" i="8" a="1"/>
  <c r="G40" i="8" s="1"/>
  <c r="H40" i="8" s="1" a="1"/>
  <c r="H40" i="8" s="1"/>
  <c r="J40" i="8" a="1"/>
  <c r="J40" i="8" s="1"/>
  <c r="K40" i="8" s="1" a="1"/>
  <c r="K40" i="8" s="1"/>
  <c r="F40" i="8" a="1"/>
  <c r="F40" i="8" s="1"/>
  <c r="L40" i="8" s="1"/>
  <c r="CE45" i="2" a="1"/>
  <c r="CE45" i="2" s="1"/>
  <c r="N39" i="8"/>
  <c r="S50" i="2" a="1"/>
  <c r="S50" i="2" s="1"/>
  <c r="X53" i="2" s="1"/>
  <c r="AB3" i="16" s="1"/>
  <c r="GC46" i="2"/>
  <c r="E39" i="8"/>
  <c r="O39" i="8"/>
  <c r="FL45" i="2" a="1"/>
  <c r="FL45" i="2" s="1"/>
  <c r="FN46" i="2" s="1"/>
  <c r="AY45" i="2" a="1"/>
  <c r="AY45" i="2" s="1"/>
  <c r="AH45" i="2" a="1"/>
  <c r="AH45" i="2" s="1"/>
  <c r="BO45" i="2" a="1"/>
  <c r="BO45" i="2" s="1"/>
  <c r="EV50" i="2" l="1" a="1"/>
  <c r="EV50" i="2" s="1"/>
  <c r="AB17" i="16" s="1"/>
  <c r="EV49" i="2" a="1"/>
  <c r="EV49" i="2" s="1"/>
  <c r="X17" i="16" s="1"/>
  <c r="CO49" i="2" a="1"/>
  <c r="CO49" i="2" s="1"/>
  <c r="X10" i="16" s="1"/>
  <c r="CN49" i="2" a="1"/>
  <c r="CN49" i="2" s="1"/>
  <c r="EU49" i="2" a="1"/>
  <c r="EU49" i="2" s="1"/>
  <c r="W17" i="16" s="1"/>
  <c r="EX54" i="2" a="1"/>
  <c r="EX54" i="2" s="1"/>
  <c r="EX55" i="2" s="1"/>
  <c r="AF17" i="16" s="1"/>
  <c r="N40" i="8"/>
  <c r="BO46" i="2" a="1"/>
  <c r="BO46" i="2" s="1"/>
  <c r="CZ49" i="2"/>
  <c r="I51" i="2" a="1"/>
  <c r="I51" i="2" s="1"/>
  <c r="T2" i="16" s="1"/>
  <c r="P39" i="8"/>
  <c r="Q39" i="8" s="1"/>
  <c r="R39" i="8" s="1"/>
  <c r="EQ45" i="2" s="1"/>
  <c r="S51" i="2" a="1"/>
  <c r="S51" i="2" s="1"/>
  <c r="AY46" i="2" a="1"/>
  <c r="AY46" i="2" s="1"/>
  <c r="FM46" i="2"/>
  <c r="FM52" i="2" s="1"/>
  <c r="AB18" i="16" s="1"/>
  <c r="AH46" i="2" a="1"/>
  <c r="AH46" i="2" s="1"/>
  <c r="AJ46" i="2" s="1"/>
  <c r="GN54" i="2"/>
  <c r="GN55" i="2" s="1"/>
  <c r="AF22" i="16" s="1"/>
  <c r="CQ54" i="2"/>
  <c r="CQ55" i="2" s="1"/>
  <c r="AF10" i="16" s="1"/>
  <c r="AZ54" i="2" a="1"/>
  <c r="AZ54" i="2" s="1"/>
  <c r="AZ55" i="2" s="1"/>
  <c r="AF5" i="16" s="1"/>
  <c r="FN54" i="2"/>
  <c r="FN55" i="2" s="1"/>
  <c r="AF18" i="16" s="1"/>
  <c r="J53" i="2" a="1"/>
  <c r="J53" i="2" s="1"/>
  <c r="X2" i="16" s="1"/>
  <c r="T54" i="2"/>
  <c r="T55" i="2" s="1"/>
  <c r="AF3" i="16" s="1"/>
  <c r="DN49" i="2"/>
  <c r="DM49" i="2" s="1"/>
  <c r="X12" i="16" s="1"/>
  <c r="DM50" i="2" a="1"/>
  <c r="DM50" i="2" s="1"/>
  <c r="AB12" i="16" s="1"/>
  <c r="O40" i="8"/>
  <c r="CE46" i="2" a="1"/>
  <c r="CE46" i="2" s="1"/>
  <c r="CF46" i="2" s="1"/>
  <c r="K46" i="2"/>
  <c r="T3" i="16" l="1"/>
  <c r="X54" i="2"/>
  <c r="W11" i="16"/>
  <c r="W10" i="16"/>
  <c r="EU50" i="2" a="1"/>
  <c r="EU50" i="2" s="1"/>
  <c r="AA17" i="16" s="1"/>
  <c r="DA49" i="2"/>
  <c r="X11" i="16" s="1"/>
  <c r="DL49" i="2" a="1"/>
  <c r="DL49" i="2" s="1"/>
  <c r="W12" i="16" s="1"/>
  <c r="P40" i="8"/>
  <c r="Q40" i="8" s="1"/>
  <c r="R40" i="8" s="1"/>
  <c r="EQ46" i="2" s="1"/>
  <c r="ES46" i="2" s="1"/>
  <c r="AI46" i="2"/>
  <c r="AI52" i="2" s="1"/>
  <c r="AB4" i="16" s="1"/>
  <c r="K56" i="2"/>
  <c r="AE2" i="16" s="1"/>
  <c r="EK49" i="2" a="1"/>
  <c r="EK49" i="2" s="1"/>
  <c r="K14" i="16" s="1"/>
  <c r="EK50" i="2" a="1"/>
  <c r="EK50" i="2" s="1"/>
  <c r="O14" i="16" s="1"/>
  <c r="DP49" i="2"/>
  <c r="K12" i="16" s="1"/>
  <c r="AJ54" i="2"/>
  <c r="AJ55" i="2" s="1"/>
  <c r="AF4" i="16" s="1"/>
  <c r="CF54" i="2"/>
  <c r="CF55" i="2" s="1"/>
  <c r="AF9" i="16" s="1"/>
  <c r="K54" i="2"/>
  <c r="K55" i="2" s="1"/>
  <c r="AF2" i="16" s="1"/>
  <c r="FL49" i="2" a="1"/>
  <c r="FL49" i="2" s="1"/>
  <c r="AH49" i="2" a="1"/>
  <c r="AH49" i="2" s="1"/>
  <c r="T56" i="2"/>
  <c r="AE3" i="16" s="1"/>
  <c r="GC49" i="2" a="1"/>
  <c r="GC49" i="2" s="1"/>
  <c r="X21" i="16" s="1"/>
  <c r="X4" i="16" l="1"/>
  <c r="FV49" i="2"/>
  <c r="T20" i="16" s="1"/>
  <c r="X18" i="16"/>
  <c r="FO49" i="2"/>
  <c r="T19" i="16" s="1"/>
  <c r="S40" i="8"/>
  <c r="ER46" i="2" s="1"/>
  <c r="ER52" i="2" s="1"/>
  <c r="AB16" i="16" s="1"/>
  <c r="DP57" i="2"/>
  <c r="DA57" i="2"/>
  <c r="AJ56" i="2"/>
  <c r="AE4" i="16" s="1"/>
  <c r="FN56" i="2"/>
  <c r="AE18" i="16" s="1"/>
  <c r="CD49" i="2" a="1"/>
  <c r="CD49" i="2" s="1"/>
  <c r="W9" i="16" s="1"/>
  <c r="CE49" i="2" a="1"/>
  <c r="CE49" i="2" s="1"/>
  <c r="X9" i="16" s="1"/>
  <c r="BM50" i="2"/>
  <c r="AA6" i="16" s="1"/>
  <c r="BO50" i="2" a="1"/>
  <c r="BO50" i="2" s="1"/>
  <c r="AB6" i="16" s="1"/>
  <c r="DL50" i="2"/>
  <c r="AA12" i="16" s="1"/>
  <c r="DO49" i="2"/>
  <c r="J12" i="16" s="1"/>
  <c r="EQ49" i="2" a="1"/>
  <c r="EQ49" i="2" s="1"/>
  <c r="X16" i="16" s="1"/>
  <c r="AW50" i="2" a="1"/>
  <c r="AW50" i="2" s="1"/>
  <c r="AY57" i="2" s="1"/>
  <c r="AW49" i="2" a="1"/>
  <c r="AW49" i="2" s="1"/>
  <c r="W5" i="16" s="1"/>
  <c r="AY49" i="2" a="1"/>
  <c r="AY49" i="2" s="1"/>
  <c r="X5" i="16" s="1"/>
  <c r="AY50" i="2" a="1"/>
  <c r="AY50" i="2" s="1"/>
  <c r="AB5" i="16" l="1" a="1"/>
  <c r="AB5" i="16" s="1"/>
  <c r="BO57" i="2"/>
  <c r="CE57" i="2"/>
  <c r="ES56" i="2"/>
  <c r="AE16" i="16" s="1"/>
  <c r="BP56" i="2"/>
  <c r="AE6" i="16" s="1"/>
  <c r="AZ56" i="2"/>
</calcChain>
</file>

<file path=xl/connections.xml><?xml version="1.0" encoding="utf-8"?>
<connections xmlns="http://schemas.openxmlformats.org/spreadsheetml/2006/main">
  <connection id="1" name="2636" type="6" refreshedVersion="6" background="1" saveData="1">
    <textPr prompt="0" codePage="65001" firstRow="44" sourceFile="C:\Users\kkoplitz\AppData\Local\Temp\SplashBI\4164.csv" tab="0" qualifier="none" delimiter="~">
      <textFields count="13">
        <textField type="DMY"/>
        <textField type="text"/>
        <textField type="text"/>
        <textField type="text"/>
        <textField type="text"/>
        <textField type="text"/>
        <textField type="text"/>
        <textField/>
        <textField type="text"/>
        <textField/>
        <textField/>
        <textField type="text"/>
        <textField type="text"/>
      </textFields>
    </textPr>
  </connection>
  <connection id="2" name="2636_main" type="6" refreshedVersion="6" background="1" saveData="1">
    <textPr prompt="0" codePage="65001" firstRow="44" sourceFile="C:\Users\kkoplitz\AppData\Local\Temp\SplashBI\4164_main.csv" tab="0" delimiter="~">
      <textFields count="13">
        <textField type="skip"/>
        <textField type="skip"/>
        <textField type="skip"/>
        <textField type="skip"/>
        <textField type="skip"/>
        <textField type="skip"/>
        <textField type="skip"/>
        <textField type="skip"/>
        <textField type="skip"/>
        <textField type="skip"/>
        <textField type="skip"/>
        <textField type="skip"/>
        <textField type="skip"/>
      </textFields>
    </textPr>
  </connection>
  <connection id="3" name="2824" type="6" refreshedVersion="6" background="1" saveData="1">
    <textPr prompt="0" codePage="65001" firstRow="37" sourceFile="C:\Users\kkoplitz\AppData\Local\Temp\SplashBI\4165.csv" tab="0" qualifier="none" delimiter="~">
      <textFields count="6">
        <textField type="DMY"/>
        <textField type="text"/>
        <textField type="text"/>
        <textField/>
        <textField type="text"/>
        <textField/>
      </textFields>
    </textPr>
  </connection>
  <connection id="4" name="2824_main" type="6" refreshedVersion="6" background="1" saveData="1">
    <textPr prompt="0" codePage="65001" firstRow="37" sourceFile="C:\Users\kkoplitz\AppData\Local\Temp\SplashBI\4165_main.csv" tab="0" delimiter="~">
      <textFields count="6">
        <textField type="skip"/>
        <textField type="skip"/>
        <textField type="skip"/>
        <textField type="skip"/>
        <textField type="skip"/>
        <textField type="skip"/>
      </textFields>
    </textPr>
  </connection>
</connections>
</file>

<file path=xl/sharedStrings.xml><?xml version="1.0" encoding="utf-8"?>
<sst xmlns="http://schemas.openxmlformats.org/spreadsheetml/2006/main" count="6003" uniqueCount="632">
  <si>
    <t>Flow (50050)</t>
  </si>
  <si>
    <t>Dissolved Oxygen, Probe</t>
  </si>
  <si>
    <t>pH</t>
  </si>
  <si>
    <t>E-Coli, MPN Idexx Colilert</t>
  </si>
  <si>
    <t>TRC</t>
  </si>
  <si>
    <t>Ammonia Nitrogen, AA</t>
  </si>
  <si>
    <t>NO3+NO2 as N - Cd Red.</t>
  </si>
  <si>
    <t>CBOD, 5-Day</t>
  </si>
  <si>
    <t>CBOD % removal</t>
  </si>
  <si>
    <t>Total Suspended Solids</t>
  </si>
  <si>
    <t>TSS % Removal</t>
  </si>
  <si>
    <t>Visible Sheen, (Grease)</t>
  </si>
  <si>
    <t>Oil &amp; Grease (mg/L)</t>
  </si>
  <si>
    <t>Cadmium, Pot. Diss.</t>
  </si>
  <si>
    <t>Chloride</t>
  </si>
  <si>
    <t>Sulfate</t>
  </si>
  <si>
    <t>2B</t>
  </si>
  <si>
    <t>4B</t>
  </si>
  <si>
    <t>Day</t>
  </si>
  <si>
    <t>Date</t>
  </si>
  <si>
    <t>North</t>
  </si>
  <si>
    <t>South</t>
  </si>
  <si>
    <t>Total</t>
  </si>
  <si>
    <t>Mdlcomparison</t>
  </si>
  <si>
    <t>RPT_VALUE</t>
  </si>
  <si>
    <t>Flow weighted</t>
  </si>
  <si>
    <t>7 day average</t>
  </si>
  <si>
    <t>Count</t>
  </si>
  <si>
    <t>Flow Weighted</t>
  </si>
  <si>
    <t>1002B</t>
  </si>
  <si>
    <t>1004B</t>
  </si>
  <si>
    <t>count</t>
  </si>
  <si>
    <t>FW</t>
  </si>
  <si>
    <t>Sheet Name</t>
  </si>
  <si>
    <t>Start Cell</t>
  </si>
  <si>
    <t>End Cell</t>
  </si>
  <si>
    <t>BusinessArea Name</t>
  </si>
  <si>
    <t>ReportGroup Name</t>
  </si>
  <si>
    <t>Report Name</t>
  </si>
  <si>
    <t>Parameters</t>
  </si>
  <si>
    <t>Rows</t>
  </si>
  <si>
    <t>Status</t>
  </si>
  <si>
    <t>StartTime</t>
  </si>
  <si>
    <t>EndTime</t>
  </si>
  <si>
    <t>Json ParameterString</t>
  </si>
  <si>
    <t>User Id</t>
  </si>
  <si>
    <t>BusinessArea Id</t>
  </si>
  <si>
    <t>ReportGroup Id</t>
  </si>
  <si>
    <t>Report Id</t>
  </si>
  <si>
    <t>Headers</t>
  </si>
  <si>
    <t>Sheet Name Ref</t>
  </si>
  <si>
    <t>Pivot Sheet Name Ref</t>
  </si>
  <si>
    <t>Splash SessionID</t>
  </si>
  <si>
    <t>Process Id</t>
  </si>
  <si>
    <t>Pivot Sheet Name</t>
  </si>
  <si>
    <t>Old ProcessId</t>
  </si>
  <si>
    <t>ColumnsCount</t>
  </si>
  <si>
    <t>Download Time</t>
  </si>
  <si>
    <t>Error Message</t>
  </si>
  <si>
    <t>MandatoryParameters</t>
  </si>
  <si>
    <t>IsModifyReport</t>
  </si>
  <si>
    <t>UserGroup ID</t>
  </si>
  <si>
    <t>Modify Report JSON</t>
  </si>
  <si>
    <t>A1</t>
  </si>
  <si>
    <t>MWRD</t>
  </si>
  <si>
    <t xml:space="preserve">MWRD Regulatory </t>
  </si>
  <si>
    <t>Y</t>
  </si>
  <si>
    <t>null</t>
  </si>
  <si>
    <t/>
  </si>
  <si>
    <t>The file is not existed in the server</t>
  </si>
  <si>
    <t>Trunc Date</t>
  </si>
  <si>
    <t>Tag</t>
  </si>
  <si>
    <t>Value Text</t>
  </si>
  <si>
    <t>Average</t>
  </si>
  <si>
    <t>Unitofmeasure</t>
  </si>
  <si>
    <t>Isexcluded</t>
  </si>
  <si>
    <t>MGD</t>
  </si>
  <si>
    <t>FI-F350</t>
  </si>
  <si>
    <t>N. OUTFALL WEIR (001)</t>
  </si>
  <si>
    <t>FI-F4</t>
  </si>
  <si>
    <t>S. FINAL EFFLUENT FLUME</t>
  </si>
  <si>
    <t>User Name</t>
  </si>
  <si>
    <t>Submission Date</t>
  </si>
  <si>
    <t>kleach</t>
  </si>
  <si>
    <t>Acode</t>
  </si>
  <si>
    <t>Methoddetectionlimit</t>
  </si>
  <si>
    <t>N. Final Effluent Alt Platform</t>
  </si>
  <si>
    <t>NH3A</t>
  </si>
  <si>
    <t>FC24</t>
  </si>
  <si>
    <t>mg/L</t>
  </si>
  <si>
    <t>NO5</t>
  </si>
  <si>
    <t>S Final Effluent Alt Platform</t>
  </si>
  <si>
    <t>North Final Effluent Platform</t>
  </si>
  <si>
    <t>CBOD</t>
  </si>
  <si>
    <t>P</t>
  </si>
  <si>
    <t>$ICAN</t>
  </si>
  <si>
    <t>WCNM</t>
  </si>
  <si>
    <t>Cyanide, WeakAcid, Man. Dist</t>
  </si>
  <si>
    <t>G</t>
  </si>
  <si>
    <t>ug/L</t>
  </si>
  <si>
    <t>DO</t>
  </si>
  <si>
    <t>ECIDX</t>
  </si>
  <si>
    <t>EC/100mL</t>
  </si>
  <si>
    <t>$NONP</t>
  </si>
  <si>
    <t>Nonylphenol</t>
  </si>
  <si>
    <t>TSS</t>
  </si>
  <si>
    <t>VISSH</t>
  </si>
  <si>
    <t>South Final Effluent Platform</t>
  </si>
  <si>
    <t>6</t>
  </si>
  <si>
    <t>Combined Final Effluent</t>
  </si>
  <si>
    <t>$IMSPD</t>
  </si>
  <si>
    <t>Arsenic, Pot. Diss.</t>
  </si>
  <si>
    <t>Copper, Pot. Diss.</t>
  </si>
  <si>
    <t>$ICPDC</t>
  </si>
  <si>
    <t>Iron, Diss.</t>
  </si>
  <si>
    <t>$ICPT1</t>
  </si>
  <si>
    <t>Iron, Tot.</t>
  </si>
  <si>
    <t>Lead, Pot. Diss.</t>
  </si>
  <si>
    <t>Nickel, Pot. Diss.</t>
  </si>
  <si>
    <t>Selenium, Pot. Diss.</t>
  </si>
  <si>
    <t>Silver, Pot. Diss.</t>
  </si>
  <si>
    <t>Zinc, Pot. Diss.</t>
  </si>
  <si>
    <t>PH</t>
  </si>
  <si>
    <t>std</t>
  </si>
  <si>
    <t>Samplenumber</t>
  </si>
  <si>
    <t>FTR</t>
  </si>
  <si>
    <t>Flow to the River</t>
  </si>
  <si>
    <t>30 DayAverage</t>
  </si>
  <si>
    <t>Daily Max</t>
  </si>
  <si>
    <t>7- Day Average (max)</t>
  </si>
  <si>
    <t>Period Start</t>
  </si>
  <si>
    <t>Period End</t>
  </si>
  <si>
    <t>Month</t>
  </si>
  <si>
    <t>Daily Min</t>
  </si>
  <si>
    <t>7 - Day Average (min)</t>
  </si>
  <si>
    <t>Min Count</t>
  </si>
  <si>
    <t>Location Codes</t>
  </si>
  <si>
    <t>Criteria</t>
  </si>
  <si>
    <t>Lbs/Day</t>
  </si>
  <si>
    <t>North Flow</t>
  </si>
  <si>
    <t>South Flow</t>
  </si>
  <si>
    <t>Total Flow</t>
  </si>
  <si>
    <t>permit_id</t>
  </si>
  <si>
    <t>permitted_feature_id</t>
  </si>
  <si>
    <t>limit_set_txt</t>
  </si>
  <si>
    <t>mped_txt</t>
  </si>
  <si>
    <t>form_nodi_cd</t>
  </si>
  <si>
    <t>parameter_cd</t>
  </si>
  <si>
    <t>monitoring_location_cd</t>
  </si>
  <si>
    <t>season_num</t>
  </si>
  <si>
    <t>quant_1_nodi_cd</t>
  </si>
  <si>
    <t>quant_1_qualifier_txt</t>
  </si>
  <si>
    <t>quant_1_sample_num</t>
  </si>
  <si>
    <t>quant_1_effluent_num</t>
  </si>
  <si>
    <t>quant_2_nodi_cd</t>
  </si>
  <si>
    <t>quant_2_qualifier_txt</t>
  </si>
  <si>
    <t>quant_2_sample_num</t>
  </si>
  <si>
    <t>quant_2_effluent_num</t>
  </si>
  <si>
    <t>quant_uom_cd</t>
  </si>
  <si>
    <t>conc_1_nodi_cd</t>
  </si>
  <si>
    <t>conc_1_qualifier_txt</t>
  </si>
  <si>
    <t>conc_1_sample_num</t>
  </si>
  <si>
    <t>conc_1_effluent_num</t>
  </si>
  <si>
    <t>conc_2_nodi_cd</t>
  </si>
  <si>
    <t>conc_2_qualifier_txt</t>
  </si>
  <si>
    <t>conc_2_sample_num</t>
  </si>
  <si>
    <t>conc_2_effluent_num</t>
  </si>
  <si>
    <t>conc_3_nodi_cd</t>
  </si>
  <si>
    <t>conc_3_qualifier_txt</t>
  </si>
  <si>
    <t>conc_3_sample_num</t>
  </si>
  <si>
    <t>conc_3_effluent_num</t>
  </si>
  <si>
    <t>conc_uom_cd</t>
  </si>
  <si>
    <t>excursions_num</t>
  </si>
  <si>
    <t>freq_analysis_cd</t>
  </si>
  <si>
    <t>sample_type_cd</t>
  </si>
  <si>
    <t>param_nodi_cd</t>
  </si>
  <si>
    <t>comment_txt</t>
  </si>
  <si>
    <t>CO0026638</t>
  </si>
  <si>
    <t>C</t>
  </si>
  <si>
    <t>00300</t>
  </si>
  <si>
    <t>=</t>
  </si>
  <si>
    <t>Excursions</t>
  </si>
  <si>
    <t>GR</t>
  </si>
  <si>
    <t>00400</t>
  </si>
  <si>
    <t>00530</t>
  </si>
  <si>
    <t>00610</t>
  </si>
  <si>
    <t>00630</t>
  </si>
  <si>
    <t>00640</t>
  </si>
  <si>
    <t>00665</t>
  </si>
  <si>
    <t>00940</t>
  </si>
  <si>
    <t>00980</t>
  </si>
  <si>
    <t>01046</t>
  </si>
  <si>
    <t>01313</t>
  </si>
  <si>
    <t>03582</t>
  </si>
  <si>
    <t>50050</t>
  </si>
  <si>
    <t>50060</t>
  </si>
  <si>
    <t>51040</t>
  </si>
  <si>
    <t>51568</t>
  </si>
  <si>
    <t>80082</t>
  </si>
  <si>
    <t>80091</t>
  </si>
  <si>
    <t>81011</t>
  </si>
  <si>
    <t>K</t>
  </si>
  <si>
    <t>CP</t>
  </si>
  <si>
    <t>RC</t>
  </si>
  <si>
    <t>CA</t>
  </si>
  <si>
    <t>VI</t>
  </si>
  <si>
    <t>NCT</t>
  </si>
  <si>
    <t>Ammonia</t>
  </si>
  <si>
    <t>Cadmium</t>
  </si>
  <si>
    <t>Report</t>
  </si>
  <si>
    <t>99/99</t>
  </si>
  <si>
    <t>7 day average - RegularGeomean</t>
  </si>
  <si>
    <t>LN 2</t>
  </si>
  <si>
    <t>LN 4</t>
  </si>
  <si>
    <t>Sum top</t>
  </si>
  <si>
    <t>CFE</t>
  </si>
  <si>
    <t>LN2*FLOW</t>
  </si>
  <si>
    <t>LN4*FLOW</t>
  </si>
  <si>
    <t>(sum top)/(total flow)</t>
  </si>
  <si>
    <t>30-day</t>
  </si>
  <si>
    <t>Days in Month</t>
  </si>
  <si>
    <t>Pivot</t>
  </si>
  <si>
    <t>6I</t>
  </si>
  <si>
    <t>DO Check</t>
  </si>
  <si>
    <t>pH Check</t>
  </si>
  <si>
    <t>Ammonia Check</t>
  </si>
  <si>
    <t>NO5 Check</t>
  </si>
  <si>
    <t>CBOD Check</t>
  </si>
  <si>
    <t>TSS Check</t>
  </si>
  <si>
    <t>Cd (PD) Check</t>
  </si>
  <si>
    <t>Iron (Diss) check</t>
  </si>
  <si>
    <t>Fe (total) check</t>
  </si>
  <si>
    <t>sulfate check</t>
  </si>
  <si>
    <t>chloride check</t>
  </si>
  <si>
    <t>Nonylphenol check</t>
  </si>
  <si>
    <t>2I</t>
  </si>
  <si>
    <t>4I</t>
  </si>
  <si>
    <t>** converted from mg/L to ug/L</t>
  </si>
  <si>
    <t>001</t>
  </si>
  <si>
    <t>Flow</t>
  </si>
  <si>
    <t>TIN</t>
  </si>
  <si>
    <t>Phosphorus</t>
  </si>
  <si>
    <t>81020</t>
  </si>
  <si>
    <t>84066</t>
  </si>
  <si>
    <t>DMR 001C NEW</t>
  </si>
  <si>
    <t>(P)DMR 001C NEW</t>
  </si>
  <si>
    <t>D0N Totals</t>
  </si>
  <si>
    <t>Sample Date</t>
  </si>
  <si>
    <t>Loccode</t>
  </si>
  <si>
    <t>Loccode Desc</t>
  </si>
  <si>
    <t>Anlname</t>
  </si>
  <si>
    <t>Acquired Type</t>
  </si>
  <si>
    <t>Uom</t>
  </si>
  <si>
    <t>Result</t>
  </si>
  <si>
    <t>Qualify</t>
  </si>
  <si>
    <t>Mdl</t>
  </si>
  <si>
    <t>Ml Factor</t>
  </si>
  <si>
    <t>Sampno</t>
  </si>
  <si>
    <t>Scratched</t>
  </si>
  <si>
    <t>n</t>
  </si>
  <si>
    <t>Combined Final Effluent-CDPS Metals</t>
  </si>
  <si>
    <t>$IMSTW</t>
  </si>
  <si>
    <t>Mdl comparison</t>
  </si>
  <si>
    <t>TCN</t>
  </si>
  <si>
    <t>Cyanide, Tot.</t>
  </si>
  <si>
    <t>Zinc, Tot.</t>
  </si>
  <si>
    <t>DMR Flows-Effluent</t>
  </si>
  <si>
    <t>(P)DMR Flows-Effluent</t>
  </si>
  <si>
    <t>DF Totals</t>
  </si>
  <si>
    <t>N/A</t>
  </si>
  <si>
    <t>2 mg/L</t>
  </si>
  <si>
    <t>Limits</t>
  </si>
  <si>
    <t>Location Code</t>
  </si>
  <si>
    <t>Notes</t>
  </si>
  <si>
    <t>Nodi Code</t>
  </si>
  <si>
    <t>computing result</t>
  </si>
  <si>
    <t>Computing Result</t>
  </si>
  <si>
    <t>** Verify comparison</t>
  </si>
  <si>
    <t>001-C</t>
  </si>
  <si>
    <t>Tetrachloroethene</t>
  </si>
  <si>
    <t>CG</t>
  </si>
  <si>
    <t>ML</t>
  </si>
  <si>
    <t>DMR Count</t>
  </si>
  <si>
    <t>Combined Final Effluent-CDPS CN</t>
  </si>
  <si>
    <t>Combined Final Effluent-CDPS NONP</t>
  </si>
  <si>
    <t>SS</t>
  </si>
  <si>
    <t>North Final Effluent-CDPS HEM 1</t>
  </si>
  <si>
    <t>HEXGR</t>
  </si>
  <si>
    <t>Hexane Extractables</t>
  </si>
  <si>
    <t>North Final Effluent-CDPS HEM 2</t>
  </si>
  <si>
    <t>North Final Effluent-CDPS HEM 3</t>
  </si>
  <si>
    <t>North Final Effluent-CDPS HEM 4</t>
  </si>
  <si>
    <t>HEXHC</t>
  </si>
  <si>
    <t>Hexane Hydrocarbons Extr.</t>
  </si>
  <si>
    <t>South Final Effluent-CDPS HEM2</t>
  </si>
  <si>
    <t>South Final Effluent-CDPS HEM1</t>
  </si>
  <si>
    <t>South Final Effluent-CDPS HEM3</t>
  </si>
  <si>
    <t>South Final Effluent-CDPS HEM4</t>
  </si>
  <si>
    <t>77/77</t>
  </si>
  <si>
    <t>** Verify samples since multiple taken in one day</t>
  </si>
  <si>
    <t>North Final Effluent-CDPS VOC 2</t>
  </si>
  <si>
    <t>$VOC1</t>
  </si>
  <si>
    <t>North Final Effluent-CDPS VOC 3</t>
  </si>
  <si>
    <t>North Final Effluent-CDPS VOC 1</t>
  </si>
  <si>
    <t>North Final Effluent-CDPS VOC 4</t>
  </si>
  <si>
    <t>South Final Effluent-CDPS VOC 2</t>
  </si>
  <si>
    <t>South Final Effluent-CDPS VOC 1</t>
  </si>
  <si>
    <t>South Final Effluent-CDPS VOC 3</t>
  </si>
  <si>
    <t>South Final Effluent-CDPS VOC 4</t>
  </si>
  <si>
    <t>**Check "pH Grabs" tab for reported values</t>
  </si>
  <si>
    <t>CDPS event pH:</t>
  </si>
  <si>
    <t>Max=</t>
  </si>
  <si>
    <t>**Check "pH Grabs" tab for actual reported values</t>
  </si>
  <si>
    <t>Min=</t>
  </si>
  <si>
    <t>Reported DMR values:</t>
  </si>
  <si>
    <t>pH  Grabs</t>
  </si>
  <si>
    <t>Time</t>
  </si>
  <si>
    <t>Reading</t>
  </si>
  <si>
    <t>CDPS Grabs:</t>
  </si>
  <si>
    <t>AE67512</t>
  </si>
  <si>
    <t>AE67659</t>
  </si>
  <si>
    <t>AE67896</t>
  </si>
  <si>
    <t>AE68266</t>
  </si>
  <si>
    <t>AE68372</t>
  </si>
  <si>
    <t>AE68680</t>
  </si>
  <si>
    <t>AE69033</t>
  </si>
  <si>
    <t>AE69517</t>
  </si>
  <si>
    <t>AE69617</t>
  </si>
  <si>
    <t>AE69770</t>
  </si>
  <si>
    <t>AE70218</t>
  </si>
  <si>
    <t>AE70310</t>
  </si>
  <si>
    <t>AE70459</t>
  </si>
  <si>
    <t>AE70972</t>
  </si>
  <si>
    <t>AE71033</t>
  </si>
  <si>
    <t>AE67514</t>
  </si>
  <si>
    <t>AE67661</t>
  </si>
  <si>
    <t>AE67898</t>
  </si>
  <si>
    <t>AE68268</t>
  </si>
  <si>
    <t>AE68374</t>
  </si>
  <si>
    <t>AE68682</t>
  </si>
  <si>
    <t>AE69035</t>
  </si>
  <si>
    <t>AE69519</t>
  </si>
  <si>
    <t>AE69619</t>
  </si>
  <si>
    <t>AE69772</t>
  </si>
  <si>
    <t>AE70220</t>
  </si>
  <si>
    <t>AE70312</t>
  </si>
  <si>
    <t>AE70461</t>
  </si>
  <si>
    <t>AE70974</t>
  </si>
  <si>
    <t>AE71035</t>
  </si>
  <si>
    <t>AE67513</t>
  </si>
  <si>
    <t>AE67660</t>
  </si>
  <si>
    <t>AE67778</t>
  </si>
  <si>
    <t>AE67897</t>
  </si>
  <si>
    <t>AE68022</t>
  </si>
  <si>
    <t>AE68126</t>
  </si>
  <si>
    <t>AE68200</t>
  </si>
  <si>
    <t>AE68267</t>
  </si>
  <si>
    <t>AE68373</t>
  </si>
  <si>
    <t>AE68542</t>
  </si>
  <si>
    <t>AE68681</t>
  </si>
  <si>
    <t>AE68828</t>
  </si>
  <si>
    <t>AE68895</t>
  </si>
  <si>
    <t>AE68955</t>
  </si>
  <si>
    <t>AE69034</t>
  </si>
  <si>
    <t>AE69099</t>
  </si>
  <si>
    <t>AE69257</t>
  </si>
  <si>
    <t>AE69390</t>
  </si>
  <si>
    <t>AE69518</t>
  </si>
  <si>
    <t>AE69618</t>
  </si>
  <si>
    <t>AE69698</t>
  </si>
  <si>
    <t>AE69771</t>
  </si>
  <si>
    <t>AE69869</t>
  </si>
  <si>
    <t>AE69995</t>
  </si>
  <si>
    <t>AE70133</t>
  </si>
  <si>
    <t>AE70219</t>
  </si>
  <si>
    <t>AE70311</t>
  </si>
  <si>
    <t>AE70386</t>
  </si>
  <si>
    <t>AE70460</t>
  </si>
  <si>
    <t>AE70567</t>
  </si>
  <si>
    <t>AE70730</t>
  </si>
  <si>
    <t>AE70864</t>
  </si>
  <si>
    <t>AE70973</t>
  </si>
  <si>
    <t>AE71034</t>
  </si>
  <si>
    <t>AE71096</t>
  </si>
  <si>
    <t>AE67427</t>
  </si>
  <si>
    <t>AE67484</t>
  </si>
  <si>
    <t>AE67637</t>
  </si>
  <si>
    <t>AE67737</t>
  </si>
  <si>
    <t>AE67874</t>
  </si>
  <si>
    <t>AE68008</t>
  </si>
  <si>
    <t>AE68122</t>
  </si>
  <si>
    <t>AE68197</t>
  </si>
  <si>
    <t>AE68257</t>
  </si>
  <si>
    <t>AE68368</t>
  </si>
  <si>
    <t>AE68520</t>
  </si>
  <si>
    <t>AE68659</t>
  </si>
  <si>
    <t>AE68816</t>
  </si>
  <si>
    <t>AE68891</t>
  </si>
  <si>
    <t>AE68952</t>
  </si>
  <si>
    <t>AE69024</t>
  </si>
  <si>
    <t>AE69096</t>
  </si>
  <si>
    <t>AE69235</t>
  </si>
  <si>
    <t>AE69500</t>
  </si>
  <si>
    <t>AE69387</t>
  </si>
  <si>
    <t>AE69508</t>
  </si>
  <si>
    <t>AE69614</t>
  </si>
  <si>
    <t>AE69694</t>
  </si>
  <si>
    <t>AE69761</t>
  </si>
  <si>
    <t>AE69865</t>
  </si>
  <si>
    <t>AE69973</t>
  </si>
  <si>
    <t>AE70130</t>
  </si>
  <si>
    <t>AE70206</t>
  </si>
  <si>
    <t>AE70307</t>
  </si>
  <si>
    <t>AE70382</t>
  </si>
  <si>
    <t>AE70450</t>
  </si>
  <si>
    <t>AE70564</t>
  </si>
  <si>
    <t>AE70708</t>
  </si>
  <si>
    <t>AE70861</t>
  </si>
  <si>
    <t>AE70960</t>
  </si>
  <si>
    <t>AE71030</t>
  </si>
  <si>
    <t>AE67422</t>
  </si>
  <si>
    <t>AE67489</t>
  </si>
  <si>
    <t>AE67642</t>
  </si>
  <si>
    <t>AE67742</t>
  </si>
  <si>
    <t>AE67879</t>
  </si>
  <si>
    <t>AE68003</t>
  </si>
  <si>
    <t>AE68117</t>
  </si>
  <si>
    <t>AE68192</t>
  </si>
  <si>
    <t>AE68252</t>
  </si>
  <si>
    <t>AE68363</t>
  </si>
  <si>
    <t>AE68515</t>
  </si>
  <si>
    <t>AE68654</t>
  </si>
  <si>
    <t>AE68811</t>
  </si>
  <si>
    <t>AE68886</t>
  </si>
  <si>
    <t>AE68947</t>
  </si>
  <si>
    <t>AE69019</t>
  </si>
  <si>
    <t>AE69091</t>
  </si>
  <si>
    <t>AE69230</t>
  </si>
  <si>
    <t>AE69382</t>
  </si>
  <si>
    <t>AE69503</t>
  </si>
  <si>
    <t>AE69609</t>
  </si>
  <si>
    <t>AE69689</t>
  </si>
  <si>
    <t>AE69756</t>
  </si>
  <si>
    <t>AE69860</t>
  </si>
  <si>
    <t>AE69968</t>
  </si>
  <si>
    <t>AE70125</t>
  </si>
  <si>
    <t>AE70201</t>
  </si>
  <si>
    <t>AE70302</t>
  </si>
  <si>
    <t>AE70377</t>
  </si>
  <si>
    <t>AE70445</t>
  </si>
  <si>
    <t>AE70559</t>
  </si>
  <si>
    <t>AE70703</t>
  </si>
  <si>
    <t>AE70856</t>
  </si>
  <si>
    <t>AE70955</t>
  </si>
  <si>
    <t>AE71026</t>
  </si>
  <si>
    <t>AE68771</t>
  </si>
  <si>
    <t>AE68772</t>
  </si>
  <si>
    <t>AE68789</t>
  </si>
  <si>
    <t>AE68788</t>
  </si>
  <si>
    <t>AE68790</t>
  </si>
  <si>
    <t>AE68770</t>
  </si>
  <si>
    <t>AE68791</t>
  </si>
  <si>
    <t>AE68773</t>
  </si>
  <si>
    <t>AE67515</t>
  </si>
  <si>
    <t>AE67662</t>
  </si>
  <si>
    <t>AE67779</t>
  </si>
  <si>
    <t>AE67899</t>
  </si>
  <si>
    <t>AE68023</t>
  </si>
  <si>
    <t>AE68127</t>
  </si>
  <si>
    <t>AE68201</t>
  </si>
  <si>
    <t>AE68269</t>
  </si>
  <si>
    <t>AE68375</t>
  </si>
  <si>
    <t>AE68543</t>
  </si>
  <si>
    <t>AE68683</t>
  </si>
  <si>
    <t>AE68829</t>
  </si>
  <si>
    <t>AE68896</t>
  </si>
  <si>
    <t>AE68956</t>
  </si>
  <si>
    <t>AE69036</t>
  </si>
  <si>
    <t>AE69100</t>
  </si>
  <si>
    <t>AE69258</t>
  </si>
  <si>
    <t>AE69391</t>
  </si>
  <si>
    <t>AE69520</t>
  </si>
  <si>
    <t>AE69620</t>
  </si>
  <si>
    <t>AE69699</t>
  </si>
  <si>
    <t>AE69773</t>
  </si>
  <si>
    <t>AE69870</t>
  </si>
  <si>
    <t>AE69996</t>
  </si>
  <si>
    <t>AE70134</t>
  </si>
  <si>
    <t>AE70221</t>
  </si>
  <si>
    <t>AE70313</t>
  </si>
  <si>
    <t>AE70387</t>
  </si>
  <si>
    <t>AE70462</t>
  </si>
  <si>
    <t>AE70568</t>
  </si>
  <si>
    <t>AE70731</t>
  </si>
  <si>
    <t>AE70865</t>
  </si>
  <si>
    <t>AE70975</t>
  </si>
  <si>
    <t>AE71036</t>
  </si>
  <si>
    <t>AE71097</t>
  </si>
  <si>
    <t>AE67428</t>
  </si>
  <si>
    <t>AE67485</t>
  </si>
  <si>
    <t>AE67638</t>
  </si>
  <si>
    <t>AE67738</t>
  </si>
  <si>
    <t>AE67875</t>
  </si>
  <si>
    <t>AE68009</t>
  </si>
  <si>
    <t>AE68123</t>
  </si>
  <si>
    <t>AE68198</t>
  </si>
  <si>
    <t>AE68258</t>
  </si>
  <si>
    <t>AE68369</t>
  </si>
  <si>
    <t>AE68521</t>
  </si>
  <si>
    <t>AE68660</t>
  </si>
  <si>
    <t>AE68817</t>
  </si>
  <si>
    <t>AE68892</t>
  </si>
  <si>
    <t>AE68953</t>
  </si>
  <si>
    <t>AE69025</t>
  </si>
  <si>
    <t>AE69097</t>
  </si>
  <si>
    <t>AE69236</t>
  </si>
  <si>
    <t>AE69501</t>
  </si>
  <si>
    <t>AE69388</t>
  </si>
  <si>
    <t>AE69509</t>
  </si>
  <si>
    <t>AE69615</t>
  </si>
  <si>
    <t>AE69695</t>
  </si>
  <si>
    <t>AE69762</t>
  </si>
  <si>
    <t>AE69866</t>
  </si>
  <si>
    <t>AE69974</t>
  </si>
  <si>
    <t>AE70131</t>
  </si>
  <si>
    <t>AE70207</t>
  </si>
  <si>
    <t>AE70308</t>
  </si>
  <si>
    <t>AE70383</t>
  </si>
  <si>
    <t>AE70451</t>
  </si>
  <si>
    <t>AE70565</t>
  </si>
  <si>
    <t>AE70709</t>
  </si>
  <si>
    <t>AE70862</t>
  </si>
  <si>
    <t>AE70961</t>
  </si>
  <si>
    <t>AE71031</t>
  </si>
  <si>
    <t>AE67423</t>
  </si>
  <si>
    <t>AE67490</t>
  </si>
  <si>
    <t>AE67643</t>
  </si>
  <si>
    <t>AE67743</t>
  </si>
  <si>
    <t>AE67880</t>
  </si>
  <si>
    <t>AE68004</t>
  </si>
  <si>
    <t>AE68118</t>
  </si>
  <si>
    <t>AE68193</t>
  </si>
  <si>
    <t>AE68253</t>
  </si>
  <si>
    <t>AE68364</t>
  </si>
  <si>
    <t>AE68516</t>
  </si>
  <si>
    <t>AE68655</t>
  </si>
  <si>
    <t>AE68812</t>
  </si>
  <si>
    <t>AE68887</t>
  </si>
  <si>
    <t>AE68948</t>
  </si>
  <si>
    <t>AE69020</t>
  </si>
  <si>
    <t>AE69092</t>
  </si>
  <si>
    <t>AE69231</t>
  </si>
  <si>
    <t>AE69383</t>
  </si>
  <si>
    <t>AE69504</t>
  </si>
  <si>
    <t>AE69610</t>
  </si>
  <si>
    <t>AE69690</t>
  </si>
  <si>
    <t>AE69757</t>
  </si>
  <si>
    <t>AE69861</t>
  </si>
  <si>
    <t>AE69969</t>
  </si>
  <si>
    <t>AE70126</t>
  </si>
  <si>
    <t>AE70202</t>
  </si>
  <si>
    <t>AE70303</t>
  </si>
  <si>
    <t>AE70378</t>
  </si>
  <si>
    <t>AE70446</t>
  </si>
  <si>
    <t>AE70560</t>
  </si>
  <si>
    <t>AE70704</t>
  </si>
  <si>
    <t>AE70857</t>
  </si>
  <si>
    <t>AE70956</t>
  </si>
  <si>
    <t>AE71027</t>
  </si>
  <si>
    <t>AE68766</t>
  </si>
  <si>
    <t>AE68767</t>
  </si>
  <si>
    <t>AE68786</t>
  </si>
  <si>
    <t>AE68785</t>
  </si>
  <si>
    <t>AE68784</t>
  </si>
  <si>
    <t>AE68768</t>
  </si>
  <si>
    <t>AE68787</t>
  </si>
  <si>
    <t>AE68769</t>
  </si>
  <si>
    <t>AE68125</t>
  </si>
  <si>
    <t>AE68894</t>
  </si>
  <si>
    <t>AE69256</t>
  </si>
  <si>
    <t>AE69994</t>
  </si>
  <si>
    <t>AE70729</t>
  </si>
  <si>
    <t>AE67429</t>
  </si>
  <si>
    <t>AE67486</t>
  </si>
  <si>
    <t>AE67639</t>
  </si>
  <si>
    <t>AE67739</t>
  </si>
  <si>
    <t>AE67876</t>
  </si>
  <si>
    <t>AE68010</t>
  </si>
  <si>
    <t>AE68124</t>
  </si>
  <si>
    <t>AE68199</t>
  </si>
  <si>
    <t>AE68259</t>
  </si>
  <si>
    <t>AE68370</t>
  </si>
  <si>
    <t>AE68522</t>
  </si>
  <si>
    <t>AE68679</t>
  </si>
  <si>
    <t>AE68818</t>
  </si>
  <si>
    <t>AE68893</t>
  </si>
  <si>
    <t>AE68954</t>
  </si>
  <si>
    <t>AE69026</t>
  </si>
  <si>
    <t>AE69098</t>
  </si>
  <si>
    <t>AE69237</t>
  </si>
  <si>
    <t>AE69389</t>
  </si>
  <si>
    <t>AE69510</t>
  </si>
  <si>
    <t>AE69616</t>
  </si>
  <si>
    <t>AE69696</t>
  </si>
  <si>
    <t>AE69763</t>
  </si>
  <si>
    <t>AE69867</t>
  </si>
  <si>
    <t>AE69975</t>
  </si>
  <si>
    <t>AE70132</t>
  </si>
  <si>
    <t>AE70208</t>
  </si>
  <si>
    <t>AE70309</t>
  </si>
  <si>
    <t>AE70384</t>
  </si>
  <si>
    <t>AE70452</t>
  </si>
  <si>
    <t>AE70566</t>
  </si>
  <si>
    <t>AE70710</t>
  </si>
  <si>
    <t>AE70863</t>
  </si>
  <si>
    <t>AE70962</t>
  </si>
  <si>
    <t>AE71032</t>
  </si>
  <si>
    <t>AE68754</t>
  </si>
  <si>
    <t>AE68751</t>
  </si>
  <si>
    <t>[{"dataType":"DATE","displayType":"DR","dateRange":"Custom","endDateRange":"2019-08-31","parameterName":"Sample Date","parameterValue":null,"startDateRange":"2019-07-28","dateFormat":"yyyy-MM-dd","originalDataType":null},{"dataType":"TEXT","displayType":"DD","dateRange":null,"endDateRange":null,"parameterName":"Loccode","parameterValue":"\"6I\",\"2B\",\"4B\",\"6\",\"1002B\",\"1004B\",\"2I\",\"4I\"","startDateRange":null,"dateFormat":null,"originalDataType":"TEXT"},{"dataType":"TEXT","displayType":"DD","dateRange":null,"endDateRange":null,"parameterName":"Acode","parameterValue":"\"DO\",\"PH\",\"ECIDX\",\"TCL2A\",\"NH3A\",\"NO5\",\"CBOD\",\"TSS\",\"VISSH\",\"$IMSTW\",\"$ICPM\",\"$IMSPD\",\"HGLL\",\"$ICAN\",\"$PERC1\",\"$VOC\",\"$NONP\",\"WCNM\",\"$ICPDC\",\"$ICPT1\",\"FTR\",\"TCN\",\"TCN1\",\"TLTMW\",\"HGCVW\",\"PHE\",\"$MET2\",\"TCNM\",\"$CDCR3\",\"$CHFH5\",\"XHEM\",\"HEXGR\",\"HEXHC\",\"$VOC1\"","startDateRange":null,"dateFormat":null,"originalDataType":"TEXT"},{"dataType":"TEXT","displayType":"DD","dateRange":null,"endDateRange":null,"parameterName":"Anlname","parameterValue":"\"Dissolved Oxygen, Probe\",\"pH\",\"E-Coli, MPN Idexx Colilert\",\"Tot. Chlorine Residual\",\"Ammonia Nitrogen, AA\",\"CBOD, 5-Day\",\"Total Suspended Solids\",\"Visible Sheen, (Grease)\",\"Arsenic, Tot.\",\"Arsenic, Pot. Diss.\",\"Cadmium, Pot. Diss.\",\"Cadmium, Tot.\",\"Chromium, Tot.\",\"Copper, Diss.\",\"Copper, Pot. Diss.\",\"Cyanide, WeakAcid, Man. Dist\",\"Iron, Diss.\",\"Iron, Tot.\",\"Lead, Diss.\",\"Lead, Pot. Diss.\",\"Lead, Tot.\",\"Manganese, Tot.\",\"Molybdenum, Tot.\",\"Mercury, Tot., Low Level\",\"Nickel, Tot.\",\"Nickel, Pot. Diss.\",\"Selenium, Pot. Diss.\",\"Silver, Pot. Diss.\",\"Zinc, Pot. Diss.\",\"Chloride\",\"Sulfate\",\"Nonylphenol\",\"NO3+NO2 as N - Cd Red.\",\"Flow to the River\",\"Cyanide, Tot.\",\"Beryllium, Tot.\",\"Copper, Tot.\",\"Thallium, Tot., ICPMS\",\"Silver, Tot.\",\"Zinc, Tot.\",\"Mercury, Tot., Cold Vapor\",\"Antimony, Tot.\",\"Selenium, Tot.\",\"Phenol, Manual Distill, AA\",\"Thallium\",\"Cyanide, Tot., Manual\",\"IC25 Reproduction\",\"IC25 Biomass\",\"NOEC Reproduction\",\"NOEC Biomass\",\"Tetrachloroethene\",\"Thallium, Tot.\",\"Hexane Extractables\",\"Hexane Hydrocarbons Extr.\"","startDateRange":null,"dateFormat":null,"originalDataType":"TEXT"},{"dataType":"TEXT","displayType":"DD","dateRange":null,"endDateRange":null,"parameterName":"Acquired Type","parameterValue":null,"startDateRange":null,"dateFormat":null,"originalDataType":"TEXT"}]</t>
  </si>
  <si>
    <t>Sample Date==Custom,2019-07-28,2019-08-31^^Loccode=="6I","2B","4B","6","1002B","1004B","2I","4I"^^Acode=="DO","PH","ECIDX","TCL2A","NH3A","NO5","CBOD","TSS","VISSH","$IMSTW","$ICPM","$IMSPD","HGLL","$ICAN","$PERC1","$VOC","$NONP","WCNM","$ICPDC","$ICPT1","FTR","TCN","TCN1","TLTMW","HGCVW","PHE","$MET2","TCNM","$CDCR3","$CHFH5","XHEM","HEXGR","HEXHC","$VOC1"^^Anlname=="Dissolved Oxygen, Probe","pH","E-Coli, MPN Idexx Colilert","Tot. Chlorine Residual","Ammonia Nitrogen, AA","CBOD, 5-Day","Total Suspended Solids","Visible Sheen, (Grease)","Arsenic, Tot.","Arsenic, Pot. Diss.","Cadmium, Pot. Diss.","Cadmium, Tot.","Chromium, Tot.","Copper, Diss.","Copper, Pot. Diss.","Cyanide, WeakAcid, Man. Dist","Iron, Diss.","Iron, Tot.","Lead, Diss.","Lead, Pot. Diss.","Lead, Tot.","Manganese, Tot.","Molybdenum, Tot.","Mercury, Tot., Low Level","Nickel, Tot.","Nickel, Pot. Diss.","Selenium, Pot. Diss.","Silver, Pot. Diss.","Zinc, Pot. Diss.","Chloride","Sulfate","Nonylphenol","NO3+NO2 as N - Cd Red.","Flow to the River","Cyanide, Tot.","Beryllium, Tot.","Copper, Tot.","Thallium, Tot., ICPMS","Silver, Tot.","Zinc, Tot.","Mercury, Tot., Cold Vapor","Antimony, Tot.","Selenium, Tot.","Phenol, Manual Distill, AA","Thallium","Cyanide, Tot., Manual","IC25 Reproduction","IC25 Biomass","NOEC Reproduction","NOEC Biomass","Tetrachloroethene","Thallium, Tot.","Hexane Extractables","Hexane Hydrocarbons Extr."^^Acquired Type==^^</t>
  </si>
  <si>
    <t>4164_1</t>
  </si>
  <si>
    <t xml:space="preserve">Sample Date=Custom,2019-07-28,2019-08-31
Loccode="6I","2B","4B","6","1002B","1004B","2I","4I"
Acode="DO","PH","ECIDX","TCL2A","NH3A","NO5","CBOD","TSS","VISSH","$IMSTW","$ICPM","$IMSPD","HGLL","$ICAN","$PERC1","$VOC","$NONP","WCNM","$ICPDC","$ICPT1","FTR","TCN","TCN1","TLTMW","HGCVW","PHE","$MET2","TCNM","$CDCR3","$CHFH5","XHEM","HEXGR","HEXHC","$VOC1"
Anlname="Dissolved Oxygen, Probe","pH","E-Coli, MPN Idexx Colilert","Tot. Chlorine Residual","Ammonia Nitrogen, AA","CBOD, 5-Day","Total Suspended Solids","Visible Sheen, (Grease)","Arsenic, Tot.","Arsenic, Pot. Diss.","Cadmium, Pot. Diss.","Cadmium, Tot.","Chromium, Tot.","Copper, Diss.","Copper, Pot. Diss.","Cyanide, WeakAcid, Man. Dist","Iron, Diss.","Iron, Tot.","Lead, Diss.","Lead, Pot. Diss.","Lead, Tot.","Manganese, Tot.","Molybdenum, Tot.","Mercury, Tot., Low Level","Nickel, Tot.","Nickel, Pot. Diss.","Selenium, Pot. Diss.","Silver, Pot. Diss.","Zinc, Pot. Diss.","Chloride","Sulfate","Nonylphenol","NO3+NO2 as N - Cd Red.","Flow to the River","Cyanide, Tot.","Beryllium, Tot.","Copper, Tot.","Thallium, Tot., ICPMS","Silver, Tot.","Zinc, Tot.","Mercury, Tot., Cold Vapor","Antimony, Tot.","Selenium, Tot.","Phenol, Manual Distill, AA","Thallium","Cyanide, Tot., Manual","IC25 Reproduction","IC25 Biomass","NOEC Reproduction","NOEC Biomass","Tetrachloroethene","Thallium, Tot.","Hexane Extractables","Hexane Hydrocarbons Extr."
Acquired Type=
</t>
  </si>
  <si>
    <t>[{"dataType":"TEXT","displayType":"DD","dateRange":null,"endDateRange":null,"parameterName":"Tag","parameterValue":"\"FI-F4\",\"FI-F350\"","startDateRange":null,"dateFormat":null,"originalDataType":"TEXT"},{"dataType":"NUMBER","displayType":"DD","dateRange":null,"endDateRange":null,"parameterName":"Isexcluded","parameterValue":null,"startDateRange":null,"dateFormat":null,"originalDataType":"NUMBER"},{"dataType":"DATE","displayType":"DR","dateRange":"Custom","endDateRange":"2019-08-31","parameterName":"Trunc Date","parameterValue":null,"startDateRange":"2019-07-28","dateFormat":null,"originalDataType":null}]</t>
  </si>
  <si>
    <t>Tag=="FI-F4","FI-F350"^^Isexcluded==^^Trunc Date==Custom,2019-07-28,2019-08-31^^</t>
  </si>
  <si>
    <t>4165_1</t>
  </si>
  <si>
    <t xml:space="preserve">Tag="FI-F4","FI-F350"
Isexcluded=
Trunc Date=Custom,2019-07-28,2019-08-31
</t>
  </si>
  <si>
    <t>&lt;</t>
  </si>
  <si>
    <t>Location</t>
  </si>
  <si>
    <t>SFE</t>
  </si>
  <si>
    <t>NFE</t>
  </si>
  <si>
    <t>Composited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</si>
</sst>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
    <numFmt numFmtId="165" formatCode="mm\/dd\/yyyy"/>
    <numFmt numFmtId="166" formatCode="0.000"/>
    <numFmt numFmtId="167" formatCode="yyyy\-mm\-dd"/>
    <numFmt numFmtId="168" formatCode="h:mm;@"/>
  </numFmts>
  <fonts count="14" x14ac:knownFonts="1">
    <font>
      <sz val="11"/>
      <color theme="1"/>
      <name val="Calibri"/>
      <family val="2"/>
      <scheme val="minor"/>
    </font>
    <font>
      <b/>
      <sz val="15"/>
      <color rgb="FFFFFFFF"/>
      <name val="Calibri"/>
      <family val="2"/>
      <scheme val="minor"/>
    </font>
    <font>
      <b/>
      <sz val="11"/>
      <color rgb="FFFFFFFF"/>
      <name val="Calibri"/>
      <family val="2"/>
      <scheme val="minor"/>
    </font>
    <font>
      <b/>
      <sz val="11"/>
      <name val="Calibri"/>
      <family val="2"/>
      <scheme val="minor"/>
    </font>
    <font>
      <sz val="11"/>
      <name val="Calibri"/>
      <family val="2"/>
      <scheme val="minor"/>
    </font>
    <font>
      <b/>
      <sz val="11"/>
      <color theme="1"/>
      <name val="Calibri"/>
      <family val="2"/>
      <scheme val="minor"/>
    </font>
    <font>
      <sz val="8"/>
      <color theme="1"/>
      <name val="Arial"/>
      <family val="2"/>
    </font>
    <font>
      <sz val="9"/>
      <color rgb="FF000000"/>
      <name val="Arial"/>
      <family val="2"/>
    </font>
    <font>
      <sz val="9"/>
      <color rgb="FF000000"/>
      <name val="NONE"/>
    </font>
    <font>
      <b/>
      <sz val="11"/>
      <color theme="0"/>
      <name val="Calibri"/>
      <family val="2"/>
      <scheme val="minor"/>
    </font>
    <font>
      <sz val="11"/>
      <color rgb="FFFFFFFF"/>
      <name val="Calibri"/>
      <family val="2"/>
      <scheme val="minor"/>
    </font>
    <font>
      <sz val="11"/>
      <color rgb="FF000000"/>
      <name val="Calibri"/>
      <family val="2"/>
    </font>
    <font>
      <sz val="10"/>
      <color theme="1"/>
      <name val="Calibri"/>
      <family val="2"/>
      <scheme val="minor"/>
    </font>
    <font>
      <b/>
      <sz val="8"/>
      <color theme="1"/>
      <name val="Arial"/>
      <family val="2"/>
    </font>
  </fonts>
  <fills count="10">
    <fill>
      <patternFill patternType="none"/>
    </fill>
    <fill>
      <patternFill patternType="gray125"/>
    </fill>
    <fill>
      <patternFill patternType="solid">
        <fgColor rgb="FF315593"/>
        <bgColor indexed="64"/>
      </patternFill>
    </fill>
    <fill>
      <patternFill patternType="solid">
        <fgColor rgb="FF97C3EA"/>
        <bgColor indexed="64"/>
      </patternFill>
    </fill>
    <fill>
      <patternFill patternType="solid">
        <fgColor theme="7" tint="0.7999816888943144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8" tint="0.79998168889431442"/>
        <bgColor indexed="64"/>
      </patternFill>
    </fill>
  </fills>
  <borders count="33">
    <border>
      <left/>
      <right/>
      <top/>
      <bottom/>
      <diagonal/>
    </border>
    <border>
      <left/>
      <right style="thin">
        <color rgb="FFD3D3D3"/>
      </right>
      <top/>
      <bottom style="thin">
        <color rgb="FFD3D3D3"/>
      </bottom>
      <diagonal/>
    </border>
    <border>
      <left style="thin">
        <color rgb="FFD3D3D3"/>
      </left>
      <right style="thin">
        <color rgb="FFD3D3D3"/>
      </right>
      <top/>
      <bottom style="thin">
        <color rgb="FFD3D3D3"/>
      </bottom>
      <diagonal/>
    </border>
    <border>
      <left style="thin">
        <color rgb="FFD3D3D3"/>
      </left>
      <right/>
      <top/>
      <bottom style="thin">
        <color rgb="FFD3D3D3"/>
      </bottom>
      <diagonal/>
    </border>
    <border>
      <left/>
      <right style="thin">
        <color rgb="FFD3D3D3"/>
      </right>
      <top style="thin">
        <color rgb="FFD3D3D3"/>
      </top>
      <bottom style="thin">
        <color rgb="FFD3D3D3"/>
      </bottom>
      <diagonal/>
    </border>
    <border>
      <left style="thin">
        <color rgb="FFD3D3D3"/>
      </left>
      <right style="thin">
        <color rgb="FFD3D3D3"/>
      </right>
      <top style="thin">
        <color rgb="FFD3D3D3"/>
      </top>
      <bottom style="thin">
        <color rgb="FFD3D3D3"/>
      </bottom>
      <diagonal/>
    </border>
    <border>
      <left style="thin">
        <color rgb="FFD3D3D3"/>
      </left>
      <right/>
      <top style="thin">
        <color rgb="FFD3D3D3"/>
      </top>
      <bottom style="thin">
        <color rgb="FFD3D3D3"/>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style="medium">
        <color indexed="64"/>
      </left>
      <right style="thin">
        <color rgb="FFD3D3D3"/>
      </right>
      <top style="medium">
        <color indexed="64"/>
      </top>
      <bottom style="medium">
        <color indexed="64"/>
      </bottom>
      <diagonal/>
    </border>
    <border>
      <left style="thin">
        <color rgb="FFD3D3D3"/>
      </left>
      <right style="thin">
        <color rgb="FFD3D3D3"/>
      </right>
      <top style="medium">
        <color indexed="64"/>
      </top>
      <bottom style="medium">
        <color indexed="64"/>
      </bottom>
      <diagonal/>
    </border>
    <border>
      <left/>
      <right style="medium">
        <color indexed="64"/>
      </right>
      <top style="thin">
        <color rgb="FFD3D3D3"/>
      </top>
      <bottom style="thin">
        <color rgb="FFD3D3D3"/>
      </bottom>
      <diagonal/>
    </border>
    <border>
      <left/>
      <right style="medium">
        <color indexed="64"/>
      </right>
      <top style="medium">
        <color indexed="64"/>
      </top>
      <bottom style="thin">
        <color rgb="FFD3D3D3"/>
      </bottom>
      <diagonal/>
    </border>
    <border>
      <left/>
      <right style="medium">
        <color indexed="64"/>
      </right>
      <top/>
      <bottom style="thin">
        <color rgb="FFD3D3D3"/>
      </bottom>
      <diagonal/>
    </border>
    <border>
      <left/>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thin">
        <color indexed="64"/>
      </bottom>
      <diagonal/>
    </border>
    <border>
      <left/>
      <right style="medium">
        <color indexed="64"/>
      </right>
      <top/>
      <bottom style="thin">
        <color indexed="64"/>
      </bottom>
      <diagonal/>
    </border>
  </borders>
  <cellStyleXfs count="1">
    <xf numFmtId="0" fontId="0" fillId="0" borderId="0"/>
  </cellStyleXfs>
  <cellXfs count="411">
    <xf numFmtId="0" fontId="0" fillId="0" borderId="0" xfId="0"/>
    <xf numFmtId="0" fontId="0" fillId="0" borderId="0" xfId="0" applyBorder="1"/>
    <xf numFmtId="0" fontId="2" fillId="2" borderId="0" xfId="0" applyFont="1" applyFill="1" applyBorder="1" applyAlignment="1">
      <alignment vertical="center" wrapText="1"/>
    </xf>
    <xf numFmtId="0" fontId="3" fillId="0" borderId="0" xfId="0" applyFont="1" applyFill="1" applyBorder="1" applyAlignment="1">
      <alignment vertical="center" wrapText="1"/>
    </xf>
    <xf numFmtId="0" fontId="4" fillId="0" borderId="0" xfId="0" applyFont="1" applyFill="1" applyBorder="1" applyAlignment="1">
      <alignment wrapText="1"/>
    </xf>
    <xf numFmtId="0" fontId="4" fillId="0" borderId="0" xfId="0" applyFont="1" applyFill="1" applyBorder="1"/>
    <xf numFmtId="2" fontId="0" fillId="0" borderId="0" xfId="0" applyNumberFormat="1" applyBorder="1"/>
    <xf numFmtId="49" fontId="0" fillId="0" borderId="0" xfId="0" applyNumberFormat="1"/>
    <xf numFmtId="22" fontId="0" fillId="0" borderId="0" xfId="0" applyNumberFormat="1"/>
    <xf numFmtId="0" fontId="0" fillId="0" borderId="0" xfId="0" applyAlignment="1">
      <alignment horizontal="left"/>
    </xf>
    <xf numFmtId="165" fontId="6" fillId="0" borderId="4" xfId="0" applyNumberFormat="1" applyFont="1" applyBorder="1" applyAlignment="1">
      <alignment horizontal="left"/>
    </xf>
    <xf numFmtId="49" fontId="6" fillId="0" borderId="5" xfId="0" applyNumberFormat="1" applyFont="1" applyBorder="1" applyAlignment="1">
      <alignment horizontal="left"/>
    </xf>
    <xf numFmtId="0" fontId="6" fillId="0" borderId="5" xfId="0" applyNumberFormat="1" applyFont="1" applyBorder="1" applyAlignment="1">
      <alignment horizontal="left"/>
    </xf>
    <xf numFmtId="0" fontId="0" fillId="0" borderId="0" xfId="0" applyFill="1" applyAlignment="1">
      <alignment horizontal="left"/>
    </xf>
    <xf numFmtId="165" fontId="7" fillId="3" borderId="1" xfId="0" applyNumberFormat="1" applyFont="1" applyFill="1" applyBorder="1" applyAlignment="1">
      <alignment horizontal="left" vertical="center"/>
    </xf>
    <xf numFmtId="49" fontId="7" fillId="3" borderId="2" xfId="0" applyNumberFormat="1" applyFont="1" applyFill="1" applyBorder="1" applyAlignment="1">
      <alignment horizontal="left" vertical="center"/>
    </xf>
    <xf numFmtId="0" fontId="7" fillId="3" borderId="2" xfId="0" applyNumberFormat="1" applyFont="1" applyFill="1" applyBorder="1" applyAlignment="1">
      <alignment horizontal="left" vertical="center"/>
    </xf>
    <xf numFmtId="49" fontId="8" fillId="3" borderId="2" xfId="0" applyNumberFormat="1" applyFont="1" applyFill="1" applyBorder="1" applyAlignment="1">
      <alignment horizontal="left" vertical="center"/>
    </xf>
    <xf numFmtId="0" fontId="5" fillId="0" borderId="0" xfId="0" applyFont="1" applyFill="1" applyAlignment="1">
      <alignment vertical="top"/>
    </xf>
    <xf numFmtId="0" fontId="0" fillId="0" borderId="0" xfId="0" applyFill="1" applyAlignment="1">
      <alignment vertical="top"/>
    </xf>
    <xf numFmtId="0" fontId="0" fillId="0" borderId="0" xfId="0" applyFill="1" applyAlignment="1">
      <alignment vertical="top" wrapText="1"/>
    </xf>
    <xf numFmtId="22" fontId="0" fillId="0" borderId="0" xfId="0" applyNumberFormat="1" applyFill="1" applyAlignment="1">
      <alignment vertical="top"/>
    </xf>
    <xf numFmtId="0" fontId="6" fillId="0" borderId="5" xfId="0" applyFont="1" applyBorder="1" applyAlignment="1">
      <alignment horizontal="left"/>
    </xf>
    <xf numFmtId="0" fontId="6" fillId="0" borderId="6" xfId="0" applyNumberFormat="1" applyFont="1" applyBorder="1" applyAlignment="1">
      <alignment horizontal="right"/>
    </xf>
    <xf numFmtId="0" fontId="0" fillId="0" borderId="0" xfId="0" applyFill="1" applyBorder="1"/>
    <xf numFmtId="2" fontId="0" fillId="0" borderId="0" xfId="0" applyNumberFormat="1" applyFill="1" applyBorder="1"/>
    <xf numFmtId="14" fontId="0" fillId="0" borderId="0" xfId="0" applyNumberFormat="1"/>
    <xf numFmtId="0" fontId="0" fillId="0" borderId="8" xfId="0" applyBorder="1"/>
    <xf numFmtId="0" fontId="0" fillId="0" borderId="12" xfId="0" applyBorder="1"/>
    <xf numFmtId="0" fontId="0" fillId="0" borderId="13" xfId="0" applyBorder="1"/>
    <xf numFmtId="0" fontId="0" fillId="0" borderId="11" xfId="0" applyBorder="1"/>
    <xf numFmtId="0" fontId="0" fillId="0" borderId="14" xfId="0" applyBorder="1"/>
    <xf numFmtId="0" fontId="4" fillId="0" borderId="0" xfId="0" applyFont="1" applyFill="1" applyBorder="1" applyAlignment="1">
      <alignment vertical="center"/>
    </xf>
    <xf numFmtId="0" fontId="0" fillId="0" borderId="0" xfId="0" applyAlignment="1">
      <alignment horizontal="right"/>
    </xf>
    <xf numFmtId="49" fontId="4" fillId="0" borderId="0" xfId="0" applyNumberFormat="1" applyFont="1" applyFill="1" applyBorder="1" applyAlignment="1"/>
    <xf numFmtId="0" fontId="0" fillId="0" borderId="15" xfId="0" applyBorder="1"/>
    <xf numFmtId="0" fontId="0" fillId="0" borderId="16" xfId="0" applyBorder="1"/>
    <xf numFmtId="0" fontId="0" fillId="0" borderId="17" xfId="0" applyBorder="1"/>
    <xf numFmtId="0" fontId="0" fillId="0" borderId="9" xfId="0" applyBorder="1"/>
    <xf numFmtId="0" fontId="0" fillId="0" borderId="10" xfId="0" applyBorder="1"/>
    <xf numFmtId="0" fontId="0" fillId="0" borderId="7" xfId="0" applyBorder="1"/>
    <xf numFmtId="0" fontId="0" fillId="0" borderId="19" xfId="0" applyBorder="1"/>
    <xf numFmtId="0" fontId="0" fillId="0" borderId="0" xfId="0" applyAlignment="1">
      <alignment wrapText="1"/>
    </xf>
    <xf numFmtId="2" fontId="0" fillId="0" borderId="0" xfId="0" applyNumberFormat="1"/>
    <xf numFmtId="0" fontId="3" fillId="0" borderId="0" xfId="0" applyFont="1" applyFill="1" applyBorder="1" applyAlignment="1">
      <alignment wrapText="1"/>
    </xf>
    <xf numFmtId="0" fontId="0" fillId="4" borderId="0" xfId="0" applyFill="1"/>
    <xf numFmtId="0" fontId="0" fillId="4" borderId="0" xfId="0" applyNumberFormat="1" applyFill="1" applyBorder="1"/>
    <xf numFmtId="16" fontId="0" fillId="0" borderId="0" xfId="0" applyNumberFormat="1" applyBorder="1"/>
    <xf numFmtId="49" fontId="0" fillId="0" borderId="0" xfId="0" applyNumberFormat="1" applyFill="1"/>
    <xf numFmtId="0" fontId="0" fillId="0" borderId="0" xfId="0" applyFill="1"/>
    <xf numFmtId="1" fontId="0" fillId="0" borderId="0" xfId="0" applyNumberFormat="1" applyBorder="1"/>
    <xf numFmtId="0" fontId="0" fillId="0" borderId="0" xfId="0" applyBorder="1" applyAlignment="1">
      <alignment horizontal="center"/>
    </xf>
    <xf numFmtId="0" fontId="2" fillId="5" borderId="21" xfId="0" applyFont="1" applyFill="1" applyBorder="1" applyAlignment="1">
      <alignment vertical="center" wrapText="1"/>
    </xf>
    <xf numFmtId="0" fontId="0" fillId="0" borderId="20" xfId="0" applyBorder="1"/>
    <xf numFmtId="0" fontId="5" fillId="0" borderId="0" xfId="0" applyNumberFormat="1" applyFont="1" applyBorder="1"/>
    <xf numFmtId="0" fontId="0" fillId="0" borderId="13" xfId="0" applyBorder="1" applyAlignment="1">
      <alignment horizontal="center"/>
    </xf>
    <xf numFmtId="164" fontId="0" fillId="0" borderId="0" xfId="0" applyNumberFormat="1" applyBorder="1" applyAlignment="1">
      <alignment horizontal="center"/>
    </xf>
    <xf numFmtId="0" fontId="0" fillId="0" borderId="0" xfId="0" applyNumberFormat="1" applyBorder="1" applyAlignment="1">
      <alignment horizontal="center"/>
    </xf>
    <xf numFmtId="2" fontId="0" fillId="0" borderId="0" xfId="0" applyNumberFormat="1" applyBorder="1" applyAlignment="1">
      <alignment horizontal="center"/>
    </xf>
    <xf numFmtId="0" fontId="3" fillId="0" borderId="16" xfId="0" applyFont="1" applyFill="1" applyBorder="1" applyAlignment="1">
      <alignment horizontal="center" vertical="center" wrapText="1"/>
    </xf>
    <xf numFmtId="0" fontId="3" fillId="0" borderId="15" xfId="0" applyFont="1" applyFill="1" applyBorder="1" applyAlignment="1">
      <alignment horizontal="center" vertical="center" wrapText="1"/>
    </xf>
    <xf numFmtId="0" fontId="0" fillId="0" borderId="9" xfId="0" applyNumberFormat="1" applyBorder="1" applyAlignment="1">
      <alignment horizontal="center"/>
    </xf>
    <xf numFmtId="0" fontId="0" fillId="0" borderId="9" xfId="0" applyFill="1" applyBorder="1" applyAlignment="1">
      <alignment horizontal="center"/>
    </xf>
    <xf numFmtId="0" fontId="0" fillId="0" borderId="0" xfId="0" applyFill="1" applyBorder="1" applyAlignment="1">
      <alignment horizontal="center"/>
    </xf>
    <xf numFmtId="0" fontId="0" fillId="0" borderId="13" xfId="0" applyFill="1" applyBorder="1" applyAlignment="1">
      <alignment horizontal="center"/>
    </xf>
    <xf numFmtId="0" fontId="0" fillId="0" borderId="19" xfId="0" applyBorder="1" applyAlignment="1">
      <alignment horizontal="center"/>
    </xf>
    <xf numFmtId="0" fontId="0" fillId="0" borderId="19" xfId="0" applyFill="1" applyBorder="1" applyAlignment="1">
      <alignment horizontal="center"/>
    </xf>
    <xf numFmtId="0" fontId="0" fillId="0" borderId="9" xfId="0" applyBorder="1" applyAlignment="1">
      <alignment horizontal="left"/>
    </xf>
    <xf numFmtId="164" fontId="0" fillId="0" borderId="0" xfId="0" applyNumberFormat="1"/>
    <xf numFmtId="1" fontId="0" fillId="0" borderId="0" xfId="0" applyNumberFormat="1"/>
    <xf numFmtId="167" fontId="0" fillId="0" borderId="0" xfId="0" applyNumberFormat="1"/>
    <xf numFmtId="0" fontId="2" fillId="0" borderId="0" xfId="0" applyFont="1" applyFill="1" applyBorder="1" applyAlignment="1">
      <alignment vertical="center" wrapText="1"/>
    </xf>
    <xf numFmtId="0" fontId="0" fillId="0" borderId="0" xfId="0" applyFill="1" applyBorder="1" applyAlignment="1">
      <alignment wrapText="1"/>
    </xf>
    <xf numFmtId="0" fontId="2" fillId="5" borderId="21" xfId="0" applyFont="1" applyFill="1" applyBorder="1" applyAlignment="1">
      <alignment horizontal="center" vertical="center" wrapText="1"/>
    </xf>
    <xf numFmtId="49" fontId="2" fillId="0" borderId="0" xfId="0" applyNumberFormat="1" applyFont="1" applyFill="1" applyBorder="1" applyAlignment="1">
      <alignment vertical="center" wrapText="1"/>
    </xf>
    <xf numFmtId="49" fontId="0" fillId="0" borderId="0" xfId="0" applyNumberFormat="1" applyFill="1" applyBorder="1" applyAlignment="1">
      <alignment wrapText="1"/>
    </xf>
    <xf numFmtId="0" fontId="3" fillId="0" borderId="7" xfId="0" applyFont="1" applyFill="1" applyBorder="1" applyAlignment="1">
      <alignment vertical="center" wrapText="1"/>
    </xf>
    <xf numFmtId="0" fontId="3" fillId="0" borderId="8" xfId="0" applyFont="1" applyFill="1" applyBorder="1" applyAlignment="1">
      <alignment vertical="center" wrapText="1"/>
    </xf>
    <xf numFmtId="0" fontId="3" fillId="0" borderId="8" xfId="0" applyFont="1" applyFill="1" applyBorder="1" applyAlignment="1">
      <alignment horizontal="center" vertical="center" wrapText="1"/>
    </xf>
    <xf numFmtId="49" fontId="2" fillId="5" borderId="21" xfId="0" applyNumberFormat="1" applyFont="1" applyFill="1" applyBorder="1" applyAlignment="1">
      <alignment horizontal="center" vertical="center" wrapText="1"/>
    </xf>
    <xf numFmtId="0" fontId="2" fillId="5" borderId="18" xfId="0" applyFont="1" applyFill="1" applyBorder="1" applyAlignment="1">
      <alignment vertical="center" wrapText="1"/>
    </xf>
    <xf numFmtId="0" fontId="3" fillId="0" borderId="17"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3" fillId="0" borderId="12" xfId="0" applyFont="1" applyFill="1" applyBorder="1" applyAlignment="1">
      <alignment vertical="center" wrapText="1"/>
    </xf>
    <xf numFmtId="0" fontId="3" fillId="0" borderId="21" xfId="0" applyFont="1" applyFill="1" applyBorder="1" applyAlignment="1">
      <alignment vertical="center" wrapText="1"/>
    </xf>
    <xf numFmtId="0" fontId="3" fillId="0" borderId="18" xfId="0" applyFont="1" applyFill="1" applyBorder="1" applyAlignment="1">
      <alignment vertical="center" wrapText="1"/>
    </xf>
    <xf numFmtId="0" fontId="3" fillId="0" borderId="16" xfId="0" applyFont="1" applyFill="1" applyBorder="1" applyAlignment="1">
      <alignment vertical="center" wrapText="1"/>
    </xf>
    <xf numFmtId="0" fontId="3" fillId="0" borderId="17" xfId="0" applyFont="1" applyFill="1" applyBorder="1" applyAlignment="1">
      <alignment vertical="center" wrapText="1"/>
    </xf>
    <xf numFmtId="0" fontId="3" fillId="0" borderId="12" xfId="0" applyFont="1" applyFill="1" applyBorder="1" applyAlignment="1">
      <alignment horizontal="center" vertical="center" wrapText="1"/>
    </xf>
    <xf numFmtId="0" fontId="5" fillId="0" borderId="16" xfId="0" applyNumberFormat="1" applyFont="1" applyBorder="1"/>
    <xf numFmtId="0" fontId="3" fillId="0" borderId="21" xfId="0" applyFont="1" applyFill="1" applyBorder="1" applyAlignment="1">
      <alignment horizontal="center" vertical="center" wrapText="1"/>
    </xf>
    <xf numFmtId="0" fontId="5" fillId="0" borderId="15" xfId="0" applyNumberFormat="1" applyFont="1" applyBorder="1"/>
    <xf numFmtId="0" fontId="3" fillId="0" borderId="15" xfId="0" applyFont="1" applyFill="1" applyBorder="1" applyAlignment="1">
      <alignment vertical="center" wrapText="1"/>
    </xf>
    <xf numFmtId="164" fontId="0" fillId="0" borderId="9" xfId="0" applyNumberFormat="1" applyBorder="1" applyAlignment="1">
      <alignment horizontal="center"/>
    </xf>
    <xf numFmtId="0" fontId="0" fillId="0" borderId="9" xfId="0" applyNumberFormat="1" applyBorder="1"/>
    <xf numFmtId="0" fontId="0" fillId="0" borderId="10" xfId="0" applyNumberFormat="1" applyBorder="1"/>
    <xf numFmtId="0" fontId="0" fillId="0" borderId="18" xfId="0" applyBorder="1"/>
    <xf numFmtId="0" fontId="3" fillId="0" borderId="19" xfId="0" applyFont="1" applyFill="1" applyBorder="1" applyAlignment="1">
      <alignment horizontal="center" vertical="center" wrapText="1"/>
    </xf>
    <xf numFmtId="49" fontId="4" fillId="0" borderId="16" xfId="0" applyNumberFormat="1" applyFont="1" applyFill="1" applyBorder="1" applyAlignment="1">
      <alignment horizontal="center" vertical="center" wrapText="1"/>
    </xf>
    <xf numFmtId="0" fontId="4" fillId="0" borderId="16" xfId="0" applyFont="1" applyFill="1" applyBorder="1" applyAlignment="1">
      <alignment horizontal="center" vertical="center" wrapText="1"/>
    </xf>
    <xf numFmtId="0" fontId="4" fillId="0" borderId="17" xfId="0" applyFont="1" applyFill="1" applyBorder="1" applyAlignment="1">
      <alignment horizontal="center" vertical="center"/>
    </xf>
    <xf numFmtId="0" fontId="4" fillId="0" borderId="16" xfId="0" applyFont="1" applyFill="1" applyBorder="1" applyAlignment="1">
      <alignment horizontal="center" vertical="center"/>
    </xf>
    <xf numFmtId="49" fontId="4" fillId="0" borderId="15" xfId="0" applyNumberFormat="1" applyFont="1" applyFill="1" applyBorder="1" applyAlignment="1">
      <alignment horizontal="center" vertical="center" wrapText="1"/>
    </xf>
    <xf numFmtId="0" fontId="4" fillId="0" borderId="15" xfId="0" applyFont="1" applyFill="1" applyBorder="1" applyAlignment="1">
      <alignment horizontal="center" vertical="center"/>
    </xf>
    <xf numFmtId="0" fontId="4" fillId="0" borderId="21" xfId="0" applyFont="1" applyFill="1" applyBorder="1" applyAlignment="1">
      <alignment horizontal="center" vertical="center"/>
    </xf>
    <xf numFmtId="0" fontId="0" fillId="0" borderId="17" xfId="0" applyBorder="1" applyAlignment="1">
      <alignment horizontal="center" vertical="center"/>
    </xf>
    <xf numFmtId="2" fontId="0" fillId="2" borderId="0" xfId="0" applyNumberFormat="1" applyFill="1"/>
    <xf numFmtId="2" fontId="7" fillId="3" borderId="2" xfId="0" applyNumberFormat="1" applyFont="1" applyFill="1" applyBorder="1" applyAlignment="1">
      <alignment horizontal="left" vertical="center"/>
    </xf>
    <xf numFmtId="2" fontId="6" fillId="0" borderId="5" xfId="0" applyNumberFormat="1" applyFont="1" applyBorder="1" applyAlignment="1">
      <alignment horizontal="left"/>
    </xf>
    <xf numFmtId="1" fontId="7" fillId="3" borderId="2" xfId="0" applyNumberFormat="1" applyFont="1" applyFill="1" applyBorder="1" applyAlignment="1">
      <alignment horizontal="left" vertical="center"/>
    </xf>
    <xf numFmtId="1" fontId="6" fillId="0" borderId="5" xfId="0" applyNumberFormat="1" applyFont="1" applyBorder="1" applyAlignment="1">
      <alignment horizontal="right"/>
    </xf>
    <xf numFmtId="49" fontId="2" fillId="5" borderId="8" xfId="0" applyNumberFormat="1" applyFont="1" applyFill="1" applyBorder="1" applyAlignment="1">
      <alignment vertical="center" wrapText="1"/>
    </xf>
    <xf numFmtId="0" fontId="4" fillId="0" borderId="11" xfId="0" applyFont="1" applyFill="1" applyBorder="1" applyAlignment="1">
      <alignment horizontal="left" vertical="center"/>
    </xf>
    <xf numFmtId="49" fontId="2" fillId="5" borderId="7" xfId="0" applyNumberFormat="1" applyFont="1" applyFill="1" applyBorder="1" applyAlignment="1">
      <alignment vertical="center" wrapText="1"/>
    </xf>
    <xf numFmtId="0" fontId="4" fillId="0" borderId="10" xfId="0" applyFont="1" applyFill="1" applyBorder="1" applyAlignment="1">
      <alignment horizontal="left" vertical="center"/>
    </xf>
    <xf numFmtId="0" fontId="0" fillId="0" borderId="16" xfId="0" applyNumberFormat="1" applyBorder="1" applyAlignment="1">
      <alignment horizontal="center" vertical="center"/>
    </xf>
    <xf numFmtId="0" fontId="4" fillId="0" borderId="17" xfId="0" applyFont="1" applyFill="1" applyBorder="1" applyAlignment="1">
      <alignment horizontal="center" vertical="center" wrapText="1"/>
    </xf>
    <xf numFmtId="0" fontId="0" fillId="0" borderId="11" xfId="0" applyFill="1" applyBorder="1"/>
    <xf numFmtId="164" fontId="0" fillId="0" borderId="8" xfId="0" applyNumberFormat="1" applyBorder="1" applyAlignment="1">
      <alignment horizontal="center"/>
    </xf>
    <xf numFmtId="164" fontId="0" fillId="0" borderId="12" xfId="0" applyNumberFormat="1" applyBorder="1" applyAlignment="1">
      <alignment horizontal="center"/>
    </xf>
    <xf numFmtId="164" fontId="0" fillId="0" borderId="13" xfId="0" applyNumberFormat="1" applyBorder="1" applyAlignment="1">
      <alignment horizontal="center"/>
    </xf>
    <xf numFmtId="164" fontId="0" fillId="0" borderId="14" xfId="0" applyNumberFormat="1" applyBorder="1" applyAlignment="1">
      <alignment horizontal="center"/>
    </xf>
    <xf numFmtId="0" fontId="0" fillId="0" borderId="7" xfId="0" applyNumberFormat="1" applyBorder="1" applyAlignment="1">
      <alignment horizontal="center"/>
    </xf>
    <xf numFmtId="2" fontId="0" fillId="0" borderId="8" xfId="0" applyNumberFormat="1" applyBorder="1" applyAlignment="1">
      <alignment horizontal="center"/>
    </xf>
    <xf numFmtId="0" fontId="0" fillId="0" borderId="8" xfId="0" applyNumberFormat="1" applyBorder="1" applyAlignment="1">
      <alignment horizontal="center"/>
    </xf>
    <xf numFmtId="0" fontId="0" fillId="0" borderId="12" xfId="0" applyFill="1" applyBorder="1" applyAlignment="1">
      <alignment horizontal="center"/>
    </xf>
    <xf numFmtId="0" fontId="0" fillId="0" borderId="12" xfId="0" applyBorder="1" applyAlignment="1">
      <alignment horizontal="right"/>
    </xf>
    <xf numFmtId="0" fontId="0" fillId="0" borderId="0" xfId="0" applyBorder="1" applyAlignment="1">
      <alignment horizontal="right"/>
    </xf>
    <xf numFmtId="0" fontId="0" fillId="0" borderId="13" xfId="0" applyBorder="1" applyAlignment="1">
      <alignment horizontal="right"/>
    </xf>
    <xf numFmtId="2" fontId="0" fillId="6" borderId="15" xfId="0" applyNumberFormat="1" applyFill="1" applyBorder="1" applyAlignment="1">
      <alignment horizontal="right"/>
    </xf>
    <xf numFmtId="2" fontId="0" fillId="6" borderId="10" xfId="0" applyNumberFormat="1" applyFill="1" applyBorder="1" applyAlignment="1">
      <alignment horizontal="right"/>
    </xf>
    <xf numFmtId="0" fontId="0" fillId="6" borderId="15" xfId="0" applyFill="1" applyBorder="1" applyAlignment="1">
      <alignment horizontal="right"/>
    </xf>
    <xf numFmtId="164" fontId="0" fillId="6" borderId="17" xfId="0" applyNumberFormat="1" applyFill="1" applyBorder="1" applyAlignment="1">
      <alignment horizontal="right"/>
    </xf>
    <xf numFmtId="0" fontId="4" fillId="0" borderId="16" xfId="0" applyFont="1" applyFill="1" applyBorder="1" applyAlignment="1">
      <alignment horizontal="center" vertical="center" wrapText="1"/>
    </xf>
    <xf numFmtId="0" fontId="0" fillId="0" borderId="0" xfId="0" applyBorder="1" applyAlignment="1">
      <alignment horizontal="center"/>
    </xf>
    <xf numFmtId="0" fontId="0" fillId="6" borderId="21" xfId="0" applyFill="1" applyBorder="1" applyAlignment="1">
      <alignment horizontal="right"/>
    </xf>
    <xf numFmtId="0" fontId="0" fillId="6" borderId="21" xfId="0" applyFill="1" applyBorder="1"/>
    <xf numFmtId="1" fontId="0" fillId="6" borderId="21" xfId="0" applyNumberFormat="1" applyFill="1" applyBorder="1"/>
    <xf numFmtId="1" fontId="0" fillId="0" borderId="0" xfId="0" applyNumberFormat="1" applyBorder="1" applyAlignment="1">
      <alignment horizontal="center"/>
    </xf>
    <xf numFmtId="2" fontId="0" fillId="6" borderId="17" xfId="0" applyNumberFormat="1" applyFill="1" applyBorder="1" applyAlignment="1">
      <alignment horizontal="right"/>
    </xf>
    <xf numFmtId="1" fontId="0" fillId="6" borderId="14" xfId="0" applyNumberFormat="1" applyFill="1" applyBorder="1" applyAlignment="1">
      <alignment horizontal="right"/>
    </xf>
    <xf numFmtId="0" fontId="0" fillId="6" borderId="17" xfId="0" applyFill="1" applyBorder="1" applyAlignment="1">
      <alignment horizontal="right"/>
    </xf>
    <xf numFmtId="0" fontId="2" fillId="5" borderId="9" xfId="0" applyFont="1" applyFill="1" applyBorder="1" applyAlignment="1">
      <alignment vertical="center" wrapText="1"/>
    </xf>
    <xf numFmtId="0" fontId="2" fillId="5" borderId="0" xfId="0" applyFont="1" applyFill="1" applyBorder="1" applyAlignment="1">
      <alignment vertical="center" wrapText="1"/>
    </xf>
    <xf numFmtId="0" fontId="4" fillId="0" borderId="0" xfId="0" applyFont="1" applyFill="1" applyBorder="1" applyAlignment="1">
      <alignment horizontal="center" vertical="center"/>
    </xf>
    <xf numFmtId="167" fontId="7" fillId="3" borderId="1" xfId="0" applyNumberFormat="1" applyFont="1" applyFill="1" applyBorder="1" applyAlignment="1">
      <alignment horizontal="left" vertical="center"/>
    </xf>
    <xf numFmtId="167" fontId="6" fillId="0" borderId="4" xfId="0" applyNumberFormat="1" applyFont="1" applyBorder="1" applyAlignment="1">
      <alignment horizontal="left"/>
    </xf>
    <xf numFmtId="0" fontId="3" fillId="0" borderId="17" xfId="0" applyFont="1" applyFill="1" applyBorder="1" applyAlignment="1">
      <alignment horizontal="center" vertical="center" wrapText="1"/>
    </xf>
    <xf numFmtId="0" fontId="0" fillId="2" borderId="0" xfId="0" applyFill="1"/>
    <xf numFmtId="0" fontId="0" fillId="0" borderId="8" xfId="0" applyBorder="1" applyAlignment="1">
      <alignment horizontal="center"/>
    </xf>
    <xf numFmtId="0" fontId="0" fillId="0" borderId="8" xfId="0" applyFill="1" applyBorder="1"/>
    <xf numFmtId="0" fontId="0" fillId="0" borderId="9" xfId="0" applyFill="1" applyBorder="1"/>
    <xf numFmtId="0" fontId="0" fillId="0" borderId="13" xfId="0" applyFill="1" applyBorder="1"/>
    <xf numFmtId="0" fontId="0" fillId="0" borderId="10" xfId="0" applyFill="1" applyBorder="1"/>
    <xf numFmtId="2" fontId="0" fillId="0" borderId="0" xfId="0" applyNumberFormat="1" applyFill="1" applyBorder="1" applyAlignment="1">
      <alignment horizontal="right"/>
    </xf>
    <xf numFmtId="0" fontId="0" fillId="0" borderId="0" xfId="0" applyFill="1" applyBorder="1" applyAlignment="1">
      <alignment horizontal="right"/>
    </xf>
    <xf numFmtId="0" fontId="0" fillId="0" borderId="7" xfId="0" applyFill="1" applyBorder="1"/>
    <xf numFmtId="164" fontId="0" fillId="0" borderId="0" xfId="0" applyNumberFormat="1" applyFill="1" applyBorder="1" applyAlignment="1">
      <alignment horizontal="center"/>
    </xf>
    <xf numFmtId="0" fontId="0" fillId="0" borderId="22" xfId="0" applyBorder="1"/>
    <xf numFmtId="49" fontId="0" fillId="0" borderId="22" xfId="0" applyNumberFormat="1" applyBorder="1"/>
    <xf numFmtId="167" fontId="0" fillId="0" borderId="22" xfId="0" applyNumberFormat="1" applyBorder="1"/>
    <xf numFmtId="0" fontId="0" fillId="0" borderId="22" xfId="0" applyFill="1" applyBorder="1"/>
    <xf numFmtId="0" fontId="3" fillId="0" borderId="15" xfId="0" applyFont="1" applyFill="1" applyBorder="1" applyAlignment="1">
      <alignment horizontal="center" vertical="center" wrapText="1"/>
    </xf>
    <xf numFmtId="0" fontId="3" fillId="0" borderId="16" xfId="0" applyFont="1" applyFill="1" applyBorder="1" applyAlignment="1">
      <alignment horizontal="center" vertical="center" wrapText="1"/>
    </xf>
    <xf numFmtId="0" fontId="3" fillId="0" borderId="17" xfId="0" applyFont="1" applyFill="1" applyBorder="1" applyAlignment="1">
      <alignment horizontal="center" vertical="center" wrapText="1"/>
    </xf>
    <xf numFmtId="0" fontId="4" fillId="0" borderId="7" xfId="0" applyFont="1" applyFill="1" applyBorder="1" applyAlignment="1">
      <alignment horizontal="left" vertical="center"/>
    </xf>
    <xf numFmtId="0" fontId="4" fillId="0" borderId="8" xfId="0" applyFont="1" applyFill="1" applyBorder="1" applyAlignment="1">
      <alignment horizontal="left" vertical="center"/>
    </xf>
    <xf numFmtId="0" fontId="4" fillId="0" borderId="12" xfId="0" applyFont="1" applyFill="1" applyBorder="1" applyAlignment="1">
      <alignment horizontal="left" vertical="center"/>
    </xf>
    <xf numFmtId="164" fontId="0" fillId="0" borderId="13" xfId="0" applyNumberFormat="1" applyBorder="1" applyAlignment="1">
      <alignment horizontal="left"/>
    </xf>
    <xf numFmtId="164" fontId="0" fillId="0" borderId="12" xfId="0" applyNumberFormat="1" applyBorder="1" applyAlignment="1">
      <alignment horizontal="left"/>
    </xf>
    <xf numFmtId="0" fontId="7" fillId="0" borderId="23" xfId="0" applyNumberFormat="1" applyFont="1" applyFill="1" applyBorder="1" applyAlignment="1">
      <alignment horizontal="left" vertical="center"/>
    </xf>
    <xf numFmtId="49" fontId="8" fillId="0" borderId="24" xfId="0" applyNumberFormat="1" applyFont="1" applyFill="1" applyBorder="1" applyAlignment="1">
      <alignment horizontal="left" vertical="center"/>
    </xf>
    <xf numFmtId="0" fontId="0" fillId="0" borderId="12" xfId="0" applyFill="1" applyBorder="1"/>
    <xf numFmtId="0" fontId="0" fillId="0" borderId="7" xfId="0" applyBorder="1" applyAlignment="1">
      <alignment horizontal="left"/>
    </xf>
    <xf numFmtId="0" fontId="3" fillId="0" borderId="0" xfId="0" applyFont="1" applyFill="1" applyBorder="1" applyAlignment="1">
      <alignment horizontal="center" vertical="center" wrapText="1"/>
    </xf>
    <xf numFmtId="0" fontId="4" fillId="0" borderId="16" xfId="0" applyFont="1" applyFill="1" applyBorder="1" applyAlignment="1">
      <alignment horizontal="center" vertical="center" wrapText="1"/>
    </xf>
    <xf numFmtId="0" fontId="3" fillId="0" borderId="15" xfId="0" applyFont="1" applyFill="1" applyBorder="1" applyAlignment="1">
      <alignment horizontal="center" vertical="center" wrapText="1"/>
    </xf>
    <xf numFmtId="0" fontId="3" fillId="0" borderId="16" xfId="0" applyFont="1" applyFill="1" applyBorder="1" applyAlignment="1">
      <alignment horizontal="center" vertical="center" wrapText="1"/>
    </xf>
    <xf numFmtId="0" fontId="3" fillId="0" borderId="17" xfId="0" applyFont="1" applyFill="1" applyBorder="1" applyAlignment="1">
      <alignment horizontal="center" vertical="center" wrapText="1"/>
    </xf>
    <xf numFmtId="0" fontId="4" fillId="0" borderId="15" xfId="0" applyFont="1" applyFill="1" applyBorder="1" applyAlignment="1">
      <alignment horizontal="center" vertical="center" wrapText="1"/>
    </xf>
    <xf numFmtId="0" fontId="0" fillId="0" borderId="13" xfId="0" applyFill="1" applyBorder="1" applyAlignment="1">
      <alignment horizontal="right"/>
    </xf>
    <xf numFmtId="0" fontId="5" fillId="0" borderId="8" xfId="0" applyNumberFormat="1" applyFont="1" applyBorder="1"/>
    <xf numFmtId="0" fontId="3" fillId="0" borderId="18" xfId="0" applyFont="1" applyFill="1" applyBorder="1" applyAlignment="1">
      <alignment horizontal="center" vertical="center" wrapText="1"/>
    </xf>
    <xf numFmtId="0" fontId="4" fillId="0" borderId="16" xfId="0" applyFont="1" applyFill="1" applyBorder="1" applyAlignment="1">
      <alignment wrapText="1"/>
    </xf>
    <xf numFmtId="164" fontId="0" fillId="6" borderId="16" xfId="0" applyNumberFormat="1" applyFill="1" applyBorder="1" applyAlignment="1">
      <alignment horizontal="right"/>
    </xf>
    <xf numFmtId="0" fontId="5" fillId="0" borderId="7" xfId="0" applyNumberFormat="1" applyFont="1" applyBorder="1" applyAlignment="1">
      <alignment horizontal="right"/>
    </xf>
    <xf numFmtId="0" fontId="5" fillId="0" borderId="8" xfId="0" applyNumberFormat="1" applyFont="1" applyBorder="1" applyAlignment="1">
      <alignment horizontal="right"/>
    </xf>
    <xf numFmtId="0" fontId="5" fillId="0" borderId="16" xfId="0" applyNumberFormat="1" applyFont="1" applyBorder="1" applyAlignment="1">
      <alignment horizontal="center"/>
    </xf>
    <xf numFmtId="0" fontId="3" fillId="6" borderId="15" xfId="0" applyFont="1" applyFill="1" applyBorder="1" applyAlignment="1">
      <alignment horizontal="center" vertical="center" wrapText="1"/>
    </xf>
    <xf numFmtId="0" fontId="3" fillId="6" borderId="16" xfId="0" applyFont="1" applyFill="1" applyBorder="1" applyAlignment="1">
      <alignment horizontal="center" vertical="center" wrapText="1"/>
    </xf>
    <xf numFmtId="1" fontId="0" fillId="6" borderId="16" xfId="0" applyNumberFormat="1" applyFill="1" applyBorder="1" applyAlignment="1">
      <alignment horizontal="right"/>
    </xf>
    <xf numFmtId="2" fontId="0" fillId="6" borderId="16" xfId="0" applyNumberFormat="1" applyFill="1" applyBorder="1" applyAlignment="1">
      <alignment horizontal="right"/>
    </xf>
    <xf numFmtId="0" fontId="0" fillId="0" borderId="22" xfId="0" applyBorder="1" applyAlignment="1">
      <alignment horizontal="right"/>
    </xf>
    <xf numFmtId="164" fontId="0" fillId="0" borderId="7" xfId="0" applyNumberFormat="1" applyFill="1" applyBorder="1" applyAlignment="1">
      <alignment horizontal="center"/>
    </xf>
    <xf numFmtId="164" fontId="0" fillId="0" borderId="9" xfId="0" applyNumberFormat="1" applyFill="1" applyBorder="1" applyAlignment="1">
      <alignment horizontal="center"/>
    </xf>
    <xf numFmtId="0" fontId="0" fillId="0" borderId="13" xfId="0" applyBorder="1" applyAlignment="1">
      <alignment horizontal="center"/>
    </xf>
    <xf numFmtId="0" fontId="0" fillId="0" borderId="12" xfId="0" applyBorder="1" applyAlignment="1">
      <alignment horizontal="center"/>
    </xf>
    <xf numFmtId="0" fontId="0" fillId="0" borderId="12" xfId="0" applyFill="1" applyBorder="1" applyAlignment="1">
      <alignment horizontal="right"/>
    </xf>
    <xf numFmtId="0" fontId="4" fillId="0" borderId="16" xfId="0" applyFont="1" applyFill="1" applyBorder="1" applyAlignment="1">
      <alignment horizontal="center" vertical="center" wrapText="1"/>
    </xf>
    <xf numFmtId="0" fontId="4" fillId="0" borderId="15" xfId="0" applyFont="1" applyFill="1" applyBorder="1" applyAlignment="1">
      <alignment horizontal="center" vertical="center" wrapText="1"/>
    </xf>
    <xf numFmtId="1" fontId="0" fillId="6" borderId="17" xfId="0" applyNumberFormat="1" applyFill="1" applyBorder="1" applyAlignment="1">
      <alignment horizontal="right"/>
    </xf>
    <xf numFmtId="164" fontId="0" fillId="0" borderId="11" xfId="0" applyNumberFormat="1" applyBorder="1"/>
    <xf numFmtId="1" fontId="0" fillId="0" borderId="11" xfId="0" applyNumberFormat="1" applyBorder="1"/>
    <xf numFmtId="0" fontId="0" fillId="0" borderId="21" xfId="0" applyBorder="1"/>
    <xf numFmtId="1" fontId="0" fillId="6" borderId="21" xfId="0" applyNumberFormat="1" applyFill="1" applyBorder="1" applyAlignment="1">
      <alignment horizontal="right"/>
    </xf>
    <xf numFmtId="0" fontId="0" fillId="6" borderId="16" xfId="0" applyFill="1" applyBorder="1" applyAlignment="1">
      <alignment horizontal="right"/>
    </xf>
    <xf numFmtId="0" fontId="3" fillId="0" borderId="15" xfId="0" applyFont="1" applyFill="1" applyBorder="1" applyAlignment="1">
      <alignment horizontal="center" vertical="center" wrapText="1"/>
    </xf>
    <xf numFmtId="0" fontId="3" fillId="0" borderId="16" xfId="0" applyFont="1" applyFill="1" applyBorder="1" applyAlignment="1">
      <alignment horizontal="center" vertical="center" wrapText="1"/>
    </xf>
    <xf numFmtId="0" fontId="3" fillId="0" borderId="17" xfId="0" applyFont="1" applyFill="1" applyBorder="1" applyAlignment="1">
      <alignment horizontal="center" vertical="center" wrapText="1"/>
    </xf>
    <xf numFmtId="0" fontId="4" fillId="0" borderId="16" xfId="0" applyFont="1" applyFill="1" applyBorder="1" applyAlignment="1">
      <alignment horizontal="center" vertical="center" wrapText="1"/>
    </xf>
    <xf numFmtId="0" fontId="3" fillId="0" borderId="0"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0" fillId="0" borderId="20" xfId="0" applyFill="1" applyBorder="1"/>
    <xf numFmtId="2" fontId="0" fillId="6" borderId="0" xfId="0" applyNumberFormat="1" applyFill="1" applyBorder="1" applyAlignment="1">
      <alignment horizontal="right"/>
    </xf>
    <xf numFmtId="2" fontId="0" fillId="6" borderId="14" xfId="0" applyNumberFormat="1" applyFill="1" applyBorder="1" applyAlignment="1">
      <alignment horizontal="right"/>
    </xf>
    <xf numFmtId="0" fontId="0" fillId="6" borderId="18" xfId="0" applyFill="1" applyBorder="1"/>
    <xf numFmtId="167" fontId="0" fillId="0" borderId="25" xfId="0" applyNumberFormat="1" applyFont="1" applyBorder="1" applyAlignment="1">
      <alignment horizontal="left"/>
    </xf>
    <xf numFmtId="1" fontId="0" fillId="6" borderId="18" xfId="0" applyNumberFormat="1" applyFill="1" applyBorder="1" applyAlignment="1">
      <alignment horizontal="right"/>
    </xf>
    <xf numFmtId="0" fontId="0" fillId="6" borderId="18" xfId="0" applyFill="1" applyBorder="1" applyAlignment="1">
      <alignment horizontal="right"/>
    </xf>
    <xf numFmtId="1" fontId="0" fillId="6" borderId="18" xfId="0" applyNumberFormat="1" applyFill="1" applyBorder="1"/>
    <xf numFmtId="0" fontId="3" fillId="0" borderId="16" xfId="0" applyFont="1" applyFill="1" applyBorder="1" applyAlignment="1">
      <alignment horizontal="center" vertical="center" wrapText="1"/>
    </xf>
    <xf numFmtId="0" fontId="4" fillId="0" borderId="16"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0" fillId="7" borderId="0" xfId="0" applyFill="1" applyBorder="1" applyAlignment="1">
      <alignment horizontal="center"/>
    </xf>
    <xf numFmtId="166" fontId="0" fillId="7" borderId="0" xfId="0" applyNumberFormat="1" applyFill="1" applyBorder="1" applyAlignment="1">
      <alignment horizontal="center"/>
    </xf>
    <xf numFmtId="0" fontId="0" fillId="7" borderId="0" xfId="0" applyFill="1" applyBorder="1"/>
    <xf numFmtId="166" fontId="0" fillId="7" borderId="0" xfId="0" applyNumberFormat="1" applyFill="1" applyBorder="1"/>
    <xf numFmtId="0" fontId="0" fillId="7" borderId="11" xfId="0" applyFill="1" applyBorder="1"/>
    <xf numFmtId="167" fontId="6" fillId="0" borderId="1" xfId="0" applyNumberFormat="1" applyFont="1" applyBorder="1" applyAlignment="1">
      <alignment horizontal="left"/>
    </xf>
    <xf numFmtId="49" fontId="6" fillId="0" borderId="2" xfId="0" applyNumberFormat="1" applyFont="1" applyBorder="1" applyAlignment="1">
      <alignment horizontal="left"/>
    </xf>
    <xf numFmtId="2" fontId="6" fillId="0" borderId="2" xfId="0" applyNumberFormat="1" applyFont="1" applyBorder="1" applyAlignment="1">
      <alignment horizontal="left"/>
    </xf>
    <xf numFmtId="0" fontId="6" fillId="0" borderId="2" xfId="0" applyFont="1" applyBorder="1" applyAlignment="1">
      <alignment horizontal="left"/>
    </xf>
    <xf numFmtId="1" fontId="6" fillId="0" borderId="2" xfId="0" applyNumberFormat="1" applyFont="1" applyBorder="1" applyAlignment="1">
      <alignment horizontal="right"/>
    </xf>
    <xf numFmtId="0" fontId="4" fillId="0" borderId="16" xfId="0" applyFont="1" applyFill="1" applyBorder="1" applyAlignment="1">
      <alignment horizontal="center" vertical="center" wrapText="1"/>
    </xf>
    <xf numFmtId="0" fontId="0" fillId="0" borderId="9" xfId="0" applyBorder="1" applyAlignment="1">
      <alignment horizontal="left"/>
    </xf>
    <xf numFmtId="167" fontId="0" fillId="0" borderId="13" xfId="0" applyNumberFormat="1" applyFont="1" applyBorder="1" applyAlignment="1">
      <alignment horizontal="left"/>
    </xf>
    <xf numFmtId="0" fontId="0" fillId="6" borderId="9" xfId="0" applyFill="1" applyBorder="1" applyAlignment="1">
      <alignment horizontal="right"/>
    </xf>
    <xf numFmtId="0" fontId="0" fillId="6" borderId="0" xfId="0" applyFill="1" applyBorder="1" applyAlignment="1">
      <alignment horizontal="right"/>
    </xf>
    <xf numFmtId="164" fontId="0" fillId="6" borderId="11" xfId="0" applyNumberFormat="1" applyFill="1" applyBorder="1" applyAlignment="1">
      <alignment horizontal="right"/>
    </xf>
    <xf numFmtId="0" fontId="0" fillId="6" borderId="13" xfId="0" applyFill="1" applyBorder="1" applyAlignment="1">
      <alignment horizontal="right"/>
    </xf>
    <xf numFmtId="0" fontId="10" fillId="2" borderId="9" xfId="0" applyFont="1" applyFill="1" applyBorder="1" applyAlignment="1">
      <alignment horizontal="left" vertical="center"/>
    </xf>
    <xf numFmtId="0" fontId="10" fillId="2" borderId="13" xfId="0" applyFont="1" applyFill="1" applyBorder="1" applyAlignment="1">
      <alignment horizontal="left" vertical="center"/>
    </xf>
    <xf numFmtId="0" fontId="3" fillId="0" borderId="16"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3" fillId="0" borderId="15" xfId="0" applyFont="1" applyFill="1" applyBorder="1" applyAlignment="1">
      <alignment horizontal="center" vertical="center" wrapText="1"/>
    </xf>
    <xf numFmtId="0" fontId="3" fillId="0" borderId="16" xfId="0" applyFont="1" applyFill="1" applyBorder="1" applyAlignment="1">
      <alignment horizontal="center" vertical="center" wrapText="1"/>
    </xf>
    <xf numFmtId="0" fontId="3" fillId="0" borderId="17" xfId="0" applyFont="1" applyFill="1" applyBorder="1" applyAlignment="1">
      <alignment horizontal="center" vertical="center" wrapText="1"/>
    </xf>
    <xf numFmtId="0" fontId="4" fillId="0" borderId="16" xfId="0" applyFont="1" applyFill="1" applyBorder="1" applyAlignment="1">
      <alignment horizontal="center" vertical="center" wrapText="1"/>
    </xf>
    <xf numFmtId="0" fontId="3" fillId="0" borderId="0" xfId="0" applyFont="1" applyFill="1" applyBorder="1" applyAlignment="1">
      <alignment horizontal="center" vertical="center" wrapText="1"/>
    </xf>
    <xf numFmtId="0" fontId="0" fillId="0" borderId="0" xfId="0" applyBorder="1" applyAlignment="1">
      <alignment horizontal="center"/>
    </xf>
    <xf numFmtId="0" fontId="0" fillId="6" borderId="13" xfId="0" applyFont="1" applyFill="1" applyBorder="1" applyAlignment="1">
      <alignment horizontal="right"/>
    </xf>
    <xf numFmtId="0" fontId="0" fillId="6" borderId="14" xfId="0" applyFont="1" applyFill="1" applyBorder="1" applyAlignment="1">
      <alignment horizontal="right"/>
    </xf>
    <xf numFmtId="167" fontId="12" fillId="6" borderId="26" xfId="0" applyNumberFormat="1" applyFont="1" applyFill="1" applyBorder="1" applyAlignment="1">
      <alignment horizontal="right"/>
    </xf>
    <xf numFmtId="167" fontId="12" fillId="6" borderId="27" xfId="0" applyNumberFormat="1" applyFont="1" applyFill="1" applyBorder="1" applyAlignment="1">
      <alignment horizontal="right"/>
    </xf>
    <xf numFmtId="167" fontId="12" fillId="4" borderId="27" xfId="0" applyNumberFormat="1" applyFont="1" applyFill="1" applyBorder="1" applyAlignment="1">
      <alignment horizontal="right"/>
    </xf>
    <xf numFmtId="0" fontId="7" fillId="3" borderId="3" xfId="0" applyNumberFormat="1" applyFont="1" applyFill="1" applyBorder="1" applyAlignment="1">
      <alignment horizontal="left" vertical="center"/>
    </xf>
    <xf numFmtId="0" fontId="0" fillId="0" borderId="0" xfId="0" applyFill="1" applyAlignment="1"/>
    <xf numFmtId="1" fontId="6" fillId="0" borderId="0" xfId="0" applyNumberFormat="1" applyFont="1" applyBorder="1" applyAlignment="1">
      <alignment horizontal="right"/>
    </xf>
    <xf numFmtId="167" fontId="7" fillId="3" borderId="3" xfId="0" applyNumberFormat="1" applyFont="1" applyFill="1" applyBorder="1" applyAlignment="1">
      <alignment horizontal="left" vertical="center"/>
    </xf>
    <xf numFmtId="0" fontId="0" fillId="0" borderId="5" xfId="0" applyBorder="1"/>
    <xf numFmtId="0" fontId="0" fillId="0" borderId="6" xfId="0" applyBorder="1"/>
    <xf numFmtId="164" fontId="0" fillId="7" borderId="8" xfId="0" applyNumberFormat="1" applyFill="1" applyBorder="1" applyAlignment="1">
      <alignment horizontal="center"/>
    </xf>
    <xf numFmtId="164" fontId="0" fillId="7" borderId="0" xfId="0" applyNumberFormat="1" applyFill="1" applyBorder="1" applyAlignment="1">
      <alignment horizontal="center"/>
    </xf>
    <xf numFmtId="0" fontId="0" fillId="7" borderId="10" xfId="0" applyFill="1" applyBorder="1"/>
    <xf numFmtId="0" fontId="0" fillId="7" borderId="7" xfId="0" applyFill="1" applyBorder="1"/>
    <xf numFmtId="0" fontId="0" fillId="7" borderId="8" xfId="0" applyFill="1" applyBorder="1"/>
    <xf numFmtId="0" fontId="0" fillId="7" borderId="12" xfId="0" applyFill="1" applyBorder="1"/>
    <xf numFmtId="0" fontId="0" fillId="7" borderId="9" xfId="0" applyFill="1" applyBorder="1"/>
    <xf numFmtId="0" fontId="0" fillId="7" borderId="13" xfId="0" applyFill="1" applyBorder="1"/>
    <xf numFmtId="0" fontId="0" fillId="7" borderId="14" xfId="0" applyFill="1" applyBorder="1"/>
    <xf numFmtId="1" fontId="0" fillId="7" borderId="9" xfId="0" applyNumberFormat="1" applyFill="1" applyBorder="1"/>
    <xf numFmtId="1" fontId="0" fillId="7" borderId="0" xfId="0" applyNumberFormat="1" applyFill="1" applyBorder="1"/>
    <xf numFmtId="1" fontId="0" fillId="7" borderId="13" xfId="0" applyNumberFormat="1" applyFill="1" applyBorder="1"/>
    <xf numFmtId="0" fontId="0" fillId="7" borderId="15" xfId="0" applyFill="1" applyBorder="1"/>
    <xf numFmtId="0" fontId="0" fillId="7" borderId="16" xfId="0" applyFill="1" applyBorder="1"/>
    <xf numFmtId="0" fontId="0" fillId="7" borderId="17" xfId="0" applyFill="1" applyBorder="1"/>
    <xf numFmtId="2" fontId="0" fillId="7" borderId="7" xfId="0" applyNumberFormat="1" applyFill="1" applyBorder="1" applyAlignment="1">
      <alignment horizontal="center"/>
    </xf>
    <xf numFmtId="2" fontId="0" fillId="7" borderId="8" xfId="0" applyNumberFormat="1" applyFill="1" applyBorder="1" applyAlignment="1">
      <alignment horizontal="center"/>
    </xf>
    <xf numFmtId="2" fontId="0" fillId="7" borderId="12" xfId="0" applyNumberFormat="1" applyFill="1" applyBorder="1" applyAlignment="1">
      <alignment horizontal="center"/>
    </xf>
    <xf numFmtId="2" fontId="0" fillId="7" borderId="9" xfId="0" applyNumberFormat="1" applyFill="1" applyBorder="1" applyAlignment="1">
      <alignment horizontal="center"/>
    </xf>
    <xf numFmtId="2" fontId="0" fillId="7" borderId="0" xfId="0" applyNumberFormat="1" applyFill="1" applyBorder="1" applyAlignment="1">
      <alignment horizontal="center"/>
    </xf>
    <xf numFmtId="2" fontId="0" fillId="7" borderId="13" xfId="0" applyNumberFormat="1" applyFill="1" applyBorder="1" applyAlignment="1">
      <alignment horizontal="center"/>
    </xf>
    <xf numFmtId="2" fontId="0" fillId="7" borderId="10" xfId="0" applyNumberFormat="1" applyFill="1" applyBorder="1" applyAlignment="1">
      <alignment horizontal="center"/>
    </xf>
    <xf numFmtId="2" fontId="0" fillId="7" borderId="11" xfId="0" applyNumberFormat="1" applyFill="1" applyBorder="1" applyAlignment="1">
      <alignment horizontal="center"/>
    </xf>
    <xf numFmtId="2" fontId="0" fillId="7" borderId="14" xfId="0" applyNumberFormat="1" applyFill="1" applyBorder="1" applyAlignment="1">
      <alignment horizontal="center"/>
    </xf>
    <xf numFmtId="0" fontId="0" fillId="7" borderId="10" xfId="0" applyFill="1" applyBorder="1" applyAlignment="1"/>
    <xf numFmtId="49" fontId="4" fillId="0" borderId="10" xfId="0" applyNumberFormat="1" applyFont="1" applyFill="1" applyBorder="1" applyAlignment="1">
      <alignment horizontal="center" vertical="center" wrapText="1"/>
    </xf>
    <xf numFmtId="0" fontId="0" fillId="0" borderId="11" xfId="0" applyNumberFormat="1" applyBorder="1" applyAlignment="1">
      <alignment horizontal="center" vertical="center"/>
    </xf>
    <xf numFmtId="0" fontId="4" fillId="0" borderId="11" xfId="0" applyFont="1" applyFill="1" applyBorder="1" applyAlignment="1">
      <alignment horizontal="center" vertical="center" wrapText="1"/>
    </xf>
    <xf numFmtId="0" fontId="4" fillId="0" borderId="14" xfId="0" applyFont="1" applyFill="1" applyBorder="1" applyAlignment="1">
      <alignment horizontal="center" vertical="center"/>
    </xf>
    <xf numFmtId="0" fontId="0" fillId="0" borderId="10" xfId="0" applyNumberFormat="1" applyBorder="1" applyAlignment="1">
      <alignment horizontal="center"/>
    </xf>
    <xf numFmtId="0" fontId="0" fillId="0" borderId="11" xfId="0" applyBorder="1" applyAlignment="1">
      <alignment horizontal="center"/>
    </xf>
    <xf numFmtId="49" fontId="0" fillId="6" borderId="15" xfId="0" applyNumberFormat="1" applyFill="1" applyBorder="1" applyAlignment="1">
      <alignment horizontal="right"/>
    </xf>
    <xf numFmtId="0" fontId="0" fillId="6" borderId="15" xfId="0" applyFill="1" applyBorder="1"/>
    <xf numFmtId="0" fontId="0" fillId="0" borderId="11" xfId="0" applyFill="1" applyBorder="1" applyAlignment="1"/>
    <xf numFmtId="0" fontId="0" fillId="7" borderId="7" xfId="0" applyFill="1" applyBorder="1" applyAlignment="1">
      <alignment horizontal="right"/>
    </xf>
    <xf numFmtId="2" fontId="0" fillId="8" borderId="15" xfId="0" applyNumberFormat="1" applyFill="1" applyBorder="1" applyAlignment="1">
      <alignment horizontal="right"/>
    </xf>
    <xf numFmtId="0" fontId="0" fillId="8" borderId="9" xfId="0" applyFill="1" applyBorder="1"/>
    <xf numFmtId="0" fontId="0" fillId="8" borderId="0" xfId="0" applyFill="1" applyBorder="1"/>
    <xf numFmtId="1" fontId="0" fillId="0" borderId="0" xfId="0" applyNumberFormat="1" applyFill="1"/>
    <xf numFmtId="1" fontId="0" fillId="0" borderId="22" xfId="0" applyNumberFormat="1" applyFill="1" applyBorder="1"/>
    <xf numFmtId="0" fontId="0" fillId="0" borderId="0" xfId="0" applyNumberFormat="1" applyFill="1"/>
    <xf numFmtId="164" fontId="0" fillId="6" borderId="15" xfId="0" applyNumberFormat="1" applyFill="1" applyBorder="1"/>
    <xf numFmtId="168" fontId="0" fillId="0" borderId="21" xfId="0" applyNumberFormat="1" applyBorder="1" applyAlignment="1">
      <alignment horizontal="left"/>
    </xf>
    <xf numFmtId="164" fontId="0" fillId="8" borderId="21" xfId="0" applyNumberFormat="1" applyFill="1" applyBorder="1"/>
    <xf numFmtId="0" fontId="0" fillId="9" borderId="21" xfId="0" applyFill="1" applyBorder="1"/>
    <xf numFmtId="168" fontId="0" fillId="9" borderId="21" xfId="0" applyNumberFormat="1" applyFill="1" applyBorder="1"/>
    <xf numFmtId="168" fontId="0" fillId="0" borderId="21" xfId="0" applyNumberFormat="1" applyBorder="1"/>
    <xf numFmtId="0" fontId="3" fillId="0" borderId="7"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3" fillId="0" borderId="15" xfId="0" applyFont="1" applyFill="1" applyBorder="1" applyAlignment="1">
      <alignment horizontal="center" vertical="center"/>
    </xf>
    <xf numFmtId="0" fontId="3" fillId="0" borderId="16" xfId="0" applyFont="1" applyFill="1" applyBorder="1" applyAlignment="1">
      <alignment horizontal="center" vertical="center"/>
    </xf>
    <xf numFmtId="0" fontId="3" fillId="0" borderId="8" xfId="0" applyFont="1" applyFill="1" applyBorder="1" applyAlignment="1">
      <alignment horizontal="center" vertical="center"/>
    </xf>
    <xf numFmtId="0" fontId="3" fillId="0" borderId="17" xfId="0" applyFont="1" applyFill="1" applyBorder="1" applyAlignment="1">
      <alignment horizontal="center" vertical="center"/>
    </xf>
    <xf numFmtId="0" fontId="3" fillId="0" borderId="16" xfId="0" applyFont="1" applyFill="1" applyBorder="1" applyAlignment="1">
      <alignment horizontal="center" vertical="center" wrapText="1"/>
    </xf>
    <xf numFmtId="0" fontId="3" fillId="0" borderId="17" xfId="0" applyFont="1" applyFill="1" applyBorder="1" applyAlignment="1">
      <alignment horizontal="center" vertical="center" wrapText="1"/>
    </xf>
    <xf numFmtId="164" fontId="0" fillId="8" borderId="16" xfId="0" applyNumberFormat="1" applyFill="1" applyBorder="1" applyAlignment="1">
      <alignment horizontal="right"/>
    </xf>
    <xf numFmtId="2" fontId="0" fillId="0" borderId="11" xfId="0" applyNumberFormat="1" applyBorder="1" applyAlignment="1">
      <alignment horizontal="center"/>
    </xf>
    <xf numFmtId="164" fontId="0" fillId="0" borderId="11" xfId="0" applyNumberFormat="1" applyBorder="1" applyAlignment="1">
      <alignment horizontal="center"/>
    </xf>
    <xf numFmtId="1" fontId="0" fillId="0" borderId="8" xfId="0" applyNumberFormat="1" applyBorder="1" applyAlignment="1">
      <alignment horizontal="center"/>
    </xf>
    <xf numFmtId="49" fontId="13" fillId="0" borderId="1" xfId="0" applyNumberFormat="1" applyFont="1" applyFill="1" applyBorder="1" applyAlignment="1">
      <alignment horizontal="center" vertical="center"/>
    </xf>
    <xf numFmtId="49" fontId="13" fillId="0" borderId="2" xfId="0" applyNumberFormat="1" applyFont="1" applyFill="1" applyBorder="1" applyAlignment="1">
      <alignment horizontal="center" vertical="center"/>
    </xf>
    <xf numFmtId="0" fontId="3" fillId="0" borderId="13" xfId="0" applyFont="1" applyFill="1" applyBorder="1" applyAlignment="1">
      <alignment horizontal="center" vertical="center" wrapText="1"/>
    </xf>
    <xf numFmtId="0" fontId="3" fillId="0" borderId="9" xfId="0" applyFont="1" applyFill="1" applyBorder="1" applyAlignment="1">
      <alignment horizontal="center" vertical="center" wrapText="1"/>
    </xf>
    <xf numFmtId="0" fontId="0" fillId="9" borderId="17" xfId="0" applyFill="1" applyBorder="1"/>
    <xf numFmtId="14" fontId="0" fillId="0" borderId="7" xfId="0" applyNumberFormat="1" applyBorder="1" applyAlignment="1">
      <alignment horizontal="left"/>
    </xf>
    <xf numFmtId="14" fontId="0" fillId="0" borderId="8" xfId="0" applyNumberFormat="1" applyBorder="1" applyAlignment="1">
      <alignment horizontal="left"/>
    </xf>
    <xf numFmtId="168" fontId="0" fillId="0" borderId="8" xfId="0" applyNumberFormat="1" applyBorder="1"/>
    <xf numFmtId="14" fontId="0" fillId="0" borderId="10" xfId="0" applyNumberFormat="1" applyBorder="1" applyAlignment="1">
      <alignment horizontal="left"/>
    </xf>
    <xf numFmtId="14" fontId="0" fillId="0" borderId="11" xfId="0" applyNumberFormat="1" applyBorder="1" applyAlignment="1">
      <alignment horizontal="left"/>
    </xf>
    <xf numFmtId="168" fontId="0" fillId="0" borderId="11" xfId="0" applyNumberFormat="1" applyBorder="1"/>
    <xf numFmtId="2" fontId="0" fillId="6" borderId="21" xfId="0" applyNumberFormat="1" applyFill="1" applyBorder="1"/>
    <xf numFmtId="0" fontId="10" fillId="2" borderId="9" xfId="0" applyFont="1" applyFill="1" applyBorder="1" applyAlignment="1">
      <alignment horizontal="left" vertical="center"/>
    </xf>
    <xf numFmtId="0" fontId="10" fillId="2" borderId="13" xfId="0" applyFont="1" applyFill="1" applyBorder="1" applyAlignment="1">
      <alignment horizontal="left" vertical="center"/>
    </xf>
    <xf numFmtId="0" fontId="10" fillId="2" borderId="7" xfId="0" applyFont="1" applyFill="1" applyBorder="1" applyAlignment="1">
      <alignment horizontal="left" vertical="center"/>
    </xf>
    <xf numFmtId="0" fontId="10" fillId="2" borderId="12" xfId="0" applyFont="1" applyFill="1" applyBorder="1" applyAlignment="1">
      <alignment horizontal="left" vertical="center"/>
    </xf>
    <xf numFmtId="0" fontId="0" fillId="0" borderId="13" xfId="0" applyFont="1" applyBorder="1" applyAlignment="1">
      <alignment horizontal="left" vertical="center"/>
    </xf>
    <xf numFmtId="0" fontId="0" fillId="0" borderId="13" xfId="0" applyBorder="1" applyAlignment="1">
      <alignment horizontal="left" vertical="center"/>
    </xf>
    <xf numFmtId="0" fontId="4" fillId="0" borderId="16" xfId="0" applyFont="1" applyFill="1" applyBorder="1" applyAlignment="1">
      <alignment horizontal="center" vertical="center" wrapText="1"/>
    </xf>
    <xf numFmtId="0" fontId="4" fillId="0" borderId="17"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4" fillId="0" borderId="15" xfId="0" applyFont="1" applyFill="1" applyBorder="1" applyAlignment="1">
      <alignment horizontal="center" vertical="center" wrapText="1"/>
    </xf>
    <xf numFmtId="0" fontId="2" fillId="5" borderId="15" xfId="0" applyFont="1" applyFill="1" applyBorder="1" applyAlignment="1">
      <alignment horizontal="center" vertical="center" wrapText="1"/>
    </xf>
    <xf numFmtId="0" fontId="2" fillId="5" borderId="16" xfId="0" applyFont="1" applyFill="1" applyBorder="1" applyAlignment="1">
      <alignment horizontal="center" vertical="center" wrapText="1"/>
    </xf>
    <xf numFmtId="0" fontId="2" fillId="5" borderId="17" xfId="0" applyFont="1" applyFill="1" applyBorder="1" applyAlignment="1">
      <alignment horizontal="center" vertical="center" wrapText="1"/>
    </xf>
    <xf numFmtId="0" fontId="0" fillId="0" borderId="7" xfId="0" applyFont="1" applyBorder="1" applyAlignment="1">
      <alignment horizontal="left" vertical="top" wrapText="1"/>
    </xf>
    <xf numFmtId="0" fontId="0" fillId="0" borderId="8" xfId="0" applyFont="1" applyBorder="1" applyAlignment="1">
      <alignment horizontal="left" vertical="top" wrapText="1"/>
    </xf>
    <xf numFmtId="0" fontId="0" fillId="0" borderId="12" xfId="0" applyFont="1" applyBorder="1" applyAlignment="1">
      <alignment horizontal="left" vertical="top" wrapText="1"/>
    </xf>
    <xf numFmtId="0" fontId="0" fillId="0" borderId="9" xfId="0" applyFont="1" applyBorder="1" applyAlignment="1">
      <alignment horizontal="left" vertical="top" wrapText="1"/>
    </xf>
    <xf numFmtId="0" fontId="0" fillId="0" borderId="0" xfId="0" applyFont="1" applyBorder="1" applyAlignment="1">
      <alignment horizontal="left" vertical="top" wrapText="1"/>
    </xf>
    <xf numFmtId="0" fontId="0" fillId="0" borderId="13" xfId="0" applyFont="1" applyBorder="1" applyAlignment="1">
      <alignment horizontal="left" vertical="top" wrapText="1"/>
    </xf>
    <xf numFmtId="0" fontId="0" fillId="0" borderId="9" xfId="0" applyBorder="1" applyAlignment="1"/>
    <xf numFmtId="0" fontId="0" fillId="0" borderId="0" xfId="0" applyBorder="1" applyAlignment="1"/>
    <xf numFmtId="0" fontId="0" fillId="0" borderId="9" xfId="0" applyBorder="1" applyAlignment="1">
      <alignment horizontal="left"/>
    </xf>
    <xf numFmtId="0" fontId="0" fillId="0" borderId="0" xfId="0" applyBorder="1" applyAlignment="1">
      <alignment horizontal="left"/>
    </xf>
    <xf numFmtId="0" fontId="0" fillId="0" borderId="13" xfId="0" applyBorder="1" applyAlignment="1">
      <alignment horizontal="left"/>
    </xf>
    <xf numFmtId="0" fontId="3" fillId="0" borderId="15" xfId="0" applyFont="1" applyFill="1" applyBorder="1" applyAlignment="1">
      <alignment horizontal="center" vertical="center"/>
    </xf>
    <xf numFmtId="0" fontId="3" fillId="0" borderId="16" xfId="0" applyFont="1" applyFill="1" applyBorder="1" applyAlignment="1">
      <alignment horizontal="center" vertical="center"/>
    </xf>
    <xf numFmtId="49" fontId="9" fillId="5" borderId="15" xfId="0" applyNumberFormat="1" applyFont="1" applyFill="1" applyBorder="1" applyAlignment="1">
      <alignment horizontal="center" vertical="center" wrapText="1"/>
    </xf>
    <xf numFmtId="49" fontId="9" fillId="5" borderId="16" xfId="0" applyNumberFormat="1" applyFont="1" applyFill="1" applyBorder="1" applyAlignment="1">
      <alignment horizontal="center" vertical="center" wrapText="1"/>
    </xf>
    <xf numFmtId="49" fontId="9" fillId="5" borderId="17" xfId="0" applyNumberFormat="1" applyFont="1" applyFill="1" applyBorder="1" applyAlignment="1">
      <alignment horizontal="center" vertical="center" wrapText="1"/>
    </xf>
    <xf numFmtId="0" fontId="9" fillId="5" borderId="15" xfId="0" applyFont="1" applyFill="1" applyBorder="1" applyAlignment="1">
      <alignment horizontal="center" vertical="center" wrapText="1"/>
    </xf>
    <xf numFmtId="0" fontId="9" fillId="5" borderId="16" xfId="0" applyFont="1" applyFill="1" applyBorder="1" applyAlignment="1">
      <alignment horizontal="center" vertical="center" wrapText="1"/>
    </xf>
    <xf numFmtId="0" fontId="9" fillId="5" borderId="17" xfId="0" applyFont="1" applyFill="1" applyBorder="1" applyAlignment="1">
      <alignment horizontal="center" vertical="center" wrapText="1"/>
    </xf>
    <xf numFmtId="0" fontId="3" fillId="0" borderId="7" xfId="0" applyFont="1" applyFill="1" applyBorder="1" applyAlignment="1">
      <alignment horizontal="center" vertical="center"/>
    </xf>
    <xf numFmtId="0" fontId="3" fillId="0" borderId="8" xfId="0" applyFont="1" applyFill="1" applyBorder="1" applyAlignment="1">
      <alignment horizontal="center" vertical="center"/>
    </xf>
    <xf numFmtId="0" fontId="0" fillId="7" borderId="29" xfId="0" applyFont="1" applyFill="1" applyBorder="1" applyAlignment="1">
      <alignment horizontal="left" vertical="top" wrapText="1"/>
    </xf>
    <xf numFmtId="0" fontId="0" fillId="7" borderId="28" xfId="0" applyFont="1" applyFill="1" applyBorder="1" applyAlignment="1">
      <alignment horizontal="left" vertical="top" wrapText="1"/>
    </xf>
    <xf numFmtId="0" fontId="0" fillId="7" borderId="30" xfId="0" applyFont="1" applyFill="1" applyBorder="1" applyAlignment="1">
      <alignment horizontal="left" vertical="top" wrapText="1"/>
    </xf>
    <xf numFmtId="0" fontId="0" fillId="7" borderId="31" xfId="0" applyFont="1" applyFill="1" applyBorder="1" applyAlignment="1">
      <alignment horizontal="left" vertical="top" wrapText="1"/>
    </xf>
    <xf numFmtId="0" fontId="0" fillId="7" borderId="22" xfId="0" applyFont="1" applyFill="1" applyBorder="1" applyAlignment="1">
      <alignment horizontal="left" vertical="top" wrapText="1"/>
    </xf>
    <xf numFmtId="0" fontId="0" fillId="7" borderId="32" xfId="0" applyFont="1" applyFill="1" applyBorder="1" applyAlignment="1">
      <alignment horizontal="left" vertical="top" wrapText="1"/>
    </xf>
    <xf numFmtId="0" fontId="3" fillId="0" borderId="17" xfId="0" applyFont="1" applyFill="1" applyBorder="1" applyAlignment="1">
      <alignment horizontal="center" vertical="center"/>
    </xf>
    <xf numFmtId="0" fontId="3" fillId="0" borderId="15" xfId="0" applyFont="1" applyFill="1" applyBorder="1" applyAlignment="1">
      <alignment horizontal="center" vertical="center" wrapText="1"/>
    </xf>
    <xf numFmtId="0" fontId="3" fillId="0" borderId="16" xfId="0" applyFont="1" applyFill="1" applyBorder="1" applyAlignment="1">
      <alignment horizontal="center" vertical="center" wrapText="1"/>
    </xf>
    <xf numFmtId="0" fontId="3" fillId="0" borderId="17" xfId="0" applyFont="1" applyFill="1" applyBorder="1" applyAlignment="1">
      <alignment horizontal="center" vertical="center" wrapText="1"/>
    </xf>
    <xf numFmtId="0" fontId="3" fillId="0" borderId="12" xfId="0" applyFont="1" applyFill="1" applyBorder="1" applyAlignment="1">
      <alignment horizontal="center" vertical="center"/>
    </xf>
    <xf numFmtId="49" fontId="2" fillId="5" borderId="15" xfId="0" applyNumberFormat="1" applyFont="1" applyFill="1" applyBorder="1" applyAlignment="1">
      <alignment horizontal="center" vertical="center" wrapText="1"/>
    </xf>
    <xf numFmtId="49" fontId="2" fillId="5" borderId="16" xfId="0" applyNumberFormat="1" applyFont="1" applyFill="1" applyBorder="1" applyAlignment="1">
      <alignment horizontal="center" vertical="center" wrapText="1"/>
    </xf>
    <xf numFmtId="49" fontId="2" fillId="5" borderId="17" xfId="0" applyNumberFormat="1" applyFont="1" applyFill="1" applyBorder="1" applyAlignment="1">
      <alignment horizontal="center" vertical="center" wrapText="1"/>
    </xf>
    <xf numFmtId="0" fontId="9" fillId="5" borderId="7" xfId="0" applyFont="1" applyFill="1" applyBorder="1" applyAlignment="1">
      <alignment horizontal="center" vertical="center" wrapText="1"/>
    </xf>
    <xf numFmtId="0" fontId="9" fillId="5" borderId="8" xfId="0" applyFont="1" applyFill="1" applyBorder="1" applyAlignment="1">
      <alignment horizontal="center" vertical="center" wrapText="1"/>
    </xf>
    <xf numFmtId="0" fontId="9" fillId="5" borderId="12"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2" fillId="5" borderId="8" xfId="0" applyFont="1" applyFill="1" applyBorder="1" applyAlignment="1">
      <alignment horizontal="center" vertical="center" wrapText="1"/>
    </xf>
    <xf numFmtId="0" fontId="2" fillId="5" borderId="12" xfId="0" applyFont="1" applyFill="1" applyBorder="1" applyAlignment="1">
      <alignment horizontal="center" vertical="center" wrapText="1"/>
    </xf>
    <xf numFmtId="49" fontId="3" fillId="0" borderId="15" xfId="0" applyNumberFormat="1" applyFont="1" applyFill="1" applyBorder="1" applyAlignment="1">
      <alignment horizontal="center" vertical="center"/>
    </xf>
    <xf numFmtId="49" fontId="3" fillId="0" borderId="16" xfId="0" applyNumberFormat="1" applyFont="1" applyFill="1" applyBorder="1" applyAlignment="1">
      <alignment horizontal="center" vertical="center"/>
    </xf>
    <xf numFmtId="49" fontId="2" fillId="5" borderId="7" xfId="0" applyNumberFormat="1" applyFont="1" applyFill="1" applyBorder="1" applyAlignment="1">
      <alignment horizontal="center" vertical="center" wrapText="1"/>
    </xf>
    <xf numFmtId="49" fontId="2" fillId="5" borderId="8" xfId="0" applyNumberFormat="1" applyFont="1" applyFill="1" applyBorder="1" applyAlignment="1">
      <alignment horizontal="center" vertical="center" wrapText="1"/>
    </xf>
    <xf numFmtId="49" fontId="2" fillId="5" borderId="12" xfId="0" applyNumberFormat="1" applyFont="1" applyFill="1" applyBorder="1" applyAlignment="1">
      <alignment horizontal="center" vertical="center" wrapText="1"/>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1" xfId="0" applyBorder="1" applyAlignment="1">
      <alignment horizontal="center"/>
    </xf>
    <xf numFmtId="0" fontId="0" fillId="0" borderId="14" xfId="0" applyBorder="1" applyAlignment="1">
      <alignment horizontal="center"/>
    </xf>
    <xf numFmtId="0" fontId="10" fillId="2" borderId="15" xfId="0" applyFont="1" applyFill="1" applyBorder="1" applyAlignment="1">
      <alignment horizontal="left" vertical="center"/>
    </xf>
    <xf numFmtId="0" fontId="0" fillId="0" borderId="17" xfId="0" applyFont="1" applyBorder="1" applyAlignment="1">
      <alignment horizontal="left" vertical="center"/>
    </xf>
    <xf numFmtId="0" fontId="0" fillId="6" borderId="15" xfId="0" applyFill="1" applyBorder="1" applyAlignment="1">
      <alignment horizontal="center"/>
    </xf>
    <xf numFmtId="0" fontId="0" fillId="6" borderId="17" xfId="0" applyFill="1" applyBorder="1" applyAlignment="1">
      <alignment horizontal="center"/>
    </xf>
    <xf numFmtId="0" fontId="0" fillId="6" borderId="16" xfId="0" applyFill="1" applyBorder="1" applyAlignment="1">
      <alignment horizontal="center"/>
    </xf>
    <xf numFmtId="0" fontId="0" fillId="7" borderId="15" xfId="0" applyFill="1" applyBorder="1" applyAlignment="1">
      <alignment horizontal="center"/>
    </xf>
    <xf numFmtId="0" fontId="0" fillId="7" borderId="16" xfId="0" applyFill="1" applyBorder="1" applyAlignment="1">
      <alignment horizontal="center"/>
    </xf>
    <xf numFmtId="0" fontId="0" fillId="7" borderId="17" xfId="0" applyFill="1" applyBorder="1" applyAlignment="1">
      <alignment horizontal="center"/>
    </xf>
    <xf numFmtId="2" fontId="0" fillId="0" borderId="12" xfId="0" applyNumberFormat="1" applyBorder="1" applyAlignment="1">
      <alignment horizontal="center"/>
    </xf>
    <xf numFmtId="2" fontId="0" fillId="0" borderId="14" xfId="0" applyNumberFormat="1" applyBorder="1" applyAlignment="1">
      <alignment horizontal="center"/>
    </xf>
    <xf numFmtId="49" fontId="4" fillId="0" borderId="0" xfId="0" applyNumberFormat="1" applyFont="1" applyFill="1" applyBorder="1" applyAlignment="1">
      <alignment horizontal="center"/>
    </xf>
    <xf numFmtId="0" fontId="0" fillId="0" borderId="0" xfId="0" applyBorder="1" applyAlignment="1">
      <alignment horizontal="center"/>
    </xf>
    <xf numFmtId="0" fontId="1" fillId="2" borderId="0" xfId="0" applyFont="1" applyFill="1" applyAlignment="1">
      <alignment horizontal="left" vertical="center"/>
    </xf>
    <xf numFmtId="0" fontId="0" fillId="2" borderId="0" xfId="0" applyFill="1"/>
  </cellXfs>
  <cellStyles count="1">
    <cellStyle name="Normal" xfId="0" builtinId="0"/>
  </cellStyles>
  <dxfs count="84">
    <dxf>
      <fill>
        <patternFill>
          <bgColor rgb="FFFFFF00"/>
        </patternFill>
      </fill>
    </dxf>
    <dxf>
      <fill>
        <patternFill patternType="solid">
          <bgColor theme="0"/>
        </patternFill>
      </fill>
    </dxf>
    <dxf>
      <fill>
        <patternFill>
          <bgColor rgb="FFFFFF00"/>
        </patternFill>
      </fill>
    </dxf>
    <dxf>
      <fill>
        <patternFill patternType="solid">
          <bgColor theme="0"/>
        </patternFill>
      </fill>
    </dxf>
    <dxf>
      <fill>
        <patternFill>
          <bgColor rgb="FFFFFF00"/>
        </patternFill>
      </fill>
    </dxf>
    <dxf>
      <fill>
        <patternFill patternType="solid">
          <b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4.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7</xdr:col>
          <xdr:colOff>57150</xdr:colOff>
          <xdr:row>0</xdr:row>
          <xdr:rowOff>57150</xdr:rowOff>
        </xdr:from>
        <xdr:to>
          <xdr:col>7</xdr:col>
          <xdr:colOff>1200150</xdr:colOff>
          <xdr:row>0</xdr:row>
          <xdr:rowOff>257175</xdr:rowOff>
        </xdr:to>
        <xdr:sp macro="" textlink="">
          <xdr:nvSpPr>
            <xdr:cNvPr id="13313" name="CmdBtnParameters" hidden="1">
              <a:extLst>
                <a:ext uri="{63B3BB69-23CF-44E3-9099-C40C66FF867C}">
                  <a14:compatExt spid="_x0000_s13313"/>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cs typeface="Calibri"/>
                </a:rPr>
                <a:t>View Parameters</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7</xdr:col>
          <xdr:colOff>57150</xdr:colOff>
          <xdr:row>0</xdr:row>
          <xdr:rowOff>57150</xdr:rowOff>
        </xdr:from>
        <xdr:to>
          <xdr:col>7</xdr:col>
          <xdr:colOff>1200150</xdr:colOff>
          <xdr:row>0</xdr:row>
          <xdr:rowOff>257175</xdr:rowOff>
        </xdr:to>
        <xdr:sp macro="" textlink="">
          <xdr:nvSpPr>
            <xdr:cNvPr id="27649" name="CmdBtnParameters" hidden="1">
              <a:extLst>
                <a:ext uri="{63B3BB69-23CF-44E3-9099-C40C66FF867C}">
                  <a14:compatExt spid="_x0000_s27649"/>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cs typeface="Calibri"/>
                </a:rPr>
                <a:t>View Parameters</a:t>
              </a:r>
            </a:p>
          </xdr:txBody>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019_AUG_DMR_3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
      <sheetName val="CSV-Monthly"/>
      <sheetName val="300I_DMR"/>
      <sheetName val="Parameters"/>
      <sheetName val="Influent DMR Flows"/>
      <sheetName val="DMR 300 NEW"/>
      <sheetName val="X"/>
      <sheetName val="Report Parameters"/>
    </sheetNames>
    <sheetDataSet>
      <sheetData sheetId="0"/>
      <sheetData sheetId="1"/>
      <sheetData sheetId="2">
        <row r="51">
          <cell r="W51">
            <v>313.37637395692485</v>
          </cell>
          <cell r="AK51">
            <v>198.55418460308141</v>
          </cell>
        </row>
      </sheetData>
      <sheetData sheetId="3"/>
      <sheetData sheetId="4"/>
      <sheetData sheetId="5"/>
      <sheetData sheetId="6"/>
      <sheetData sheetId="7"/>
    </sheetDataSet>
  </externalBook>
</externalLink>
</file>

<file path=xl/queryTables/queryTable1.xml><?xml version="1.0" encoding="utf-8"?>
<queryTable xmlns="http://schemas.openxmlformats.org/spreadsheetml/2006/main" name="drilldown" connectionId="2"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4164_1" fillFormulas="1" adjustColumnWidth="0" connectionId="1" autoFormatId="16" applyNumberFormats="0" applyBorderFormats="0" applyFontFormats="1" applyPatternFormats="1" applyAlignmentFormats="0" applyWidthHeightFormats="0"/>
</file>

<file path=xl/queryTables/queryTable3.xml><?xml version="1.0" encoding="utf-8"?>
<queryTable xmlns="http://schemas.openxmlformats.org/spreadsheetml/2006/main" name="drilldown" connectionId="4" autoFormatId="16" applyNumberFormats="0" applyBorderFormats="0" applyFontFormats="1" applyPatternFormats="1" applyAlignmentFormats="0" applyWidthHeightFormats="0"/>
</file>

<file path=xl/queryTables/queryTable4.xml><?xml version="1.0" encoding="utf-8"?>
<queryTable xmlns="http://schemas.openxmlformats.org/spreadsheetml/2006/main" name="4165_1" fillFormulas="1" adjustColumnWidth="0" connectionId="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4.bin"/><Relationship Id="rId6" Type="http://schemas.openxmlformats.org/officeDocument/2006/relationships/queryTable" Target="../queryTables/queryTable2.xml"/><Relationship Id="rId5" Type="http://schemas.openxmlformats.org/officeDocument/2006/relationships/queryTable" Target="../queryTables/queryTable1.xml"/><Relationship Id="rId4" Type="http://schemas.openxmlformats.org/officeDocument/2006/relationships/ctrlProp" Target="../ctrlProps/ctrlProp1.xml"/></Relationships>
</file>

<file path=xl/worksheets/_rels/sheet11.xml.rels><?xml version="1.0" encoding="UTF-8" standalone="yes"?>
<Relationships xmlns="http://schemas.openxmlformats.org/package/2006/relationships"><Relationship Id="rId3" Type="http://schemas.openxmlformats.org/officeDocument/2006/relationships/ctrlProp" Target="../ctrlProps/ctrlProp2.xml"/><Relationship Id="rId2" Type="http://schemas.openxmlformats.org/officeDocument/2006/relationships/vmlDrawing" Target="../drawings/vmlDrawing2.vml"/><Relationship Id="rId1" Type="http://schemas.openxmlformats.org/officeDocument/2006/relationships/drawing" Target="../drawings/drawing2.xml"/><Relationship Id="rId5" Type="http://schemas.openxmlformats.org/officeDocument/2006/relationships/queryTable" Target="../queryTables/queryTable4.xml"/><Relationship Id="rId4" Type="http://schemas.openxmlformats.org/officeDocument/2006/relationships/queryTable" Target="../queryTables/queryTable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CT3"/>
  <sheetViews>
    <sheetView workbookViewId="0"/>
  </sheetViews>
  <sheetFormatPr defaultRowHeight="15" x14ac:dyDescent="0.25"/>
  <sheetData>
    <row r="1" spans="1:98" x14ac:dyDescent="0.25">
      <c r="A1" t="s">
        <v>33</v>
      </c>
      <c r="B1" t="s">
        <v>34</v>
      </c>
      <c r="C1" t="s">
        <v>35</v>
      </c>
      <c r="D1" t="s">
        <v>36</v>
      </c>
      <c r="E1" t="s">
        <v>37</v>
      </c>
      <c r="F1" t="s">
        <v>38</v>
      </c>
      <c r="G1" t="s">
        <v>39</v>
      </c>
      <c r="H1" t="s">
        <v>40</v>
      </c>
      <c r="I1" t="s">
        <v>45</v>
      </c>
      <c r="J1" t="s">
        <v>46</v>
      </c>
      <c r="K1" t="s">
        <v>47</v>
      </c>
      <c r="L1" t="s">
        <v>48</v>
      </c>
      <c r="M1" t="s">
        <v>49</v>
      </c>
      <c r="N1" t="s">
        <v>51</v>
      </c>
      <c r="O1" t="s">
        <v>50</v>
      </c>
      <c r="Q1" t="s">
        <v>53</v>
      </c>
      <c r="R1" t="s">
        <v>52</v>
      </c>
      <c r="S1" t="s">
        <v>41</v>
      </c>
      <c r="T1" t="s">
        <v>54</v>
      </c>
      <c r="U1" t="s">
        <v>55</v>
      </c>
      <c r="V1" t="s">
        <v>56</v>
      </c>
      <c r="W1" t="s">
        <v>57</v>
      </c>
      <c r="X1" t="s">
        <v>58</v>
      </c>
      <c r="Z1" t="s">
        <v>59</v>
      </c>
      <c r="AA1" t="s">
        <v>44</v>
      </c>
      <c r="AB1" t="s">
        <v>42</v>
      </c>
      <c r="AC1" t="s">
        <v>43</v>
      </c>
      <c r="AD1" t="s">
        <v>61</v>
      </c>
      <c r="AE1" t="s">
        <v>60</v>
      </c>
      <c r="AG1" t="s">
        <v>62</v>
      </c>
    </row>
    <row r="2" spans="1:98" x14ac:dyDescent="0.25">
      <c r="A2" t="s">
        <v>244</v>
      </c>
      <c r="B2" t="s">
        <v>63</v>
      </c>
      <c r="D2" t="s">
        <v>64</v>
      </c>
      <c r="E2" t="s">
        <v>65</v>
      </c>
      <c r="F2" t="s">
        <v>244</v>
      </c>
      <c r="G2" t="s">
        <v>620</v>
      </c>
      <c r="H2">
        <v>702</v>
      </c>
      <c r="I2">
        <v>21</v>
      </c>
      <c r="J2">
        <v>5</v>
      </c>
      <c r="K2">
        <v>22</v>
      </c>
      <c r="L2">
        <v>635</v>
      </c>
      <c r="M2" t="s">
        <v>66</v>
      </c>
      <c r="O2">
        <f>'DMR 001C NEW'!VST1</f>
        <v>0</v>
      </c>
      <c r="Q2">
        <v>4164</v>
      </c>
      <c r="R2">
        <v>0</v>
      </c>
      <c r="S2">
        <v>11</v>
      </c>
      <c r="T2" t="s">
        <v>245</v>
      </c>
      <c r="U2" t="s">
        <v>621</v>
      </c>
      <c r="V2">
        <v>15</v>
      </c>
      <c r="W2" s="8">
        <v>43724.43545138889</v>
      </c>
      <c r="X2" t="s">
        <v>69</v>
      </c>
      <c r="AA2" t="s">
        <v>619</v>
      </c>
      <c r="AB2" s="8">
        <v>43724.435150462959</v>
      </c>
      <c r="AC2" s="8">
        <v>43724.435300925928</v>
      </c>
      <c r="AE2">
        <v>0</v>
      </c>
      <c r="AF2" s="7" t="s">
        <v>67</v>
      </c>
      <c r="AG2" s="7" t="s">
        <v>68</v>
      </c>
      <c r="AH2" t="s">
        <v>221</v>
      </c>
      <c r="AJ2" t="s">
        <v>221</v>
      </c>
      <c r="AL2" t="s">
        <v>221</v>
      </c>
      <c r="AN2" t="s">
        <v>221</v>
      </c>
      <c r="AP2" t="s">
        <v>221</v>
      </c>
      <c r="AR2" t="s">
        <v>221</v>
      </c>
      <c r="AT2" t="s">
        <v>221</v>
      </c>
      <c r="AV2" t="s">
        <v>221</v>
      </c>
      <c r="AX2" t="s">
        <v>221</v>
      </c>
      <c r="AZ2" t="s">
        <v>221</v>
      </c>
      <c r="BB2" t="s">
        <v>221</v>
      </c>
      <c r="BD2" t="s">
        <v>221</v>
      </c>
      <c r="BF2" t="s">
        <v>221</v>
      </c>
      <c r="BH2" t="s">
        <v>221</v>
      </c>
      <c r="BJ2" t="s">
        <v>221</v>
      </c>
      <c r="BL2" t="s">
        <v>221</v>
      </c>
      <c r="BN2" t="s">
        <v>221</v>
      </c>
      <c r="BP2" t="s">
        <v>221</v>
      </c>
      <c r="BR2" t="s">
        <v>221</v>
      </c>
      <c r="BT2" t="s">
        <v>221</v>
      </c>
      <c r="BV2" t="s">
        <v>221</v>
      </c>
      <c r="BX2" t="s">
        <v>221</v>
      </c>
      <c r="BZ2" t="s">
        <v>221</v>
      </c>
      <c r="CB2" t="s">
        <v>221</v>
      </c>
      <c r="CD2" t="s">
        <v>221</v>
      </c>
      <c r="CF2" t="s">
        <v>221</v>
      </c>
      <c r="CH2" t="s">
        <v>221</v>
      </c>
      <c r="CJ2" t="s">
        <v>221</v>
      </c>
      <c r="CL2" t="s">
        <v>221</v>
      </c>
      <c r="CN2" t="s">
        <v>221</v>
      </c>
      <c r="CP2" t="s">
        <v>221</v>
      </c>
      <c r="CR2" t="s">
        <v>221</v>
      </c>
      <c r="CT2" t="s">
        <v>246</v>
      </c>
    </row>
    <row r="3" spans="1:98" x14ac:dyDescent="0.25">
      <c r="A3" t="s">
        <v>266</v>
      </c>
      <c r="B3" t="s">
        <v>63</v>
      </c>
      <c r="D3" t="s">
        <v>64</v>
      </c>
      <c r="E3" t="s">
        <v>65</v>
      </c>
      <c r="F3" t="s">
        <v>266</v>
      </c>
      <c r="G3" t="s">
        <v>624</v>
      </c>
      <c r="H3">
        <v>70</v>
      </c>
      <c r="I3">
        <v>21</v>
      </c>
      <c r="J3">
        <v>5</v>
      </c>
      <c r="K3">
        <v>22</v>
      </c>
      <c r="L3">
        <v>622</v>
      </c>
      <c r="M3" t="s">
        <v>66</v>
      </c>
      <c r="O3">
        <f>'DMR Flows-Effluent'!VSR1</f>
        <v>0</v>
      </c>
      <c r="Q3">
        <v>4165</v>
      </c>
      <c r="R3">
        <v>0</v>
      </c>
      <c r="S3">
        <v>11</v>
      </c>
      <c r="T3" t="s">
        <v>267</v>
      </c>
      <c r="U3" t="s">
        <v>625</v>
      </c>
      <c r="V3">
        <v>7</v>
      </c>
      <c r="W3" s="8">
        <v>43724.435868055552</v>
      </c>
      <c r="X3" t="s">
        <v>69</v>
      </c>
      <c r="AA3" t="s">
        <v>623</v>
      </c>
      <c r="AB3" s="8">
        <v>43724.435706018521</v>
      </c>
      <c r="AC3" s="8">
        <v>43724.435717592591</v>
      </c>
      <c r="AE3">
        <v>0</v>
      </c>
      <c r="AF3" s="7" t="s">
        <v>67</v>
      </c>
      <c r="AG3" s="7" t="s">
        <v>68</v>
      </c>
      <c r="AH3" t="s">
        <v>221</v>
      </c>
      <c r="AJ3" t="s">
        <v>221</v>
      </c>
      <c r="AL3" t="s">
        <v>221</v>
      </c>
      <c r="AN3" t="s">
        <v>221</v>
      </c>
      <c r="AP3" t="s">
        <v>221</v>
      </c>
      <c r="AR3" t="s">
        <v>221</v>
      </c>
      <c r="AT3" t="s">
        <v>221</v>
      </c>
      <c r="AV3" t="s">
        <v>221</v>
      </c>
      <c r="AX3" t="s">
        <v>221</v>
      </c>
      <c r="AZ3" t="s">
        <v>221</v>
      </c>
      <c r="BB3" t="s">
        <v>221</v>
      </c>
      <c r="BD3" t="s">
        <v>221</v>
      </c>
      <c r="BF3" t="s">
        <v>221</v>
      </c>
      <c r="BH3" t="s">
        <v>221</v>
      </c>
      <c r="BJ3" t="s">
        <v>221</v>
      </c>
      <c r="BL3" t="s">
        <v>221</v>
      </c>
      <c r="BN3" t="s">
        <v>221</v>
      </c>
      <c r="BP3" t="s">
        <v>221</v>
      </c>
      <c r="BR3" t="s">
        <v>221</v>
      </c>
      <c r="BT3" t="s">
        <v>221</v>
      </c>
      <c r="BV3" t="s">
        <v>221</v>
      </c>
      <c r="BX3" t="s">
        <v>221</v>
      </c>
      <c r="BZ3" t="s">
        <v>221</v>
      </c>
      <c r="CB3" t="s">
        <v>221</v>
      </c>
      <c r="CD3" t="s">
        <v>221</v>
      </c>
      <c r="CF3" t="s">
        <v>221</v>
      </c>
      <c r="CH3" t="s">
        <v>221</v>
      </c>
      <c r="CJ3" t="s">
        <v>221</v>
      </c>
      <c r="CL3" t="s">
        <v>221</v>
      </c>
      <c r="CN3" t="s">
        <v>221</v>
      </c>
      <c r="CP3" t="s">
        <v>221</v>
      </c>
      <c r="CR3" t="s">
        <v>221</v>
      </c>
      <c r="CT3" t="s">
        <v>268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I22"/>
  <sheetViews>
    <sheetView topLeftCell="Q1" workbookViewId="0">
      <selection activeCell="AB3" sqref="AB3"/>
    </sheetView>
  </sheetViews>
  <sheetFormatPr defaultRowHeight="15" x14ac:dyDescent="0.25"/>
  <cols>
    <col min="1" max="1" width="10.5703125" bestFit="1" customWidth="1"/>
    <col min="2" max="2" width="20.5703125" style="7" bestFit="1" customWidth="1"/>
    <col min="3" max="3" width="12.28515625" bestFit="1" customWidth="1"/>
    <col min="4" max="4" width="11.28515625" bestFit="1" customWidth="1"/>
    <col min="5" max="5" width="13.42578125" bestFit="1" customWidth="1"/>
    <col min="6" max="6" width="13.42578125" style="7" bestFit="1" customWidth="1"/>
    <col min="7" max="7" width="22.42578125" style="33" bestFit="1" customWidth="1"/>
    <col min="8" max="8" width="12.140625" bestFit="1" customWidth="1"/>
    <col min="9" max="9" width="16.28515625" bestFit="1" customWidth="1"/>
    <col min="10" max="10" width="20.42578125" bestFit="1" customWidth="1"/>
    <col min="11" max="11" width="20.85546875" bestFit="1" customWidth="1"/>
    <col min="12" max="12" width="21.85546875" bestFit="1" customWidth="1"/>
    <col min="13" max="13" width="16.28515625" bestFit="1" customWidth="1"/>
    <col min="14" max="14" width="20.42578125" bestFit="1" customWidth="1"/>
    <col min="15" max="15" width="20.85546875" bestFit="1" customWidth="1"/>
    <col min="16" max="16" width="21.85546875" bestFit="1" customWidth="1"/>
    <col min="17" max="17" width="14.28515625" bestFit="1" customWidth="1"/>
    <col min="18" max="18" width="15.140625" bestFit="1" customWidth="1"/>
    <col min="19" max="19" width="19.28515625" bestFit="1" customWidth="1"/>
    <col min="20" max="20" width="19.7109375" bestFit="1" customWidth="1"/>
    <col min="21" max="21" width="20.5703125" bestFit="1" customWidth="1"/>
    <col min="22" max="22" width="15.140625" bestFit="1" customWidth="1"/>
    <col min="23" max="23" width="19.28515625" bestFit="1" customWidth="1"/>
    <col min="24" max="24" width="19.7109375" bestFit="1" customWidth="1"/>
    <col min="25" max="25" width="20.5703125" bestFit="1" customWidth="1"/>
    <col min="26" max="26" width="15.140625" bestFit="1" customWidth="1"/>
    <col min="27" max="27" width="19.28515625" bestFit="1" customWidth="1"/>
    <col min="28" max="28" width="19.7109375" bestFit="1" customWidth="1"/>
    <col min="29" max="29" width="20.5703125" bestFit="1" customWidth="1"/>
    <col min="30" max="30" width="13.140625" bestFit="1" customWidth="1"/>
    <col min="31" max="31" width="15.5703125" bestFit="1" customWidth="1"/>
    <col min="32" max="32" width="15.85546875" bestFit="1" customWidth="1"/>
    <col min="33" max="33" width="15.5703125" bestFit="1" customWidth="1"/>
    <col min="34" max="34" width="14.7109375" bestFit="1" customWidth="1"/>
    <col min="35" max="35" width="12.85546875" bestFit="1" customWidth="1"/>
  </cols>
  <sheetData>
    <row r="1" spans="1:35" x14ac:dyDescent="0.25">
      <c r="A1" t="s">
        <v>142</v>
      </c>
      <c r="B1" s="7" t="s">
        <v>143</v>
      </c>
      <c r="C1" t="s">
        <v>144</v>
      </c>
      <c r="D1" t="s">
        <v>145</v>
      </c>
      <c r="E1" t="s">
        <v>146</v>
      </c>
      <c r="F1" s="7" t="s">
        <v>147</v>
      </c>
      <c r="G1" s="33" t="s">
        <v>148</v>
      </c>
      <c r="H1" t="s">
        <v>149</v>
      </c>
      <c r="I1" t="s">
        <v>150</v>
      </c>
      <c r="J1" t="s">
        <v>151</v>
      </c>
      <c r="K1" t="s">
        <v>152</v>
      </c>
      <c r="L1" t="s">
        <v>153</v>
      </c>
      <c r="M1" t="s">
        <v>154</v>
      </c>
      <c r="N1" t="s">
        <v>155</v>
      </c>
      <c r="O1" t="s">
        <v>156</v>
      </c>
      <c r="P1" t="s">
        <v>157</v>
      </c>
      <c r="Q1" t="s">
        <v>158</v>
      </c>
      <c r="R1" t="s">
        <v>159</v>
      </c>
      <c r="S1" t="s">
        <v>160</v>
      </c>
      <c r="T1" t="s">
        <v>161</v>
      </c>
      <c r="U1" t="s">
        <v>162</v>
      </c>
      <c r="V1" t="s">
        <v>163</v>
      </c>
      <c r="W1" t="s">
        <v>164</v>
      </c>
      <c r="X1" t="s">
        <v>165</v>
      </c>
      <c r="Y1" t="s">
        <v>166</v>
      </c>
      <c r="Z1" t="s">
        <v>167</v>
      </c>
      <c r="AA1" t="s">
        <v>168</v>
      </c>
      <c r="AB1" t="s">
        <v>169</v>
      </c>
      <c r="AC1" t="s">
        <v>170</v>
      </c>
      <c r="AD1" t="s">
        <v>171</v>
      </c>
      <c r="AE1" t="s">
        <v>172</v>
      </c>
      <c r="AF1" t="s">
        <v>173</v>
      </c>
      <c r="AG1" t="s">
        <v>174</v>
      </c>
      <c r="AH1" t="s">
        <v>175</v>
      </c>
      <c r="AI1" t="s">
        <v>176</v>
      </c>
    </row>
    <row r="2" spans="1:35" x14ac:dyDescent="0.25">
      <c r="A2" t="s">
        <v>177</v>
      </c>
      <c r="B2" s="7" t="s">
        <v>238</v>
      </c>
      <c r="C2" t="s">
        <v>178</v>
      </c>
      <c r="D2" s="70">
        <f>'001-C DMR'!$B$2</f>
        <v>43708</v>
      </c>
      <c r="F2" s="7" t="s">
        <v>179</v>
      </c>
      <c r="G2" s="33">
        <v>1</v>
      </c>
      <c r="H2">
        <v>0</v>
      </c>
      <c r="S2" t="s">
        <v>180</v>
      </c>
      <c r="T2" s="68">
        <f>'001-C DMR'!I51</f>
        <v>5.98857754158327</v>
      </c>
      <c r="W2" t="s">
        <v>180</v>
      </c>
      <c r="X2" s="68">
        <f>'001-C DMR'!J53</f>
        <v>6.1824812241034532</v>
      </c>
      <c r="AE2">
        <f>'001-C DMR'!K56</f>
        <v>0</v>
      </c>
      <c r="AF2" s="299" t="str">
        <f>'001-C DMR'!K55</f>
        <v>07/WK</v>
      </c>
      <c r="AG2" s="49" t="s">
        <v>182</v>
      </c>
      <c r="AH2" s="49"/>
      <c r="AI2" s="49"/>
    </row>
    <row r="3" spans="1:35" x14ac:dyDescent="0.25">
      <c r="A3" t="s">
        <v>177</v>
      </c>
      <c r="B3" s="7" t="s">
        <v>238</v>
      </c>
      <c r="C3" t="s">
        <v>178</v>
      </c>
      <c r="D3" s="70">
        <f>'001-C DMR'!$B$2</f>
        <v>43708</v>
      </c>
      <c r="F3" s="7" t="s">
        <v>183</v>
      </c>
      <c r="G3" s="33">
        <v>1</v>
      </c>
      <c r="H3">
        <v>0</v>
      </c>
      <c r="S3" t="s">
        <v>180</v>
      </c>
      <c r="T3" s="68">
        <f>'001-C DMR'!X54</f>
        <v>6.9094480128462461</v>
      </c>
      <c r="X3" s="43"/>
      <c r="AA3" t="s">
        <v>180</v>
      </c>
      <c r="AB3" s="68">
        <f>'001-C DMR'!X53</f>
        <v>7.1</v>
      </c>
      <c r="AE3">
        <f>'001-C DMR'!T56</f>
        <v>0</v>
      </c>
      <c r="AF3" s="299" t="str">
        <f>'001-C DMR'!T55</f>
        <v>07/WK</v>
      </c>
      <c r="AG3" s="49" t="s">
        <v>182</v>
      </c>
      <c r="AH3" s="49"/>
      <c r="AI3" s="49"/>
    </row>
    <row r="4" spans="1:35" x14ac:dyDescent="0.25">
      <c r="A4" t="s">
        <v>177</v>
      </c>
      <c r="B4" s="7" t="s">
        <v>238</v>
      </c>
      <c r="C4" t="s">
        <v>178</v>
      </c>
      <c r="D4" s="70">
        <f>'001-C DMR'!$B$2</f>
        <v>43708</v>
      </c>
      <c r="F4" s="7" t="s">
        <v>184</v>
      </c>
      <c r="G4" s="33">
        <v>1</v>
      </c>
      <c r="H4">
        <v>0</v>
      </c>
      <c r="W4" t="s">
        <v>180</v>
      </c>
      <c r="X4" s="68">
        <f>'001-C DMR'!AH49</f>
        <v>12.150825674228264</v>
      </c>
      <c r="AA4" t="s">
        <v>180</v>
      </c>
      <c r="AB4" s="68">
        <f>'001-C DMR'!AI52</f>
        <v>14.784938907394094</v>
      </c>
      <c r="AE4">
        <f>'001-C DMR'!AJ56</f>
        <v>0</v>
      </c>
      <c r="AF4" s="299" t="str">
        <f>'001-C DMR'!AJ55</f>
        <v>07/WK</v>
      </c>
      <c r="AG4" s="49" t="s">
        <v>202</v>
      </c>
      <c r="AH4" s="49"/>
      <c r="AI4" s="49"/>
    </row>
    <row r="5" spans="1:35" x14ac:dyDescent="0.25">
      <c r="A5" t="s">
        <v>177</v>
      </c>
      <c r="B5" s="7" t="s">
        <v>238</v>
      </c>
      <c r="C5" t="s">
        <v>178</v>
      </c>
      <c r="D5" s="70">
        <f>'001-C DMR'!$B$2</f>
        <v>43708</v>
      </c>
      <c r="F5" s="7" t="s">
        <v>185</v>
      </c>
      <c r="G5" s="33">
        <v>1</v>
      </c>
      <c r="H5">
        <f>'001-C DMR'!$B$4</f>
        <v>8</v>
      </c>
      <c r="W5" t="str">
        <f>'001-C DMR'!AW49</f>
        <v>=</v>
      </c>
      <c r="X5" s="68">
        <f>'001-C DMR'!AY49</f>
        <v>0.95515286098051921</v>
      </c>
      <c r="AA5" t="s">
        <v>180</v>
      </c>
      <c r="AB5" s="68">
        <f t="array" ref="AB5">'001-C DMR'!AY50</f>
        <v>1.8646593060285552</v>
      </c>
      <c r="AE5">
        <v>0</v>
      </c>
      <c r="AF5" s="299" t="str">
        <f>'001-C DMR'!AZ55</f>
        <v>03/07</v>
      </c>
      <c r="AG5" s="49" t="s">
        <v>202</v>
      </c>
      <c r="AH5" s="49"/>
      <c r="AI5" s="49"/>
    </row>
    <row r="6" spans="1:35" x14ac:dyDescent="0.25">
      <c r="A6" t="s">
        <v>177</v>
      </c>
      <c r="B6" s="7" t="s">
        <v>238</v>
      </c>
      <c r="C6" t="s">
        <v>178</v>
      </c>
      <c r="D6" s="70">
        <f>'001-C DMR'!$B$2</f>
        <v>43708</v>
      </c>
      <c r="F6" s="7" t="s">
        <v>186</v>
      </c>
      <c r="G6" s="33">
        <v>1</v>
      </c>
      <c r="H6">
        <f>'001-C DMR'!$B$4</f>
        <v>8</v>
      </c>
      <c r="AA6" t="str">
        <f>'001-C DMR'!BM50</f>
        <v>=</v>
      </c>
      <c r="AB6" s="68">
        <f>'001-C DMR'!BO50</f>
        <v>6.2372255945595789</v>
      </c>
      <c r="AE6">
        <f>'001-C DMR'!BP56</f>
        <v>0</v>
      </c>
      <c r="AF6" s="299" t="str">
        <f>'001-C DMR'!BP55</f>
        <v>03/07</v>
      </c>
      <c r="AG6" s="49" t="s">
        <v>202</v>
      </c>
      <c r="AH6" s="49"/>
      <c r="AI6" s="49"/>
    </row>
    <row r="7" spans="1:35" x14ac:dyDescent="0.25">
      <c r="A7" t="s">
        <v>177</v>
      </c>
      <c r="B7" s="7" t="s">
        <v>238</v>
      </c>
      <c r="C7" t="s">
        <v>178</v>
      </c>
      <c r="D7" s="70">
        <f>'001-C DMR'!$B$2</f>
        <v>43708</v>
      </c>
      <c r="F7" s="7" t="s">
        <v>187</v>
      </c>
      <c r="G7" s="33">
        <v>1</v>
      </c>
      <c r="H7">
        <v>0</v>
      </c>
      <c r="AF7" s="48"/>
      <c r="AG7" s="49" t="s">
        <v>202</v>
      </c>
      <c r="AH7" s="49"/>
      <c r="AI7" s="49"/>
    </row>
    <row r="8" spans="1:35" x14ac:dyDescent="0.25">
      <c r="A8" t="s">
        <v>177</v>
      </c>
      <c r="B8" s="7" t="s">
        <v>238</v>
      </c>
      <c r="C8" t="s">
        <v>178</v>
      </c>
      <c r="D8" s="70">
        <f>'001-C DMR'!$B$2</f>
        <v>43708</v>
      </c>
      <c r="F8" s="7" t="s">
        <v>188</v>
      </c>
      <c r="G8" s="33">
        <v>1</v>
      </c>
      <c r="H8">
        <v>0</v>
      </c>
      <c r="AF8" s="48"/>
      <c r="AG8" s="49" t="s">
        <v>202</v>
      </c>
      <c r="AH8" s="49"/>
      <c r="AI8" s="49"/>
    </row>
    <row r="9" spans="1:35" x14ac:dyDescent="0.25">
      <c r="A9" t="s">
        <v>177</v>
      </c>
      <c r="B9" s="7" t="s">
        <v>238</v>
      </c>
      <c r="C9" t="s">
        <v>178</v>
      </c>
      <c r="D9" s="70">
        <f>'001-C DMR'!$B$2</f>
        <v>43708</v>
      </c>
      <c r="F9" s="7" t="s">
        <v>189</v>
      </c>
      <c r="G9" s="33">
        <v>1</v>
      </c>
      <c r="H9">
        <v>0</v>
      </c>
      <c r="W9" s="43" t="str">
        <f>'001-C DMR'!CD49</f>
        <v>=</v>
      </c>
      <c r="X9" s="69">
        <f>'001-C DMR'!CE49</f>
        <v>101.3799791539904</v>
      </c>
      <c r="AE9">
        <f>'001-C DMR'!CF56</f>
        <v>0</v>
      </c>
      <c r="AF9" s="299" t="str">
        <f>'001-C DMR'!CF55</f>
        <v>01/07</v>
      </c>
      <c r="AG9" s="49" t="s">
        <v>202</v>
      </c>
      <c r="AH9" s="49"/>
      <c r="AI9" s="49"/>
    </row>
    <row r="10" spans="1:35" x14ac:dyDescent="0.25">
      <c r="A10" t="s">
        <v>177</v>
      </c>
      <c r="B10" s="7" t="s">
        <v>238</v>
      </c>
      <c r="C10" t="s">
        <v>178</v>
      </c>
      <c r="D10" s="70">
        <f>'001-C DMR'!$B$2</f>
        <v>43708</v>
      </c>
      <c r="F10" s="7" t="s">
        <v>190</v>
      </c>
      <c r="G10" s="33">
        <v>1</v>
      </c>
      <c r="H10">
        <v>0</v>
      </c>
      <c r="W10" s="43" t="str">
        <f>'001-C DMR'!CN49</f>
        <v>=</v>
      </c>
      <c r="X10" s="69">
        <f>'001-C DMR'!CO49</f>
        <v>238</v>
      </c>
      <c r="AE10">
        <f>'001-C DMR'!CQ56</f>
        <v>0</v>
      </c>
      <c r="AF10" s="299" t="str">
        <f>'001-C DMR'!CQ55</f>
        <v>01/07</v>
      </c>
      <c r="AG10" s="49" t="s">
        <v>202</v>
      </c>
      <c r="AH10" s="49"/>
      <c r="AI10" s="49"/>
    </row>
    <row r="11" spans="1:35" x14ac:dyDescent="0.25">
      <c r="A11" t="s">
        <v>177</v>
      </c>
      <c r="B11" s="7" t="s">
        <v>238</v>
      </c>
      <c r="C11" t="s">
        <v>178</v>
      </c>
      <c r="D11" s="70">
        <f>'001-C DMR'!$B$2</f>
        <v>43708</v>
      </c>
      <c r="F11" s="7" t="s">
        <v>191</v>
      </c>
      <c r="G11" s="33">
        <v>1</v>
      </c>
      <c r="H11">
        <v>0</v>
      </c>
      <c r="W11" s="43" t="str">
        <f>'001-C DMR'!CN49</f>
        <v>=</v>
      </c>
      <c r="X11" s="69">
        <f>'001-C DMR'!DA49</f>
        <v>60.6</v>
      </c>
      <c r="AE11">
        <f>'001-C DMR'!DQ56</f>
        <v>0</v>
      </c>
      <c r="AF11" s="299" t="str">
        <f>'001-C DMR'!DC55</f>
        <v>01/07</v>
      </c>
      <c r="AG11" s="49" t="s">
        <v>202</v>
      </c>
      <c r="AH11" s="49"/>
      <c r="AI11" s="49"/>
    </row>
    <row r="12" spans="1:35" x14ac:dyDescent="0.25">
      <c r="A12" t="s">
        <v>177</v>
      </c>
      <c r="B12" s="7" t="s">
        <v>238</v>
      </c>
      <c r="C12" t="s">
        <v>178</v>
      </c>
      <c r="D12" s="70">
        <f>'001-C DMR'!$B$2</f>
        <v>43708</v>
      </c>
      <c r="F12" s="7" t="s">
        <v>192</v>
      </c>
      <c r="G12" s="33">
        <v>1</v>
      </c>
      <c r="H12" s="33" t="str">
        <f>IF('001-C DMR'!B4=VALUE(6),"1","0")</f>
        <v>0</v>
      </c>
      <c r="I12" s="43"/>
      <c r="J12" s="43" t="str">
        <f>'001-C DMR'!$DO$49</f>
        <v>=</v>
      </c>
      <c r="K12" s="43">
        <f>'001-C DMR'!$DP$49</f>
        <v>0.13018409983509677</v>
      </c>
      <c r="S12" s="43"/>
      <c r="W12" s="43" t="str">
        <f>'001-C DMR'!DL49</f>
        <v>=</v>
      </c>
      <c r="X12" s="43">
        <f>'001-C DMR'!DM49</f>
        <v>0.126</v>
      </c>
      <c r="AA12" s="43" t="str">
        <f>'001-C DMR'!DL50</f>
        <v>=</v>
      </c>
      <c r="AB12" s="43">
        <f>'001-C DMR'!DM50</f>
        <v>0.15</v>
      </c>
      <c r="AE12">
        <f>'001-C DMR'!DQ56</f>
        <v>0</v>
      </c>
      <c r="AF12" s="299" t="str">
        <f>'001-C DMR'!DQ55</f>
        <v>01/07</v>
      </c>
      <c r="AG12" s="49" t="s">
        <v>202</v>
      </c>
      <c r="AH12" s="49"/>
      <c r="AI12" s="49"/>
    </row>
    <row r="13" spans="1:35" x14ac:dyDescent="0.25">
      <c r="A13" t="s">
        <v>177</v>
      </c>
      <c r="B13" s="7" t="s">
        <v>238</v>
      </c>
      <c r="C13" t="s">
        <v>178</v>
      </c>
      <c r="D13" s="70">
        <f>'001-C DMR'!$B$2</f>
        <v>43708</v>
      </c>
      <c r="F13" s="7" t="s">
        <v>193</v>
      </c>
      <c r="G13" s="33">
        <v>1</v>
      </c>
      <c r="H13">
        <v>0</v>
      </c>
      <c r="W13" s="43" t="str">
        <f>'001-C DMR'!EF50</f>
        <v>&lt;</v>
      </c>
      <c r="X13" s="69">
        <f>'001-C DMR'!EG50</f>
        <v>5.4</v>
      </c>
      <c r="AE13">
        <v>0</v>
      </c>
      <c r="AF13" s="301" t="str">
        <f>'001-C DMR'!EH55</f>
        <v>77/77</v>
      </c>
      <c r="AG13" s="49" t="s">
        <v>182</v>
      </c>
      <c r="AH13" s="49"/>
      <c r="AI13" s="49"/>
    </row>
    <row r="14" spans="1:35" x14ac:dyDescent="0.25">
      <c r="A14" t="s">
        <v>177</v>
      </c>
      <c r="B14" s="7" t="s">
        <v>238</v>
      </c>
      <c r="C14" t="s">
        <v>178</v>
      </c>
      <c r="D14" s="70">
        <f>'001-C DMR'!$B$2</f>
        <v>43708</v>
      </c>
      <c r="F14" s="7" t="s">
        <v>194</v>
      </c>
      <c r="G14" s="33">
        <v>1</v>
      </c>
      <c r="H14">
        <v>0</v>
      </c>
      <c r="J14" s="43" t="str">
        <f>'001-C DMR'!EJ49</f>
        <v>=</v>
      </c>
      <c r="K14" s="69">
        <f>'001-C DMR'!EK49</f>
        <v>123.88574838709677</v>
      </c>
      <c r="N14" s="43" t="str">
        <f>'001-C DMR'!EJ50</f>
        <v>=</v>
      </c>
      <c r="O14" s="69">
        <f>'001-C DMR'!EK50</f>
        <v>134.761</v>
      </c>
      <c r="AE14">
        <f>'001-C DMR'!EK56</f>
        <v>0</v>
      </c>
      <c r="AF14" s="301" t="str">
        <f>'001-C DMR'!EK55</f>
        <v>99/99</v>
      </c>
      <c r="AG14" s="49" t="s">
        <v>203</v>
      </c>
      <c r="AH14" s="49"/>
      <c r="AI14" s="49"/>
    </row>
    <row r="15" spans="1:35" x14ac:dyDescent="0.25">
      <c r="A15" t="s">
        <v>177</v>
      </c>
      <c r="B15" s="7" t="s">
        <v>238</v>
      </c>
      <c r="C15" t="s">
        <v>178</v>
      </c>
      <c r="D15" s="70">
        <f>'001-C DMR'!$B$2</f>
        <v>43708</v>
      </c>
      <c r="F15" s="7" t="s">
        <v>195</v>
      </c>
      <c r="G15" s="33">
        <v>1</v>
      </c>
      <c r="H15">
        <v>0</v>
      </c>
      <c r="AF15" s="301"/>
      <c r="AG15" s="49" t="s">
        <v>182</v>
      </c>
      <c r="AH15" s="49">
        <f>'001-C DMR'!EO57</f>
        <v>9</v>
      </c>
      <c r="AI15" s="49" t="s">
        <v>206</v>
      </c>
    </row>
    <row r="16" spans="1:35" x14ac:dyDescent="0.25">
      <c r="A16" t="s">
        <v>177</v>
      </c>
      <c r="B16" s="7" t="s">
        <v>238</v>
      </c>
      <c r="C16" t="s">
        <v>178</v>
      </c>
      <c r="D16" s="70">
        <f>'001-C DMR'!$B$2</f>
        <v>43708</v>
      </c>
      <c r="F16" s="7" t="s">
        <v>196</v>
      </c>
      <c r="G16" s="33">
        <v>1</v>
      </c>
      <c r="H16">
        <v>0</v>
      </c>
      <c r="W16" t="str">
        <f>'001-C DMR'!EP49</f>
        <v>=</v>
      </c>
      <c r="X16" s="68">
        <f>'001-C DMR'!EQ49</f>
        <v>106.14690721749665</v>
      </c>
      <c r="AA16" t="str">
        <f>'001-C DMR'!EQ52</f>
        <v>=</v>
      </c>
      <c r="AB16" s="69">
        <f>'001-C DMR'!ER52</f>
        <v>121.97290784101085</v>
      </c>
      <c r="AE16">
        <f>'001-C DMR'!ES56</f>
        <v>0</v>
      </c>
      <c r="AF16" s="48">
        <f>'001-C DMR'!ES55</f>
        <v>0</v>
      </c>
      <c r="AG16" s="49" t="s">
        <v>182</v>
      </c>
      <c r="AH16" s="49"/>
      <c r="AI16" s="49"/>
    </row>
    <row r="17" spans="1:35" x14ac:dyDescent="0.25">
      <c r="A17" t="s">
        <v>177</v>
      </c>
      <c r="B17" s="7" t="s">
        <v>238</v>
      </c>
      <c r="C17" t="s">
        <v>178</v>
      </c>
      <c r="D17" s="70">
        <f>'001-C DMR'!$B$2</f>
        <v>43708</v>
      </c>
      <c r="F17" s="7" t="s">
        <v>197</v>
      </c>
      <c r="G17" s="33">
        <v>1</v>
      </c>
      <c r="H17">
        <v>0</v>
      </c>
      <c r="W17" s="43" t="str">
        <f>'001-C DMR'!EU49</f>
        <v>&lt;</v>
      </c>
      <c r="X17" s="43">
        <f>'001-C DMR'!EV49</f>
        <v>2.76</v>
      </c>
      <c r="AA17" s="43" t="str">
        <f>'001-C DMR'!EU50</f>
        <v>&lt;</v>
      </c>
      <c r="AB17" s="43">
        <f>'001-C DMR'!EV50</f>
        <v>2.76</v>
      </c>
      <c r="AE17">
        <f>'001-C DMR'!EX56</f>
        <v>0</v>
      </c>
      <c r="AF17" s="299" t="str">
        <f>'001-C DMR'!EX55</f>
        <v>01/30</v>
      </c>
      <c r="AG17" s="49" t="s">
        <v>182</v>
      </c>
      <c r="AH17" s="49"/>
      <c r="AI17" s="49"/>
    </row>
    <row r="18" spans="1:35" x14ac:dyDescent="0.25">
      <c r="A18" t="s">
        <v>177</v>
      </c>
      <c r="B18" s="7" t="s">
        <v>238</v>
      </c>
      <c r="C18" t="s">
        <v>178</v>
      </c>
      <c r="D18" s="70">
        <f>'001-C DMR'!$B$2</f>
        <v>43708</v>
      </c>
      <c r="F18" s="7" t="s">
        <v>198</v>
      </c>
      <c r="G18" s="33">
        <v>1</v>
      </c>
      <c r="H18">
        <v>0</v>
      </c>
      <c r="W18" t="str">
        <f>'001-C DMR'!FK49</f>
        <v>=</v>
      </c>
      <c r="X18" s="68">
        <f>'001-C DMR'!FL49</f>
        <v>4.4323609356231533</v>
      </c>
      <c r="AA18" t="str">
        <f>'001-C DMR'!FL52</f>
        <v>=</v>
      </c>
      <c r="AB18" s="68">
        <f>'001-C DMR'!FM52</f>
        <v>5.1045547505777806</v>
      </c>
      <c r="AE18">
        <f>'001-C DMR'!FN56</f>
        <v>0</v>
      </c>
      <c r="AF18" s="299" t="str">
        <f>'001-C DMR'!FN55</f>
        <v>06/07</v>
      </c>
      <c r="AG18" s="49" t="s">
        <v>202</v>
      </c>
      <c r="AH18" s="49"/>
      <c r="AI18" s="49"/>
    </row>
    <row r="19" spans="1:35" x14ac:dyDescent="0.25">
      <c r="A19" t="s">
        <v>177</v>
      </c>
      <c r="B19" s="7" t="s">
        <v>238</v>
      </c>
      <c r="C19" t="s">
        <v>178</v>
      </c>
      <c r="D19" s="70">
        <f>'001-C DMR'!$B$2</f>
        <v>43708</v>
      </c>
      <c r="F19" s="7" t="s">
        <v>199</v>
      </c>
      <c r="G19" s="33" t="s">
        <v>201</v>
      </c>
      <c r="H19">
        <v>0</v>
      </c>
      <c r="S19" t="s">
        <v>180</v>
      </c>
      <c r="T19" s="68">
        <f>'001-C DMR'!FO49</f>
        <v>97.767681933028186</v>
      </c>
      <c r="AE19">
        <v>0</v>
      </c>
      <c r="AF19" s="299" t="str">
        <f>'001-C DMR'!FO55</f>
        <v>01/30</v>
      </c>
      <c r="AG19" s="49" t="s">
        <v>204</v>
      </c>
      <c r="AH19" s="49"/>
      <c r="AI19" s="49"/>
    </row>
    <row r="20" spans="1:35" x14ac:dyDescent="0.25">
      <c r="A20" t="s">
        <v>177</v>
      </c>
      <c r="B20" s="7" t="s">
        <v>238</v>
      </c>
      <c r="C20" t="s">
        <v>178</v>
      </c>
      <c r="D20" s="70">
        <f>'001-C DMR'!$B$2</f>
        <v>43708</v>
      </c>
      <c r="F20" s="7" t="s">
        <v>200</v>
      </c>
      <c r="G20" s="33" t="s">
        <v>201</v>
      </c>
      <c r="H20">
        <v>0</v>
      </c>
      <c r="S20" t="s">
        <v>180</v>
      </c>
      <c r="T20" s="68">
        <f>'001-C DMR'!FV49</f>
        <v>96.122609525152512</v>
      </c>
      <c r="AE20">
        <v>0</v>
      </c>
      <c r="AF20" s="299" t="str">
        <f>'001-C DMR'!FV55</f>
        <v>01/30</v>
      </c>
      <c r="AG20" s="49" t="s">
        <v>204</v>
      </c>
      <c r="AH20" s="49"/>
      <c r="AI20" s="49"/>
    </row>
    <row r="21" spans="1:35" x14ac:dyDescent="0.25">
      <c r="A21" t="s">
        <v>177</v>
      </c>
      <c r="B21" s="7" t="s">
        <v>238</v>
      </c>
      <c r="C21" t="s">
        <v>178</v>
      </c>
      <c r="D21" s="70">
        <f>'001-C DMR'!$B$2</f>
        <v>43708</v>
      </c>
      <c r="F21" s="7">
        <v>81020</v>
      </c>
      <c r="G21" s="33">
        <v>1</v>
      </c>
      <c r="H21">
        <v>0</v>
      </c>
      <c r="W21" s="43" t="str">
        <f>'001-C DMR'!GB49</f>
        <v>=</v>
      </c>
      <c r="X21" s="69">
        <f>'001-C DMR'!GC49</f>
        <v>117.46791619702178</v>
      </c>
      <c r="AE21">
        <f>'001-C DMR'!GD56</f>
        <v>0</v>
      </c>
      <c r="AF21" s="299" t="str">
        <f>'001-C DMR'!GD55</f>
        <v>01/07</v>
      </c>
      <c r="AG21" s="49" t="s">
        <v>202</v>
      </c>
      <c r="AH21" s="49"/>
      <c r="AI21" s="49"/>
    </row>
    <row r="22" spans="1:35" s="158" customFormat="1" x14ac:dyDescent="0.25">
      <c r="A22" s="158" t="s">
        <v>177</v>
      </c>
      <c r="B22" s="159" t="s">
        <v>238</v>
      </c>
      <c r="C22" s="158" t="s">
        <v>178</v>
      </c>
      <c r="D22" s="160">
        <f>'001-C DMR'!$B$2</f>
        <v>43708</v>
      </c>
      <c r="F22" s="159">
        <v>84066</v>
      </c>
      <c r="G22" s="192">
        <v>1</v>
      </c>
      <c r="H22" s="158">
        <v>0</v>
      </c>
      <c r="N22" s="158" t="str">
        <f>'001-C DMR'!GL50</f>
        <v>=</v>
      </c>
      <c r="O22" s="158" t="str">
        <f>'001-C DMR'!GM50</f>
        <v>0</v>
      </c>
      <c r="AE22" s="158">
        <f>'001-C DMR'!GN56</f>
        <v>0</v>
      </c>
      <c r="AF22" s="300" t="str">
        <f>'001-C DMR'!GN55</f>
        <v>07/WK</v>
      </c>
      <c r="AG22" s="161" t="s">
        <v>205</v>
      </c>
      <c r="AH22" s="161"/>
      <c r="AI22" s="16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FF0000"/>
    <pageSetUpPr fitToPage="1"/>
  </sheetPr>
  <dimension ref="A1:JV67"/>
  <sheetViews>
    <sheetView tabSelected="1" zoomScale="70" zoomScaleNormal="70" workbookViewId="0">
      <selection activeCell="U11" sqref="U11:AA11"/>
    </sheetView>
  </sheetViews>
  <sheetFormatPr defaultRowHeight="15" x14ac:dyDescent="0.25"/>
  <cols>
    <col min="1" max="1" width="15.28515625" style="1" bestFit="1" customWidth="1"/>
    <col min="2" max="3" width="13.85546875" style="1" customWidth="1"/>
    <col min="4" max="4" width="10.85546875" style="1" customWidth="1"/>
    <col min="5" max="5" width="10" style="1" customWidth="1"/>
    <col min="6" max="6" width="9.140625" style="1"/>
    <col min="7" max="8" width="9.140625" style="1" customWidth="1"/>
    <col min="9" max="9" width="11.140625" style="1" customWidth="1"/>
    <col min="10" max="10" width="8.28515625" style="1" customWidth="1"/>
    <col min="11" max="11" width="9.85546875" style="1" customWidth="1"/>
    <col min="12" max="16" width="11.140625" style="1" hidden="1" customWidth="1"/>
    <col min="17" max="17" width="0.140625" style="1" customWidth="1"/>
    <col min="18" max="18" width="9" style="1" customWidth="1"/>
    <col min="19" max="19" width="10" style="1" customWidth="1"/>
    <col min="20" max="21" width="9.140625" style="1" customWidth="1"/>
    <col min="22" max="22" width="22.5703125" style="1" bestFit="1" customWidth="1"/>
    <col min="23" max="25" width="9.140625" style="1" customWidth="1"/>
    <col min="26" max="26" width="10.5703125" style="1" customWidth="1"/>
    <col min="27" max="27" width="9.140625" style="1" customWidth="1"/>
    <col min="28" max="28" width="11" style="1" customWidth="1"/>
    <col min="29" max="36" width="9.140625" style="1" customWidth="1"/>
    <col min="37" max="42" width="11.85546875" style="1" hidden="1" customWidth="1"/>
    <col min="43" max="50" width="9.140625" style="1" customWidth="1"/>
    <col min="51" max="51" width="12.28515625" style="1" customWidth="1"/>
    <col min="52" max="52" width="9.140625" style="1" customWidth="1"/>
    <col min="53" max="58" width="9.140625" style="1" hidden="1" customWidth="1"/>
    <col min="59" max="68" width="9.140625" style="1" customWidth="1"/>
    <col min="69" max="74" width="9.140625" style="1" hidden="1" customWidth="1"/>
    <col min="75" max="75" width="10.85546875" style="1" customWidth="1"/>
    <col min="76" max="76" width="11.7109375" style="1" customWidth="1"/>
    <col min="77" max="84" width="9.140625" style="1" customWidth="1"/>
    <col min="85" max="90" width="9.140625" style="1" hidden="1" customWidth="1"/>
    <col min="91" max="95" width="9.140625" style="1" customWidth="1"/>
    <col min="96" max="102" width="9.140625" style="1" hidden="1" customWidth="1"/>
    <col min="103" max="107" width="9.140625" style="1" customWidth="1"/>
    <col min="108" max="114" width="9.140625" style="1" hidden="1" customWidth="1"/>
    <col min="115" max="119" width="9.140625" style="1" customWidth="1"/>
    <col min="120" max="120" width="13" style="1" customWidth="1"/>
    <col min="121" max="121" width="9.140625" style="1" customWidth="1"/>
    <col min="122" max="128" width="9.140625" style="1" hidden="1" customWidth="1"/>
    <col min="129" max="132" width="7.7109375" style="1" customWidth="1"/>
    <col min="133" max="137" width="7.5703125" style="1" customWidth="1"/>
    <col min="138" max="138" width="8.28515625" style="1" customWidth="1"/>
    <col min="139" max="139" width="14.42578125" style="1" customWidth="1"/>
    <col min="140" max="146" width="9.140625" style="1" customWidth="1"/>
    <col min="147" max="147" width="10" style="1" customWidth="1"/>
    <col min="148" max="148" width="9.7109375" style="1" customWidth="1"/>
    <col min="149" max="149" width="10" style="1" customWidth="1"/>
    <col min="150" max="152" width="9.140625" style="1"/>
    <col min="153" max="153" width="9.140625" style="1" customWidth="1"/>
    <col min="154" max="154" width="9.140625" style="1"/>
    <col min="155" max="161" width="9.140625" style="1" hidden="1" customWidth="1"/>
    <col min="162" max="162" width="9.140625" style="1"/>
    <col min="163" max="163" width="12" style="1" bestFit="1" customWidth="1"/>
    <col min="164" max="164" width="12" style="1" customWidth="1"/>
    <col min="165" max="165" width="8.85546875" style="1" customWidth="1"/>
    <col min="166" max="166" width="12" style="1" bestFit="1" customWidth="1"/>
    <col min="167" max="167" width="12" style="1" customWidth="1"/>
    <col min="168" max="170" width="9.140625" style="1"/>
    <col min="171" max="171" width="12.85546875" style="1" customWidth="1"/>
    <col min="172" max="177" width="12.85546875" style="1" hidden="1" customWidth="1"/>
    <col min="178" max="178" width="13.28515625" style="1" customWidth="1"/>
    <col min="179" max="184" width="9.140625" style="1"/>
    <col min="185" max="185" width="9.140625" style="1" customWidth="1"/>
    <col min="186" max="186" width="9.140625" style="1"/>
    <col min="187" max="192" width="9.140625" style="1" hidden="1" customWidth="1"/>
    <col min="193" max="16384" width="9.140625" style="1"/>
  </cols>
  <sheetData>
    <row r="1" spans="1:282" x14ac:dyDescent="0.25">
      <c r="A1" s="40" t="s">
        <v>130</v>
      </c>
      <c r="B1" s="252">
        <f>B3-WEEKDAY(B3-1)</f>
        <v>43674</v>
      </c>
    </row>
    <row r="2" spans="1:282" x14ac:dyDescent="0.25">
      <c r="A2" s="38" t="s">
        <v>131</v>
      </c>
      <c r="B2" s="253">
        <f>EOMONTH(B3,0)</f>
        <v>43708</v>
      </c>
    </row>
    <row r="3" spans="1:282" x14ac:dyDescent="0.25">
      <c r="A3" s="38" t="s">
        <v>132</v>
      </c>
      <c r="B3" s="254">
        <v>43678</v>
      </c>
    </row>
    <row r="4" spans="1:282" x14ac:dyDescent="0.25">
      <c r="A4" s="38" t="s">
        <v>132</v>
      </c>
      <c r="B4" s="250">
        <f>MONTH(B3)</f>
        <v>8</v>
      </c>
    </row>
    <row r="5" spans="1:282" ht="15.75" thickBot="1" x14ac:dyDescent="0.3">
      <c r="A5" s="39" t="s">
        <v>220</v>
      </c>
      <c r="B5" s="251">
        <f>DAY(EOMONTH(B3,0))</f>
        <v>31</v>
      </c>
    </row>
    <row r="6" spans="1:282" s="72" customFormat="1" ht="60" customHeight="1" thickBot="1" x14ac:dyDescent="0.3">
      <c r="A6" s="142" t="s">
        <v>278</v>
      </c>
      <c r="B6" s="143"/>
      <c r="C6" s="343" t="s">
        <v>1</v>
      </c>
      <c r="D6" s="344"/>
      <c r="E6" s="344"/>
      <c r="F6" s="344"/>
      <c r="G6" s="344"/>
      <c r="H6" s="344"/>
      <c r="I6" s="344"/>
      <c r="J6" s="344"/>
      <c r="K6" s="345"/>
      <c r="L6" s="385" t="s">
        <v>223</v>
      </c>
      <c r="M6" s="385"/>
      <c r="N6" s="385"/>
      <c r="O6" s="385"/>
      <c r="P6" s="385"/>
      <c r="Q6" s="385"/>
      <c r="R6" s="384" t="s">
        <v>2</v>
      </c>
      <c r="S6" s="385"/>
      <c r="T6" s="386"/>
      <c r="U6" s="385" t="s">
        <v>224</v>
      </c>
      <c r="V6" s="385"/>
      <c r="W6" s="385"/>
      <c r="X6" s="385"/>
      <c r="Y6" s="385"/>
      <c r="Z6" s="385"/>
      <c r="AA6" s="385"/>
      <c r="AB6" s="384" t="s">
        <v>9</v>
      </c>
      <c r="AC6" s="385"/>
      <c r="AD6" s="385"/>
      <c r="AE6" s="385"/>
      <c r="AF6" s="385"/>
      <c r="AG6" s="385"/>
      <c r="AH6" s="385"/>
      <c r="AI6" s="385"/>
      <c r="AJ6" s="386"/>
      <c r="AK6" s="343" t="s">
        <v>228</v>
      </c>
      <c r="AL6" s="344"/>
      <c r="AM6" s="344"/>
      <c r="AN6" s="344"/>
      <c r="AO6" s="344"/>
      <c r="AP6" s="345"/>
      <c r="AQ6" s="343" t="s">
        <v>5</v>
      </c>
      <c r="AR6" s="344"/>
      <c r="AS6" s="344"/>
      <c r="AT6" s="344"/>
      <c r="AU6" s="344"/>
      <c r="AV6" s="344"/>
      <c r="AW6" s="344"/>
      <c r="AX6" s="344"/>
      <c r="AY6" s="344"/>
      <c r="AZ6" s="345"/>
      <c r="BA6" s="343" t="s">
        <v>225</v>
      </c>
      <c r="BB6" s="344"/>
      <c r="BC6" s="344"/>
      <c r="BD6" s="344"/>
      <c r="BE6" s="344"/>
      <c r="BF6" s="345"/>
      <c r="BG6" s="385" t="s">
        <v>6</v>
      </c>
      <c r="BH6" s="385"/>
      <c r="BI6" s="385"/>
      <c r="BJ6" s="385"/>
      <c r="BK6" s="385"/>
      <c r="BL6" s="385"/>
      <c r="BM6" s="385"/>
      <c r="BN6" s="385"/>
      <c r="BO6" s="385"/>
      <c r="BP6" s="385"/>
      <c r="BQ6" s="343" t="s">
        <v>226</v>
      </c>
      <c r="BR6" s="344"/>
      <c r="BS6" s="344"/>
      <c r="BT6" s="344"/>
      <c r="BU6" s="344"/>
      <c r="BV6" s="345"/>
      <c r="BW6" s="73" t="s">
        <v>240</v>
      </c>
      <c r="BX6" s="73" t="s">
        <v>241</v>
      </c>
      <c r="BY6" s="343" t="s">
        <v>14</v>
      </c>
      <c r="BZ6" s="344"/>
      <c r="CA6" s="344"/>
      <c r="CB6" s="344"/>
      <c r="CC6" s="344"/>
      <c r="CD6" s="344"/>
      <c r="CE6" s="344"/>
      <c r="CF6" s="345"/>
      <c r="CG6" s="343" t="s">
        <v>233</v>
      </c>
      <c r="CH6" s="344"/>
      <c r="CI6" s="344"/>
      <c r="CJ6" s="344"/>
      <c r="CK6" s="344"/>
      <c r="CL6" s="344"/>
      <c r="CM6" s="343" t="s">
        <v>116</v>
      </c>
      <c r="CN6" s="344"/>
      <c r="CO6" s="344"/>
      <c r="CP6" s="344"/>
      <c r="CQ6" s="345"/>
      <c r="CR6" s="343" t="s">
        <v>231</v>
      </c>
      <c r="CS6" s="344"/>
      <c r="CT6" s="344"/>
      <c r="CU6" s="344"/>
      <c r="CV6" s="344"/>
      <c r="CW6" s="344"/>
      <c r="CX6" s="344"/>
      <c r="CY6" s="343" t="s">
        <v>114</v>
      </c>
      <c r="CZ6" s="344"/>
      <c r="DA6" s="344"/>
      <c r="DB6" s="344"/>
      <c r="DC6" s="345"/>
      <c r="DD6" s="343" t="s">
        <v>230</v>
      </c>
      <c r="DE6" s="344"/>
      <c r="DF6" s="344"/>
      <c r="DG6" s="344"/>
      <c r="DH6" s="344"/>
      <c r="DI6" s="344"/>
      <c r="DJ6" s="344"/>
      <c r="DK6" s="384" t="s">
        <v>13</v>
      </c>
      <c r="DL6" s="385"/>
      <c r="DM6" s="385"/>
      <c r="DN6" s="385"/>
      <c r="DO6" s="385"/>
      <c r="DP6" s="385"/>
      <c r="DQ6" s="386"/>
      <c r="DR6" s="343" t="s">
        <v>229</v>
      </c>
      <c r="DS6" s="344"/>
      <c r="DT6" s="344"/>
      <c r="DU6" s="344"/>
      <c r="DV6" s="344"/>
      <c r="DW6" s="344"/>
      <c r="DX6" s="345"/>
      <c r="DY6" s="381" t="s">
        <v>293</v>
      </c>
      <c r="DZ6" s="382"/>
      <c r="EA6" s="382"/>
      <c r="EB6" s="382"/>
      <c r="EC6" s="382"/>
      <c r="ED6" s="382"/>
      <c r="EE6" s="382"/>
      <c r="EF6" s="382"/>
      <c r="EG6" s="382"/>
      <c r="EH6" s="383"/>
      <c r="EI6" s="384" t="s">
        <v>239</v>
      </c>
      <c r="EJ6" s="385"/>
      <c r="EK6" s="386"/>
      <c r="EL6" s="384" t="s">
        <v>4</v>
      </c>
      <c r="EM6" s="385"/>
      <c r="EN6" s="385"/>
      <c r="EO6" s="386"/>
      <c r="EP6" s="384" t="s">
        <v>3</v>
      </c>
      <c r="EQ6" s="385"/>
      <c r="ER6" s="385"/>
      <c r="ES6" s="386"/>
      <c r="ET6" s="362" t="s">
        <v>104</v>
      </c>
      <c r="EU6" s="363"/>
      <c r="EV6" s="363"/>
      <c r="EW6" s="363"/>
      <c r="EX6" s="364"/>
      <c r="EY6" s="381" t="s">
        <v>234</v>
      </c>
      <c r="EZ6" s="382"/>
      <c r="FA6" s="382"/>
      <c r="FB6" s="382"/>
      <c r="FC6" s="382"/>
      <c r="FD6" s="382"/>
      <c r="FE6" s="383"/>
      <c r="FF6" s="385" t="s">
        <v>7</v>
      </c>
      <c r="FG6" s="385"/>
      <c r="FH6" s="385"/>
      <c r="FI6" s="385"/>
      <c r="FJ6" s="385"/>
      <c r="FK6" s="385"/>
      <c r="FL6" s="385"/>
      <c r="FM6" s="385"/>
      <c r="FN6" s="385"/>
      <c r="FO6" s="80" t="s">
        <v>8</v>
      </c>
      <c r="FP6" s="343" t="s">
        <v>227</v>
      </c>
      <c r="FQ6" s="344"/>
      <c r="FR6" s="344"/>
      <c r="FS6" s="344"/>
      <c r="FT6" s="344"/>
      <c r="FU6" s="345"/>
      <c r="FV6" s="52" t="s">
        <v>10</v>
      </c>
      <c r="FW6" s="343" t="s">
        <v>15</v>
      </c>
      <c r="FX6" s="344"/>
      <c r="FY6" s="344"/>
      <c r="FZ6" s="344"/>
      <c r="GA6" s="344"/>
      <c r="GB6" s="344"/>
      <c r="GC6" s="344"/>
      <c r="GD6" s="345"/>
      <c r="GE6" s="385" t="s">
        <v>232</v>
      </c>
      <c r="GF6" s="385"/>
      <c r="GG6" s="385"/>
      <c r="GH6" s="385"/>
      <c r="GI6" s="385"/>
      <c r="GJ6" s="385"/>
      <c r="GK6" s="343" t="s">
        <v>11</v>
      </c>
      <c r="GL6" s="344"/>
      <c r="GM6" s="344"/>
      <c r="GN6" s="345"/>
      <c r="GO6" s="71"/>
      <c r="GP6" s="71"/>
      <c r="GQ6" s="71"/>
      <c r="GR6" s="71"/>
    </row>
    <row r="7" spans="1:282" s="75" customFormat="1" ht="36.75" customHeight="1" thickBot="1" x14ac:dyDescent="0.3">
      <c r="A7" s="113"/>
      <c r="B7" s="111"/>
      <c r="C7" s="389"/>
      <c r="D7" s="390"/>
      <c r="E7" s="390"/>
      <c r="F7" s="390"/>
      <c r="G7" s="390"/>
      <c r="H7" s="390"/>
      <c r="I7" s="390"/>
      <c r="J7" s="390"/>
      <c r="K7" s="391"/>
      <c r="L7" s="379"/>
      <c r="M7" s="379"/>
      <c r="N7" s="379"/>
      <c r="O7" s="379"/>
      <c r="P7" s="379"/>
      <c r="Q7" s="379"/>
      <c r="R7" s="378" t="s">
        <v>183</v>
      </c>
      <c r="S7" s="379"/>
      <c r="T7" s="380"/>
      <c r="U7" s="379"/>
      <c r="V7" s="379"/>
      <c r="W7" s="379"/>
      <c r="X7" s="379"/>
      <c r="Y7" s="379"/>
      <c r="Z7" s="379"/>
      <c r="AA7" s="379"/>
      <c r="AB7" s="378" t="s">
        <v>184</v>
      </c>
      <c r="AC7" s="379"/>
      <c r="AD7" s="379"/>
      <c r="AE7" s="379"/>
      <c r="AF7" s="379"/>
      <c r="AG7" s="379"/>
      <c r="AH7" s="379"/>
      <c r="AI7" s="379"/>
      <c r="AJ7" s="380"/>
      <c r="AK7" s="378"/>
      <c r="AL7" s="379"/>
      <c r="AM7" s="379"/>
      <c r="AN7" s="379"/>
      <c r="AO7" s="379"/>
      <c r="AP7" s="380"/>
      <c r="AQ7" s="379" t="s">
        <v>185</v>
      </c>
      <c r="AR7" s="379"/>
      <c r="AS7" s="379"/>
      <c r="AT7" s="379"/>
      <c r="AU7" s="379"/>
      <c r="AV7" s="379"/>
      <c r="AW7" s="379"/>
      <c r="AX7" s="379"/>
      <c r="AY7" s="379"/>
      <c r="AZ7" s="379"/>
      <c r="BA7" s="378"/>
      <c r="BB7" s="379"/>
      <c r="BC7" s="379"/>
      <c r="BD7" s="379"/>
      <c r="BE7" s="379"/>
      <c r="BF7" s="380"/>
      <c r="BG7" s="378" t="s">
        <v>186</v>
      </c>
      <c r="BH7" s="379"/>
      <c r="BI7" s="379"/>
      <c r="BJ7" s="379"/>
      <c r="BK7" s="379"/>
      <c r="BL7" s="379"/>
      <c r="BM7" s="379"/>
      <c r="BN7" s="379"/>
      <c r="BO7" s="379"/>
      <c r="BP7" s="380"/>
      <c r="BQ7" s="378"/>
      <c r="BR7" s="379"/>
      <c r="BS7" s="379"/>
      <c r="BT7" s="379"/>
      <c r="BU7" s="379"/>
      <c r="BV7" s="380"/>
      <c r="BW7" s="79" t="s">
        <v>187</v>
      </c>
      <c r="BX7" s="79" t="s">
        <v>188</v>
      </c>
      <c r="BY7" s="378" t="s">
        <v>189</v>
      </c>
      <c r="BZ7" s="379"/>
      <c r="CA7" s="379"/>
      <c r="CB7" s="379"/>
      <c r="CC7" s="379"/>
      <c r="CD7" s="379"/>
      <c r="CE7" s="379"/>
      <c r="CF7" s="380"/>
      <c r="CG7" s="378"/>
      <c r="CH7" s="379"/>
      <c r="CI7" s="379"/>
      <c r="CJ7" s="379"/>
      <c r="CK7" s="379"/>
      <c r="CL7" s="379"/>
      <c r="CM7" s="378" t="s">
        <v>190</v>
      </c>
      <c r="CN7" s="379"/>
      <c r="CO7" s="379"/>
      <c r="CP7" s="379"/>
      <c r="CQ7" s="380"/>
      <c r="CR7" s="378"/>
      <c r="CS7" s="379"/>
      <c r="CT7" s="379"/>
      <c r="CU7" s="379"/>
      <c r="CV7" s="379"/>
      <c r="CW7" s="379"/>
      <c r="CX7" s="379"/>
      <c r="CY7" s="378" t="s">
        <v>191</v>
      </c>
      <c r="CZ7" s="379"/>
      <c r="DA7" s="379"/>
      <c r="DB7" s="379"/>
      <c r="DC7" s="380"/>
      <c r="DD7" s="378"/>
      <c r="DE7" s="379"/>
      <c r="DF7" s="379"/>
      <c r="DG7" s="379"/>
      <c r="DH7" s="379"/>
      <c r="DI7" s="379"/>
      <c r="DJ7" s="379"/>
      <c r="DK7" s="378" t="s">
        <v>192</v>
      </c>
      <c r="DL7" s="379"/>
      <c r="DM7" s="379"/>
      <c r="DN7" s="379"/>
      <c r="DO7" s="379"/>
      <c r="DP7" s="379"/>
      <c r="DQ7" s="380"/>
      <c r="DR7" s="378"/>
      <c r="DS7" s="379"/>
      <c r="DT7" s="379"/>
      <c r="DU7" s="379"/>
      <c r="DV7" s="379"/>
      <c r="DW7" s="379"/>
      <c r="DX7" s="380"/>
      <c r="DY7" s="359" t="s">
        <v>193</v>
      </c>
      <c r="DZ7" s="360"/>
      <c r="EA7" s="360"/>
      <c r="EB7" s="360"/>
      <c r="EC7" s="360"/>
      <c r="ED7" s="360"/>
      <c r="EE7" s="360"/>
      <c r="EF7" s="360"/>
      <c r="EG7" s="360"/>
      <c r="EH7" s="361"/>
      <c r="EI7" s="378">
        <v>50050</v>
      </c>
      <c r="EJ7" s="379"/>
      <c r="EK7" s="380"/>
      <c r="EL7" s="378" t="s">
        <v>195</v>
      </c>
      <c r="EM7" s="379"/>
      <c r="EN7" s="379"/>
      <c r="EO7" s="380"/>
      <c r="EP7" s="378" t="s">
        <v>196</v>
      </c>
      <c r="EQ7" s="379"/>
      <c r="ER7" s="379"/>
      <c r="ES7" s="380"/>
      <c r="ET7" s="359" t="s">
        <v>197</v>
      </c>
      <c r="EU7" s="360"/>
      <c r="EV7" s="360"/>
      <c r="EW7" s="360"/>
      <c r="EX7" s="361"/>
      <c r="EY7" s="359"/>
      <c r="EZ7" s="360"/>
      <c r="FA7" s="360"/>
      <c r="FB7" s="360"/>
      <c r="FC7" s="360"/>
      <c r="FD7" s="360"/>
      <c r="FE7" s="361"/>
      <c r="FF7" s="379" t="s">
        <v>198</v>
      </c>
      <c r="FG7" s="379"/>
      <c r="FH7" s="379"/>
      <c r="FI7" s="379"/>
      <c r="FJ7" s="379"/>
      <c r="FK7" s="379"/>
      <c r="FL7" s="379"/>
      <c r="FM7" s="379"/>
      <c r="FN7" s="379"/>
      <c r="FO7" s="79" t="s">
        <v>199</v>
      </c>
      <c r="FP7" s="378"/>
      <c r="FQ7" s="379"/>
      <c r="FR7" s="379"/>
      <c r="FS7" s="379"/>
      <c r="FT7" s="379"/>
      <c r="FU7" s="380"/>
      <c r="FV7" s="79" t="s">
        <v>200</v>
      </c>
      <c r="FW7" s="378" t="s">
        <v>242</v>
      </c>
      <c r="FX7" s="379"/>
      <c r="FY7" s="379"/>
      <c r="FZ7" s="379"/>
      <c r="GA7" s="379"/>
      <c r="GB7" s="379"/>
      <c r="GC7" s="379"/>
      <c r="GD7" s="380"/>
      <c r="GE7" s="379"/>
      <c r="GF7" s="379"/>
      <c r="GG7" s="379"/>
      <c r="GH7" s="379"/>
      <c r="GI7" s="379"/>
      <c r="GJ7" s="379"/>
      <c r="GK7" s="378" t="s">
        <v>243</v>
      </c>
      <c r="GL7" s="379"/>
      <c r="GM7" s="379"/>
      <c r="GN7" s="380"/>
      <c r="GO7" s="74"/>
      <c r="GP7" s="74"/>
      <c r="GQ7" s="74"/>
      <c r="GR7" s="74"/>
    </row>
    <row r="8" spans="1:282" s="4" customFormat="1" ht="15.75" thickBot="1" x14ac:dyDescent="0.3">
      <c r="A8" s="357" t="s">
        <v>271</v>
      </c>
      <c r="B8" s="373"/>
      <c r="C8" s="162">
        <v>3</v>
      </c>
      <c r="D8" s="163">
        <v>5</v>
      </c>
      <c r="E8" s="183"/>
      <c r="F8" s="163"/>
      <c r="G8" s="163"/>
      <c r="H8" s="163"/>
      <c r="I8" s="163"/>
      <c r="J8" s="163"/>
      <c r="K8" s="164"/>
      <c r="L8" s="60"/>
      <c r="M8" s="59"/>
      <c r="N8" s="59"/>
      <c r="O8" s="59"/>
      <c r="P8" s="59"/>
      <c r="Q8" s="81"/>
      <c r="R8" s="60">
        <v>6</v>
      </c>
      <c r="S8" s="59">
        <v>9</v>
      </c>
      <c r="T8" s="81"/>
      <c r="U8" s="60"/>
      <c r="V8" s="59"/>
      <c r="W8" s="59"/>
      <c r="X8" s="59"/>
      <c r="Y8" s="59"/>
      <c r="Z8" s="59"/>
      <c r="AA8" s="81"/>
      <c r="AB8" s="82">
        <v>30</v>
      </c>
      <c r="AC8" s="78">
        <v>45</v>
      </c>
      <c r="AE8" s="59"/>
      <c r="AF8" s="59"/>
      <c r="AG8" s="59"/>
      <c r="AH8" s="59"/>
      <c r="AI8" s="59"/>
      <c r="AJ8" s="81"/>
      <c r="AK8" s="92"/>
      <c r="AL8" s="86"/>
      <c r="AM8" s="86"/>
      <c r="AN8" s="86"/>
      <c r="AO8" s="86"/>
      <c r="AP8" s="87"/>
      <c r="AQ8" s="91">
        <f t="array" ref="AQ8">INDEX(Parameters!$A$23:$D$34,MATCH('001-C DMR'!$B$4,(Parameters!$A$23:$A$34),0),MATCH('001-C DMR'!$A$49:$B$49,Parameters!$A$22:$D$22,0))</f>
        <v>3.2</v>
      </c>
      <c r="AR8" s="89">
        <f t="array" ref="AR8">INDEX(Parameters!$A$23:$D$34,MATCH('001-C DMR'!$B$4,(Parameters!$A$23:$A$34),0),MATCH($A$50,Parameters!$A$22:$D$22,0))</f>
        <v>7.9</v>
      </c>
      <c r="AS8" s="59"/>
      <c r="AT8" s="207"/>
      <c r="AU8" s="59"/>
      <c r="AV8" s="59"/>
      <c r="AW8" s="59"/>
      <c r="AX8" s="207"/>
      <c r="AY8" s="59"/>
      <c r="AZ8" s="81"/>
      <c r="BA8" s="60"/>
      <c r="BB8" s="59"/>
      <c r="BC8" s="59"/>
      <c r="BD8" s="59"/>
      <c r="BE8" s="59"/>
      <c r="BF8" s="81"/>
      <c r="BG8" s="91">
        <f t="array" ref="BG8">INDEX(Parameters!$A$36:$D$47,MATCH('001-C DMR'!$B$4,(Parameters!$A$36:$A$47),0),MATCH('001-C DMR'!$A$50:$B$50,Parameters!$A$35:$D$35,0))</f>
        <v>10</v>
      </c>
      <c r="BH8" s="89"/>
      <c r="BI8" s="163"/>
      <c r="BJ8" s="207"/>
      <c r="BK8" s="163"/>
      <c r="BL8" s="163"/>
      <c r="BM8" s="163"/>
      <c r="BN8" s="207"/>
      <c r="BO8" s="163"/>
      <c r="BP8" s="164"/>
      <c r="BQ8" s="60"/>
      <c r="BR8" s="59"/>
      <c r="BS8" s="59"/>
      <c r="BT8" s="59"/>
      <c r="BU8" s="59"/>
      <c r="BV8" s="81"/>
      <c r="BW8" s="90"/>
      <c r="BX8" s="90"/>
      <c r="BY8" s="60" t="s">
        <v>209</v>
      </c>
      <c r="BZ8" s="59"/>
      <c r="CA8" s="59"/>
      <c r="CB8" s="59"/>
      <c r="CC8" s="59"/>
      <c r="CD8" s="59"/>
      <c r="CE8" s="59"/>
      <c r="CF8" s="81"/>
      <c r="CG8" s="60"/>
      <c r="CH8" s="59"/>
      <c r="CI8" s="59"/>
      <c r="CJ8" s="59"/>
      <c r="CK8" s="59"/>
      <c r="CL8" s="59"/>
      <c r="CM8" s="60" t="s">
        <v>209</v>
      </c>
      <c r="CN8" s="59"/>
      <c r="CO8" s="59"/>
      <c r="CP8" s="207"/>
      <c r="CQ8" s="81"/>
      <c r="CR8" s="244"/>
      <c r="CS8" s="245"/>
      <c r="CT8" s="245"/>
      <c r="CU8" s="245"/>
      <c r="CV8" s="245"/>
      <c r="CW8" s="245"/>
      <c r="CX8" s="246"/>
      <c r="CY8" s="60" t="s">
        <v>209</v>
      </c>
      <c r="CZ8" s="59"/>
      <c r="DA8" s="59"/>
      <c r="DB8" s="220"/>
      <c r="DC8" s="81"/>
      <c r="DD8" s="60"/>
      <c r="DE8" s="59"/>
      <c r="DF8" s="59"/>
      <c r="DG8" s="59"/>
      <c r="DH8" s="59"/>
      <c r="DI8" s="59"/>
      <c r="DJ8" s="59"/>
      <c r="DK8" s="60" t="s">
        <v>209</v>
      </c>
      <c r="DL8" s="59"/>
      <c r="DM8" s="59"/>
      <c r="DN8" s="207"/>
      <c r="DO8" s="59"/>
      <c r="DP8" s="187">
        <f t="array" ref="DP8">INDEX(Parameters!$A$49:$D$60,MATCH('001-C DMR'!$B$4,(Parameters!$A$49:$A$60),0),MATCH('001-C DMR'!$A$49:$B$49,Parameters!$A$48:$D$48,0))</f>
        <v>1.1200000000000001</v>
      </c>
      <c r="DQ8" s="81"/>
      <c r="DR8" s="60"/>
      <c r="DS8" s="59"/>
      <c r="DT8" s="59"/>
      <c r="DU8" s="59"/>
      <c r="DV8" s="59"/>
      <c r="DW8" s="59"/>
      <c r="DX8" s="81"/>
      <c r="DY8" s="206"/>
      <c r="DZ8" s="245"/>
      <c r="EA8" s="245"/>
      <c r="EB8" s="245"/>
      <c r="EC8" s="207"/>
      <c r="ED8" s="245"/>
      <c r="EE8" s="245"/>
      <c r="EF8" s="245"/>
      <c r="EG8" s="245"/>
      <c r="EH8" s="208"/>
      <c r="EI8" s="170" t="s">
        <v>73</v>
      </c>
      <c r="EJ8" s="171" t="s">
        <v>71</v>
      </c>
      <c r="EK8" s="147"/>
      <c r="EL8" s="60">
        <v>1.0999999999999999E-2</v>
      </c>
      <c r="EM8" s="59">
        <v>1.9E-2</v>
      </c>
      <c r="EN8" s="59" t="s">
        <v>89</v>
      </c>
      <c r="EO8" s="81"/>
      <c r="EP8" s="60">
        <v>126</v>
      </c>
      <c r="EQ8" s="59">
        <v>252</v>
      </c>
      <c r="ER8" s="59"/>
      <c r="ES8" s="81"/>
      <c r="ET8" s="60" t="s">
        <v>209</v>
      </c>
      <c r="EU8" s="59"/>
      <c r="EV8" s="59"/>
      <c r="EW8" s="59"/>
      <c r="EX8" s="81"/>
      <c r="EY8" s="60"/>
      <c r="EZ8" s="59"/>
      <c r="FA8" s="242"/>
      <c r="FB8" s="59"/>
      <c r="FC8" s="59"/>
      <c r="FD8" s="86"/>
      <c r="FE8" s="87"/>
      <c r="FF8" s="60">
        <v>17</v>
      </c>
      <c r="FG8" s="59">
        <v>25</v>
      </c>
      <c r="FH8" s="59"/>
      <c r="FI8" s="59"/>
      <c r="FJ8" s="59"/>
      <c r="FK8" s="59"/>
      <c r="FL8" s="59"/>
      <c r="FM8" s="59"/>
      <c r="FN8" s="81"/>
      <c r="FO8" s="84"/>
      <c r="FP8" s="3"/>
      <c r="FQ8" s="3"/>
      <c r="FR8" s="3"/>
      <c r="FS8" s="3"/>
      <c r="FT8" s="3"/>
      <c r="FU8" s="3"/>
      <c r="FV8" s="84"/>
      <c r="FW8" s="176" t="s">
        <v>209</v>
      </c>
      <c r="FX8" s="177"/>
      <c r="FY8" s="177"/>
      <c r="FZ8" s="177"/>
      <c r="GA8" s="177"/>
      <c r="GB8" s="177"/>
      <c r="GC8" s="177"/>
      <c r="GD8" s="178"/>
      <c r="GE8" s="60"/>
      <c r="GF8" s="59"/>
      <c r="GG8" s="59"/>
      <c r="GH8" s="59"/>
      <c r="GI8" s="59"/>
      <c r="GJ8" s="81"/>
      <c r="GK8" s="82"/>
      <c r="GL8" s="78"/>
      <c r="GM8" s="78"/>
      <c r="GN8" s="83"/>
      <c r="GO8" s="3"/>
      <c r="GP8" s="3"/>
      <c r="GQ8" s="3"/>
      <c r="GR8" s="3"/>
    </row>
    <row r="9" spans="1:282" s="4" customFormat="1" ht="15.75" thickBot="1" x14ac:dyDescent="0.3">
      <c r="A9" s="357" t="s">
        <v>285</v>
      </c>
      <c r="B9" s="373"/>
      <c r="C9" s="162" t="s">
        <v>269</v>
      </c>
      <c r="D9" s="163"/>
      <c r="E9" s="163"/>
      <c r="F9" s="163"/>
      <c r="G9" s="163"/>
      <c r="H9" s="163"/>
      <c r="I9" s="163"/>
      <c r="J9" s="163"/>
      <c r="K9" s="164"/>
      <c r="L9" s="82"/>
      <c r="M9" s="78"/>
      <c r="N9" s="78"/>
      <c r="O9" s="78"/>
      <c r="P9" s="78"/>
      <c r="Q9" s="88"/>
      <c r="R9" s="82" t="s">
        <v>269</v>
      </c>
      <c r="S9" s="78"/>
      <c r="T9" s="88"/>
      <c r="U9" s="82"/>
      <c r="V9" s="78"/>
      <c r="W9" s="78"/>
      <c r="X9" s="78"/>
      <c r="Y9" s="78"/>
      <c r="Z9" s="78"/>
      <c r="AA9" s="78"/>
      <c r="AB9" s="82">
        <v>5</v>
      </c>
      <c r="AC9" s="78" t="s">
        <v>89</v>
      </c>
      <c r="AD9" s="78"/>
      <c r="AE9" s="78"/>
      <c r="AF9" s="78"/>
      <c r="AG9" s="78"/>
      <c r="AH9" s="78"/>
      <c r="AI9" s="78"/>
      <c r="AJ9" s="88"/>
      <c r="AK9" s="76"/>
      <c r="AL9" s="77"/>
      <c r="AM9" s="77"/>
      <c r="AN9" s="77"/>
      <c r="AO9" s="77"/>
      <c r="AP9" s="83"/>
      <c r="AQ9" s="185">
        <v>0.2</v>
      </c>
      <c r="AR9" s="186" t="s">
        <v>89</v>
      </c>
      <c r="AS9" s="78"/>
      <c r="AT9" s="211"/>
      <c r="AU9" s="78"/>
      <c r="AV9" s="78"/>
      <c r="AW9" s="78"/>
      <c r="AX9" s="211"/>
      <c r="AY9" s="78"/>
      <c r="AZ9" s="88"/>
      <c r="BA9" s="82"/>
      <c r="BB9" s="78"/>
      <c r="BC9" s="78"/>
      <c r="BD9" s="78"/>
      <c r="BE9" s="78"/>
      <c r="BF9" s="88"/>
      <c r="BG9" s="54">
        <v>0.1</v>
      </c>
      <c r="BH9" s="54" t="s">
        <v>89</v>
      </c>
      <c r="BI9" s="174"/>
      <c r="BJ9" s="210"/>
      <c r="BK9" s="174"/>
      <c r="BL9" s="174"/>
      <c r="BM9" s="174"/>
      <c r="BN9" s="210"/>
      <c r="BO9" s="174"/>
      <c r="BP9" s="174"/>
      <c r="BQ9" s="82"/>
      <c r="BR9" s="78"/>
      <c r="BS9" s="78"/>
      <c r="BT9" s="78"/>
      <c r="BU9" s="78"/>
      <c r="BV9" s="88"/>
      <c r="BW9" s="182">
        <v>0.2</v>
      </c>
      <c r="BX9" s="97">
        <v>0.05</v>
      </c>
      <c r="BY9" s="82">
        <v>2</v>
      </c>
      <c r="BZ9" s="78" t="s">
        <v>89</v>
      </c>
      <c r="CA9" s="78"/>
      <c r="CB9" s="78"/>
      <c r="CC9" s="78"/>
      <c r="CD9" s="78"/>
      <c r="CE9" s="78"/>
      <c r="CF9" s="88"/>
      <c r="CG9" s="82"/>
      <c r="CH9" s="78"/>
      <c r="CI9" s="78"/>
      <c r="CJ9" s="78"/>
      <c r="CK9" s="78"/>
      <c r="CL9" s="78"/>
      <c r="CM9" s="82">
        <v>20</v>
      </c>
      <c r="CN9" s="78" t="s">
        <v>99</v>
      </c>
      <c r="CO9" s="78"/>
      <c r="CP9" s="211"/>
      <c r="CQ9" s="88"/>
      <c r="CR9" s="174"/>
      <c r="CS9" s="174"/>
      <c r="CT9" s="174"/>
      <c r="CU9" s="174"/>
      <c r="CV9" s="174"/>
      <c r="CW9" s="174"/>
      <c r="CX9" s="174"/>
      <c r="CY9" s="82">
        <v>20</v>
      </c>
      <c r="CZ9" s="78" t="s">
        <v>99</v>
      </c>
      <c r="DA9" s="78"/>
      <c r="DB9" s="222"/>
      <c r="DC9" s="88"/>
      <c r="DD9" s="82"/>
      <c r="DE9" s="78"/>
      <c r="DF9" s="78"/>
      <c r="DG9" s="78"/>
      <c r="DH9" s="78"/>
      <c r="DI9" s="78"/>
      <c r="DJ9" s="78"/>
      <c r="DK9" s="82">
        <v>0.5</v>
      </c>
      <c r="DL9" s="78" t="s">
        <v>99</v>
      </c>
      <c r="DM9" s="78"/>
      <c r="DN9" s="211"/>
      <c r="DO9" s="78"/>
      <c r="DP9" s="181"/>
      <c r="DQ9" s="88"/>
      <c r="DR9" s="82"/>
      <c r="DS9" s="78"/>
      <c r="DT9" s="78"/>
      <c r="DU9" s="78"/>
      <c r="DV9" s="78"/>
      <c r="DW9" s="78"/>
      <c r="DX9" s="88"/>
      <c r="DY9" s="174"/>
      <c r="DZ9" s="248"/>
      <c r="EA9" s="248"/>
      <c r="EB9" s="248"/>
      <c r="EC9" s="174"/>
      <c r="ED9" s="248"/>
      <c r="EE9" s="248"/>
      <c r="EF9" s="248"/>
      <c r="EG9" s="248"/>
      <c r="EH9" s="174"/>
      <c r="EI9" s="170"/>
      <c r="EJ9" s="171"/>
      <c r="EK9" s="164"/>
      <c r="EL9" s="188">
        <v>0.05</v>
      </c>
      <c r="EM9" s="189" t="s">
        <v>89</v>
      </c>
      <c r="EN9" s="163"/>
      <c r="EO9" s="164"/>
      <c r="EP9" s="82"/>
      <c r="EQ9" s="78"/>
      <c r="ER9" s="78"/>
      <c r="ES9" s="88"/>
      <c r="ET9" s="82">
        <v>10</v>
      </c>
      <c r="EU9" s="78" t="s">
        <v>99</v>
      </c>
      <c r="EV9" s="78"/>
      <c r="EW9" s="78"/>
      <c r="EX9" s="88"/>
      <c r="EY9" s="82"/>
      <c r="EZ9" s="78"/>
      <c r="FA9" s="243"/>
      <c r="FB9" s="78"/>
      <c r="FC9" s="78"/>
      <c r="FD9" s="77"/>
      <c r="FE9" s="83"/>
      <c r="FF9" s="162">
        <v>2</v>
      </c>
      <c r="FG9" s="163" t="s">
        <v>89</v>
      </c>
      <c r="FH9" s="163"/>
      <c r="FI9" s="163"/>
      <c r="FJ9" s="163"/>
      <c r="FK9" s="163"/>
      <c r="FL9" s="78"/>
      <c r="FM9" s="78"/>
      <c r="FN9" s="88"/>
      <c r="FO9" s="85"/>
      <c r="FP9" s="3"/>
      <c r="FQ9" s="3"/>
      <c r="FR9" s="3"/>
      <c r="FS9" s="3"/>
      <c r="FT9" s="3"/>
      <c r="FU9" s="3"/>
      <c r="FV9" s="85"/>
      <c r="FW9" s="174" t="s">
        <v>270</v>
      </c>
      <c r="FX9" s="174"/>
      <c r="FY9" s="174"/>
      <c r="FZ9" s="174"/>
      <c r="GA9" s="174"/>
      <c r="GB9" s="174"/>
      <c r="GC9" s="174"/>
      <c r="GD9" s="174"/>
      <c r="GE9" s="82"/>
      <c r="GF9" s="78"/>
      <c r="GG9" s="78"/>
      <c r="GH9" s="78"/>
      <c r="GI9" s="78"/>
      <c r="GJ9" s="88"/>
      <c r="GK9" s="82"/>
      <c r="GL9" s="78"/>
      <c r="GM9" s="78"/>
      <c r="GN9" s="83"/>
      <c r="GO9" s="3"/>
      <c r="GP9" s="3"/>
      <c r="GQ9" s="3"/>
      <c r="GR9" s="3"/>
    </row>
    <row r="10" spans="1:282" s="4" customFormat="1" ht="30.75" thickBot="1" x14ac:dyDescent="0.3">
      <c r="A10" s="374" t="s">
        <v>272</v>
      </c>
      <c r="B10" s="376"/>
      <c r="C10" s="387" t="s">
        <v>16</v>
      </c>
      <c r="D10" s="388"/>
      <c r="E10" s="388"/>
      <c r="F10" s="388" t="s">
        <v>17</v>
      </c>
      <c r="G10" s="388"/>
      <c r="H10" s="388"/>
      <c r="I10" s="314"/>
      <c r="J10" s="314"/>
      <c r="K10" s="315"/>
      <c r="L10" s="308">
        <v>6</v>
      </c>
      <c r="M10" s="309" t="s">
        <v>222</v>
      </c>
      <c r="N10" s="309" t="s">
        <v>29</v>
      </c>
      <c r="O10" s="309" t="s">
        <v>30</v>
      </c>
      <c r="P10" s="309" t="s">
        <v>235</v>
      </c>
      <c r="Q10" s="88" t="s">
        <v>236</v>
      </c>
      <c r="R10" s="365" t="s">
        <v>108</v>
      </c>
      <c r="S10" s="366"/>
      <c r="T10" s="377"/>
      <c r="U10" s="308" t="s">
        <v>222</v>
      </c>
      <c r="V10" s="309" t="s">
        <v>29</v>
      </c>
      <c r="W10" s="309" t="s">
        <v>30</v>
      </c>
      <c r="X10" s="309" t="s">
        <v>16</v>
      </c>
      <c r="Y10" s="309" t="s">
        <v>17</v>
      </c>
      <c r="Z10" s="309" t="s">
        <v>235</v>
      </c>
      <c r="AA10" s="309" t="s">
        <v>236</v>
      </c>
      <c r="AB10" s="365" t="s">
        <v>16</v>
      </c>
      <c r="AC10" s="366"/>
      <c r="AD10" s="377"/>
      <c r="AE10" s="365" t="s">
        <v>17</v>
      </c>
      <c r="AF10" s="366"/>
      <c r="AG10" s="377"/>
      <c r="AH10" s="309"/>
      <c r="AI10" s="309"/>
      <c r="AJ10" s="88"/>
      <c r="AK10" s="308" t="s">
        <v>222</v>
      </c>
      <c r="AL10" s="309" t="s">
        <v>29</v>
      </c>
      <c r="AM10" s="309" t="s">
        <v>30</v>
      </c>
      <c r="AN10" s="309">
        <v>6</v>
      </c>
      <c r="AO10" s="309" t="s">
        <v>235</v>
      </c>
      <c r="AP10" s="88" t="s">
        <v>236</v>
      </c>
      <c r="AQ10" s="365" t="s">
        <v>29</v>
      </c>
      <c r="AR10" s="366"/>
      <c r="AS10" s="366"/>
      <c r="AT10" s="312"/>
      <c r="AU10" s="366" t="s">
        <v>30</v>
      </c>
      <c r="AV10" s="366"/>
      <c r="AW10" s="366"/>
      <c r="AX10" s="312"/>
      <c r="AY10" s="309"/>
      <c r="AZ10" s="88"/>
      <c r="BA10" s="308" t="s">
        <v>222</v>
      </c>
      <c r="BB10" s="309" t="s">
        <v>16</v>
      </c>
      <c r="BC10" s="309" t="s">
        <v>17</v>
      </c>
      <c r="BD10" s="309">
        <v>6</v>
      </c>
      <c r="BE10" s="309" t="s">
        <v>235</v>
      </c>
      <c r="BF10" s="88" t="s">
        <v>236</v>
      </c>
      <c r="BG10" s="365" t="s">
        <v>29</v>
      </c>
      <c r="BH10" s="366"/>
      <c r="BI10" s="366"/>
      <c r="BJ10" s="312"/>
      <c r="BK10" s="366" t="s">
        <v>30</v>
      </c>
      <c r="BL10" s="366"/>
      <c r="BM10" s="366"/>
      <c r="BN10" s="312"/>
      <c r="BO10" s="309"/>
      <c r="BP10" s="88"/>
      <c r="BQ10" s="308" t="s">
        <v>222</v>
      </c>
      <c r="BR10" s="309" t="s">
        <v>16</v>
      </c>
      <c r="BS10" s="309" t="s">
        <v>17</v>
      </c>
      <c r="BT10" s="309">
        <v>6</v>
      </c>
      <c r="BU10" s="309" t="s">
        <v>235</v>
      </c>
      <c r="BV10" s="88" t="s">
        <v>236</v>
      </c>
      <c r="BW10" s="182"/>
      <c r="BX10" s="182"/>
      <c r="BY10" s="365" t="s">
        <v>16</v>
      </c>
      <c r="BZ10" s="366"/>
      <c r="CA10" s="366"/>
      <c r="CB10" s="366" t="s">
        <v>17</v>
      </c>
      <c r="CC10" s="366"/>
      <c r="CD10" s="366"/>
      <c r="CE10" s="309"/>
      <c r="CF10" s="88"/>
      <c r="CG10" s="308">
        <v>6</v>
      </c>
      <c r="CH10" s="309" t="s">
        <v>222</v>
      </c>
      <c r="CI10" s="309" t="s">
        <v>29</v>
      </c>
      <c r="CJ10" s="309" t="s">
        <v>30</v>
      </c>
      <c r="CK10" s="309" t="s">
        <v>235</v>
      </c>
      <c r="CL10" s="309" t="s">
        <v>236</v>
      </c>
      <c r="CM10" s="365">
        <v>6</v>
      </c>
      <c r="CN10" s="366"/>
      <c r="CO10" s="366"/>
      <c r="CP10" s="312"/>
      <c r="CQ10" s="88"/>
      <c r="CR10" s="308" t="s">
        <v>16</v>
      </c>
      <c r="CS10" s="309" t="s">
        <v>17</v>
      </c>
      <c r="CT10" s="309" t="s">
        <v>29</v>
      </c>
      <c r="CU10" s="309" t="s">
        <v>30</v>
      </c>
      <c r="CV10" s="309" t="s">
        <v>222</v>
      </c>
      <c r="CW10" s="309" t="s">
        <v>235</v>
      </c>
      <c r="CX10" s="309" t="s">
        <v>236</v>
      </c>
      <c r="CY10" s="365">
        <v>6</v>
      </c>
      <c r="CZ10" s="366"/>
      <c r="DA10" s="366"/>
      <c r="DB10" s="312"/>
      <c r="DC10" s="88"/>
      <c r="DD10" s="308" t="s">
        <v>16</v>
      </c>
      <c r="DE10" s="309" t="s">
        <v>17</v>
      </c>
      <c r="DF10" s="309" t="s">
        <v>29</v>
      </c>
      <c r="DG10" s="309" t="s">
        <v>30</v>
      </c>
      <c r="DH10" s="309" t="s">
        <v>222</v>
      </c>
      <c r="DI10" s="309" t="s">
        <v>235</v>
      </c>
      <c r="DJ10" s="309" t="s">
        <v>236</v>
      </c>
      <c r="DK10" s="365">
        <v>6</v>
      </c>
      <c r="DL10" s="366"/>
      <c r="DM10" s="366"/>
      <c r="DN10" s="366"/>
      <c r="DO10" s="366"/>
      <c r="DP10" s="366"/>
      <c r="DQ10" s="88"/>
      <c r="DR10" s="308" t="s">
        <v>16</v>
      </c>
      <c r="DS10" s="309" t="s">
        <v>17</v>
      </c>
      <c r="DT10" s="309" t="s">
        <v>29</v>
      </c>
      <c r="DU10" s="309" t="s">
        <v>30</v>
      </c>
      <c r="DV10" s="309" t="s">
        <v>222</v>
      </c>
      <c r="DW10" s="309" t="s">
        <v>235</v>
      </c>
      <c r="DX10" s="309" t="s">
        <v>236</v>
      </c>
      <c r="DY10" s="357" t="s">
        <v>235</v>
      </c>
      <c r="DZ10" s="358"/>
      <c r="EA10" s="358"/>
      <c r="EB10" s="311"/>
      <c r="EC10" s="358" t="s">
        <v>236</v>
      </c>
      <c r="ED10" s="358"/>
      <c r="EE10" s="358"/>
      <c r="EF10" s="311"/>
      <c r="EG10" s="311"/>
      <c r="EH10" s="313"/>
      <c r="EI10" s="320" t="s">
        <v>77</v>
      </c>
      <c r="EJ10" s="321" t="s">
        <v>79</v>
      </c>
      <c r="EK10" s="322"/>
      <c r="EL10" s="323"/>
      <c r="EM10" s="248"/>
      <c r="EN10" s="248"/>
      <c r="EO10" s="322"/>
      <c r="EP10" s="365" t="s">
        <v>215</v>
      </c>
      <c r="EQ10" s="366"/>
      <c r="ER10" s="366"/>
      <c r="ES10" s="88"/>
      <c r="ET10" s="365" t="s">
        <v>222</v>
      </c>
      <c r="EU10" s="366"/>
      <c r="EV10" s="366"/>
      <c r="EW10" s="312"/>
      <c r="EX10" s="88"/>
      <c r="EY10" s="308">
        <v>6</v>
      </c>
      <c r="EZ10" s="309" t="s">
        <v>16</v>
      </c>
      <c r="FA10" s="309" t="s">
        <v>17</v>
      </c>
      <c r="FB10" s="309" t="s">
        <v>29</v>
      </c>
      <c r="FC10" s="309" t="s">
        <v>30</v>
      </c>
      <c r="FD10" s="309" t="s">
        <v>235</v>
      </c>
      <c r="FE10" s="88" t="s">
        <v>236</v>
      </c>
      <c r="FF10" s="357" t="s">
        <v>16</v>
      </c>
      <c r="FG10" s="358"/>
      <c r="FH10" s="358"/>
      <c r="FI10" s="357" t="s">
        <v>17</v>
      </c>
      <c r="FJ10" s="358"/>
      <c r="FK10" s="373"/>
      <c r="FL10" s="309"/>
      <c r="FM10" s="309"/>
      <c r="FN10" s="88"/>
      <c r="FO10" s="182"/>
      <c r="FP10" s="308" t="s">
        <v>222</v>
      </c>
      <c r="FQ10" s="309" t="s">
        <v>29</v>
      </c>
      <c r="FR10" s="309" t="s">
        <v>30</v>
      </c>
      <c r="FS10" s="309">
        <v>6</v>
      </c>
      <c r="FT10" s="309" t="s">
        <v>235</v>
      </c>
      <c r="FU10" s="88" t="s">
        <v>236</v>
      </c>
      <c r="FV10" s="182"/>
      <c r="FW10" s="365" t="s">
        <v>16</v>
      </c>
      <c r="FX10" s="366"/>
      <c r="FY10" s="377"/>
      <c r="FZ10" s="365" t="s">
        <v>17</v>
      </c>
      <c r="GA10" s="366"/>
      <c r="GB10" s="377"/>
      <c r="GC10" s="309"/>
      <c r="GD10" s="309"/>
      <c r="GE10" s="308">
        <v>6</v>
      </c>
      <c r="GF10" s="309" t="s">
        <v>222</v>
      </c>
      <c r="GG10" s="309" t="s">
        <v>29</v>
      </c>
      <c r="GH10" s="309" t="s">
        <v>30</v>
      </c>
      <c r="GI10" s="309" t="s">
        <v>235</v>
      </c>
      <c r="GJ10" s="309" t="s">
        <v>236</v>
      </c>
      <c r="GK10" s="310" t="s">
        <v>16</v>
      </c>
      <c r="GL10" s="311" t="s">
        <v>17</v>
      </c>
      <c r="GM10" s="311" t="s">
        <v>32</v>
      </c>
      <c r="GN10" s="313" t="s">
        <v>27</v>
      </c>
      <c r="GO10" s="3"/>
      <c r="GP10" s="3"/>
      <c r="GQ10" s="3"/>
      <c r="GR10" s="3"/>
    </row>
    <row r="11" spans="1:282" s="101" customFormat="1" ht="45.75" thickBot="1" x14ac:dyDescent="0.3">
      <c r="A11" s="114" t="s">
        <v>18</v>
      </c>
      <c r="B11" s="112" t="s">
        <v>19</v>
      </c>
      <c r="C11" s="199" t="s">
        <v>253</v>
      </c>
      <c r="D11" s="198" t="s">
        <v>257</v>
      </c>
      <c r="E11" s="198" t="s">
        <v>126</v>
      </c>
      <c r="F11" s="198" t="s">
        <v>253</v>
      </c>
      <c r="G11" s="198" t="s">
        <v>124</v>
      </c>
      <c r="H11" s="198" t="s">
        <v>126</v>
      </c>
      <c r="I11" s="198" t="s">
        <v>25</v>
      </c>
      <c r="J11" s="198" t="s">
        <v>26</v>
      </c>
      <c r="K11" s="100" t="s">
        <v>27</v>
      </c>
      <c r="L11" s="338" t="s">
        <v>253</v>
      </c>
      <c r="M11" s="338"/>
      <c r="N11" s="338"/>
      <c r="O11" s="338"/>
      <c r="P11" s="338"/>
      <c r="Q11" s="339"/>
      <c r="R11" s="102" t="s">
        <v>23</v>
      </c>
      <c r="S11" s="99" t="s">
        <v>253</v>
      </c>
      <c r="T11" s="100" t="s">
        <v>27</v>
      </c>
      <c r="U11" s="342" t="s">
        <v>253</v>
      </c>
      <c r="V11" s="338"/>
      <c r="W11" s="338"/>
      <c r="X11" s="338"/>
      <c r="Y11" s="338"/>
      <c r="Z11" s="338"/>
      <c r="AA11" s="338"/>
      <c r="AB11" s="102" t="s">
        <v>262</v>
      </c>
      <c r="AC11" s="115" t="s">
        <v>281</v>
      </c>
      <c r="AD11" s="133" t="s">
        <v>253</v>
      </c>
      <c r="AE11" s="98" t="s">
        <v>23</v>
      </c>
      <c r="AF11" s="115" t="s">
        <v>281</v>
      </c>
      <c r="AG11" s="133" t="s">
        <v>253</v>
      </c>
      <c r="AH11" s="133" t="s">
        <v>25</v>
      </c>
      <c r="AI11" s="133" t="s">
        <v>26</v>
      </c>
      <c r="AJ11" s="100" t="s">
        <v>31</v>
      </c>
      <c r="AK11" s="338" t="s">
        <v>253</v>
      </c>
      <c r="AL11" s="338"/>
      <c r="AM11" s="338"/>
      <c r="AN11" s="338"/>
      <c r="AO11" s="338"/>
      <c r="AP11" s="339"/>
      <c r="AQ11" s="102" t="s">
        <v>262</v>
      </c>
      <c r="AR11" s="115" t="s">
        <v>281</v>
      </c>
      <c r="AS11" s="233" t="s">
        <v>253</v>
      </c>
      <c r="AT11" s="233" t="s">
        <v>275</v>
      </c>
      <c r="AU11" s="102" t="s">
        <v>262</v>
      </c>
      <c r="AV11" s="115" t="s">
        <v>281</v>
      </c>
      <c r="AW11" s="233" t="s">
        <v>253</v>
      </c>
      <c r="AX11" s="233" t="s">
        <v>275</v>
      </c>
      <c r="AY11" s="233" t="s">
        <v>25</v>
      </c>
      <c r="AZ11" s="100" t="s">
        <v>27</v>
      </c>
      <c r="BA11" s="340" t="s">
        <v>253</v>
      </c>
      <c r="BB11" s="341"/>
      <c r="BC11" s="341"/>
      <c r="BD11" s="341"/>
      <c r="BE11" s="341"/>
      <c r="BF11" s="341"/>
      <c r="BG11" s="102" t="s">
        <v>262</v>
      </c>
      <c r="BH11" s="115" t="s">
        <v>281</v>
      </c>
      <c r="BI11" s="221" t="s">
        <v>253</v>
      </c>
      <c r="BJ11" s="221" t="s">
        <v>275</v>
      </c>
      <c r="BK11" s="98" t="s">
        <v>262</v>
      </c>
      <c r="BL11" s="115" t="s">
        <v>281</v>
      </c>
      <c r="BM11" s="221" t="s">
        <v>253</v>
      </c>
      <c r="BN11" s="221" t="s">
        <v>275</v>
      </c>
      <c r="BO11" s="221" t="s">
        <v>25</v>
      </c>
      <c r="BP11" s="100" t="s">
        <v>27</v>
      </c>
      <c r="BQ11" s="375" t="s">
        <v>253</v>
      </c>
      <c r="BR11" s="375"/>
      <c r="BS11" s="375"/>
      <c r="BT11" s="375"/>
      <c r="BU11" s="375"/>
      <c r="BV11" s="376"/>
      <c r="BW11" s="104"/>
      <c r="BX11" s="104"/>
      <c r="BY11" s="102" t="s">
        <v>262</v>
      </c>
      <c r="BZ11" s="115" t="s">
        <v>281</v>
      </c>
      <c r="CA11" s="99" t="s">
        <v>253</v>
      </c>
      <c r="CB11" s="102" t="s">
        <v>262</v>
      </c>
      <c r="CC11" s="115" t="s">
        <v>281</v>
      </c>
      <c r="CD11" s="116" t="s">
        <v>253</v>
      </c>
      <c r="CE11" s="99" t="s">
        <v>25</v>
      </c>
      <c r="CF11" s="100" t="s">
        <v>27</v>
      </c>
      <c r="CG11" s="357" t="s">
        <v>253</v>
      </c>
      <c r="CH11" s="358"/>
      <c r="CI11" s="358"/>
      <c r="CJ11" s="358"/>
      <c r="CK11" s="358"/>
      <c r="CL11" s="373"/>
      <c r="CM11" s="102" t="s">
        <v>262</v>
      </c>
      <c r="CN11" s="115" t="s">
        <v>281</v>
      </c>
      <c r="CO11" s="99" t="s">
        <v>253</v>
      </c>
      <c r="CP11" s="209" t="s">
        <v>275</v>
      </c>
      <c r="CQ11" s="100" t="s">
        <v>27</v>
      </c>
      <c r="CR11" s="374" t="s">
        <v>253</v>
      </c>
      <c r="CS11" s="375"/>
      <c r="CT11" s="375"/>
      <c r="CU11" s="375"/>
      <c r="CV11" s="375"/>
      <c r="CW11" s="375"/>
      <c r="CX11" s="376"/>
      <c r="CY11" s="102" t="s">
        <v>262</v>
      </c>
      <c r="CZ11" s="115" t="s">
        <v>281</v>
      </c>
      <c r="DA11" s="99" t="s">
        <v>253</v>
      </c>
      <c r="DB11" s="221" t="s">
        <v>275</v>
      </c>
      <c r="DC11" s="100" t="s">
        <v>27</v>
      </c>
      <c r="DD11" s="103"/>
      <c r="DK11" s="102" t="s">
        <v>262</v>
      </c>
      <c r="DL11" s="115" t="s">
        <v>281</v>
      </c>
      <c r="DM11" s="99" t="s">
        <v>253</v>
      </c>
      <c r="DN11" s="209" t="s">
        <v>275</v>
      </c>
      <c r="DO11" s="98" t="s">
        <v>23</v>
      </c>
      <c r="DP11" s="99" t="s">
        <v>138</v>
      </c>
      <c r="DQ11" s="100" t="s">
        <v>27</v>
      </c>
      <c r="DR11" s="357" t="s">
        <v>253</v>
      </c>
      <c r="DS11" s="358"/>
      <c r="DT11" s="358"/>
      <c r="DU11" s="358"/>
      <c r="DV11" s="358"/>
      <c r="DW11" s="358"/>
      <c r="DX11" s="373"/>
      <c r="DY11" s="286" t="s">
        <v>262</v>
      </c>
      <c r="DZ11" s="287" t="s">
        <v>281</v>
      </c>
      <c r="EA11" s="288" t="s">
        <v>253</v>
      </c>
      <c r="EB11" s="288" t="s">
        <v>275</v>
      </c>
      <c r="EC11" s="286" t="s">
        <v>262</v>
      </c>
      <c r="ED11" s="287" t="s">
        <v>281</v>
      </c>
      <c r="EE11" s="288" t="s">
        <v>253</v>
      </c>
      <c r="EF11" s="288" t="s">
        <v>275</v>
      </c>
      <c r="EG11" s="247" t="s">
        <v>25</v>
      </c>
      <c r="EH11" s="289" t="s">
        <v>27</v>
      </c>
      <c r="EI11" s="165" t="s">
        <v>20</v>
      </c>
      <c r="EJ11" s="166" t="s">
        <v>21</v>
      </c>
      <c r="EK11" s="167" t="s">
        <v>22</v>
      </c>
      <c r="EL11" s="103" t="s">
        <v>20</v>
      </c>
      <c r="EM11" s="101" t="s">
        <v>21</v>
      </c>
      <c r="EN11" s="101" t="s">
        <v>28</v>
      </c>
      <c r="EO11" s="100" t="s">
        <v>27</v>
      </c>
      <c r="EP11" s="102" t="s">
        <v>23</v>
      </c>
      <c r="EQ11" s="59" t="s">
        <v>215</v>
      </c>
      <c r="ER11" s="99" t="s">
        <v>26</v>
      </c>
      <c r="ES11" s="100" t="s">
        <v>27</v>
      </c>
      <c r="ET11" s="102" t="s">
        <v>262</v>
      </c>
      <c r="EU11" s="115" t="s">
        <v>281</v>
      </c>
      <c r="EV11" s="99" t="s">
        <v>253</v>
      </c>
      <c r="EW11" s="99" t="s">
        <v>276</v>
      </c>
      <c r="EX11" s="100" t="s">
        <v>31</v>
      </c>
      <c r="EY11" s="365" t="s">
        <v>253</v>
      </c>
      <c r="EZ11" s="366"/>
      <c r="FA11" s="366"/>
      <c r="FB11" s="366"/>
      <c r="FC11" s="366"/>
      <c r="FD11" s="366"/>
      <c r="FE11" s="377"/>
      <c r="FF11" s="102" t="s">
        <v>262</v>
      </c>
      <c r="FG11" s="115" t="s">
        <v>281</v>
      </c>
      <c r="FH11" s="99" t="s">
        <v>253</v>
      </c>
      <c r="FI11" s="102" t="s">
        <v>262</v>
      </c>
      <c r="FJ11" s="115" t="s">
        <v>281</v>
      </c>
      <c r="FK11" s="99" t="s">
        <v>253</v>
      </c>
      <c r="FL11" s="99" t="s">
        <v>25</v>
      </c>
      <c r="FM11" s="99" t="s">
        <v>26</v>
      </c>
      <c r="FN11" s="100" t="s">
        <v>31</v>
      </c>
      <c r="FO11" s="104"/>
      <c r="FP11" s="357" t="s">
        <v>253</v>
      </c>
      <c r="FQ11" s="358"/>
      <c r="FR11" s="358"/>
      <c r="FS11" s="358"/>
      <c r="FT11" s="358"/>
      <c r="FU11" s="373"/>
      <c r="FV11" s="104"/>
      <c r="FW11" s="102" t="s">
        <v>262</v>
      </c>
      <c r="FX11" s="115" t="s">
        <v>281</v>
      </c>
      <c r="FY11" s="116" t="s">
        <v>253</v>
      </c>
      <c r="FZ11" s="102" t="s">
        <v>262</v>
      </c>
      <c r="GA11" s="115" t="s">
        <v>281</v>
      </c>
      <c r="GB11" s="116" t="s">
        <v>253</v>
      </c>
      <c r="GC11" s="99" t="s">
        <v>25</v>
      </c>
      <c r="GD11" s="101" t="s">
        <v>27</v>
      </c>
      <c r="GE11" s="365" t="s">
        <v>253</v>
      </c>
      <c r="GF11" s="366"/>
      <c r="GG11" s="366"/>
      <c r="GH11" s="366"/>
      <c r="GI11" s="366"/>
      <c r="GJ11" s="366"/>
      <c r="GK11" s="179" t="s">
        <v>253</v>
      </c>
      <c r="GL11" s="175" t="s">
        <v>253</v>
      </c>
      <c r="GM11" s="177"/>
      <c r="GN11" s="105"/>
      <c r="GO11" s="144"/>
      <c r="GP11" s="144"/>
      <c r="GQ11" s="144"/>
      <c r="GR11" s="144"/>
      <c r="GS11" s="144"/>
      <c r="GT11" s="144"/>
      <c r="GU11" s="144"/>
      <c r="GV11" s="144"/>
      <c r="GW11" s="144"/>
      <c r="GX11" s="144"/>
      <c r="GY11" s="144"/>
      <c r="GZ11" s="144"/>
      <c r="HA11" s="144"/>
      <c r="HB11" s="144"/>
      <c r="HC11" s="144"/>
      <c r="HD11" s="144"/>
      <c r="HE11" s="144"/>
      <c r="HF11" s="144"/>
      <c r="HG11" s="144"/>
      <c r="HH11" s="144"/>
      <c r="HI11" s="144"/>
      <c r="HJ11" s="144"/>
      <c r="HK11" s="144"/>
      <c r="HL11" s="144"/>
      <c r="HM11" s="144"/>
      <c r="HN11" s="144"/>
      <c r="HO11" s="144"/>
      <c r="HP11" s="144"/>
      <c r="HQ11" s="144"/>
      <c r="HR11" s="144"/>
      <c r="HS11" s="144"/>
      <c r="HT11" s="144"/>
      <c r="HU11" s="144"/>
      <c r="HV11" s="144"/>
      <c r="HW11" s="144"/>
      <c r="HX11" s="144"/>
      <c r="HY11" s="144"/>
      <c r="HZ11" s="144"/>
      <c r="IA11" s="144"/>
      <c r="IB11" s="144"/>
      <c r="IC11" s="144"/>
      <c r="ID11" s="144"/>
      <c r="IE11" s="144"/>
      <c r="IF11" s="144"/>
      <c r="IG11" s="144"/>
      <c r="IH11" s="144"/>
      <c r="II11" s="144"/>
      <c r="IJ11" s="144"/>
      <c r="IK11" s="144"/>
      <c r="IL11" s="144"/>
      <c r="IM11" s="144"/>
      <c r="IN11" s="144"/>
      <c r="IO11" s="144"/>
      <c r="IP11" s="144"/>
      <c r="IQ11" s="144"/>
      <c r="IR11" s="144"/>
      <c r="IS11" s="144"/>
      <c r="IT11" s="144"/>
      <c r="IU11" s="144"/>
      <c r="IV11" s="144"/>
      <c r="IW11" s="144"/>
      <c r="IX11" s="144"/>
      <c r="IY11" s="144"/>
      <c r="IZ11" s="144"/>
      <c r="JA11" s="144"/>
      <c r="JB11" s="144"/>
      <c r="JC11" s="144"/>
      <c r="JD11" s="144"/>
      <c r="JE11" s="144"/>
      <c r="JF11" s="144"/>
      <c r="JG11" s="144"/>
      <c r="JH11" s="144"/>
      <c r="JI11" s="144"/>
      <c r="JJ11" s="144"/>
      <c r="JK11" s="144"/>
      <c r="JL11" s="144"/>
      <c r="JM11" s="144"/>
      <c r="JN11" s="144"/>
      <c r="JO11" s="144"/>
      <c r="JP11" s="144"/>
      <c r="JQ11" s="144"/>
      <c r="JR11" s="144"/>
      <c r="JS11" s="144"/>
      <c r="JT11" s="144"/>
      <c r="JU11" s="144"/>
      <c r="JV11" s="144"/>
    </row>
    <row r="12" spans="1:282" s="51" customFormat="1" x14ac:dyDescent="0.25">
      <c r="A12" s="173" t="str">
        <f>TEXT(B12,"ddd")</f>
        <v>Sun</v>
      </c>
      <c r="B12" s="216">
        <f>B1</f>
        <v>43674</v>
      </c>
      <c r="C12" s="93">
        <f t="array" ref="C12">INDEX('DMR 001C NEW'!$A$3:$N$10020,MATCH(('001-C DMR'!$C$6:$K$6&amp;'001-C DMR'!$C$10:$E$10&amp;'001-C DMR'!$B12),('DMR 001C NEW'!$E$3:$E$7246&amp;'DMR 001C NEW'!$B$3:$B$7246&amp;'DMR 001C NEW'!$A$3:$A$7246),0),MATCH('001-C DMR'!$C$11,'DMR 001C NEW'!$A$2:$O$2,0))</f>
        <v>5.9</v>
      </c>
      <c r="D12" s="56" t="str">
        <f t="array" ref="D12">INDEX('DMR 001C NEW'!$A$3:$N$11771,MATCH(('001-C DMR'!$C$6:$K$6&amp;'001-C DMR'!$C$10:$E$10&amp;'001-C DMR'!$B12),('DMR 001C NEW'!$E$3:$E$9018&amp;'DMR 001C NEW'!$B$3:$B$9018&amp;'DMR 001C NEW'!$A$3:$A$9018),0),MATCH('001-C DMR'!$D$11,'DMR 001C NEW'!$A$2:$O$2,0))</f>
        <v>AE67427</v>
      </c>
      <c r="E12" s="56">
        <f t="array" ref="E12">INDEX('DMR 001C NEW'!$A$3:$N$9999,MATCH(('001-C DMR'!$E$11&amp;'001-C DMR'!$C$10:$E$10&amp;'001-C DMR'!$B12&amp;$D12),('DMR 001C NEW'!$E$3:$E$7246&amp;'DMR 001C NEW'!$B$3:$B$7246&amp;'DMR 001C NEW'!$A$3:$A$7246&amp;'DMR 001C NEW'!$M$3:$M$7188),0),MATCH($C$11,'DMR 001C NEW'!$A$2:$O$2,0))</f>
        <v>40.92</v>
      </c>
      <c r="F12" s="56">
        <f t="array" ref="F12">INDEX('DMR 001C NEW'!$A$3:$N$9999,MATCH('001-C DMR'!$C$6:$K$6&amp;'001-C DMR'!$F$10&amp;'001-C DMR'!$B12,('DMR 001C NEW'!$E$3:$E$7246&amp;'DMR 001C NEW'!$B$3:$B$7246&amp;'DMR 001C NEW'!$A$3:$A$7246),0),MATCH('001-C DMR'!$C$11,'DMR 001C NEW'!$A$2:$O$2,0))</f>
        <v>6.7</v>
      </c>
      <c r="G12" s="56" t="str">
        <f t="array" ref="G12">INDEX('DMR 001C NEW'!$A$3:$N$9999,MATCH(('001-C DMR'!$C$6:$K$6&amp;'001-C DMR'!$F$10&amp;'001-C DMR'!$B12),('DMR 001C NEW'!$E$3:$E$7246&amp;'DMR 001C NEW'!$B$3:$B$7246&amp;'DMR 001C NEW'!$A$3:$A$7246),0),MATCH('001-C DMR'!$D$11,'DMR 001C NEW'!$A$2:$O$2,0))</f>
        <v>AE67428</v>
      </c>
      <c r="H12" s="56">
        <f t="array" ref="H12">INDEX('DMR 001C NEW'!$A$3:$N$9999,MATCH(('001-C DMR'!$E$11&amp;'001-C DMR'!$F$10&amp;'001-C DMR'!$B12&amp;$G12),('DMR 001C NEW'!$E$3:$E$7246&amp;'DMR 001C NEW'!$B$3:$B$7246&amp;'DMR 001C NEW'!$A$3:$A$7246&amp;'DMR 001C NEW'!$M$3:$M$7188),0),MATCH($C$11,'DMR 001C NEW'!$A$2:$O$2,0))</f>
        <v>53.26</v>
      </c>
      <c r="I12" s="56">
        <f t="shared" ref="I12:I46" si="0">(($C12*$E12)+($F12*$H12))/($H12+$E12)</f>
        <v>6.3524102781906979</v>
      </c>
      <c r="J12" s="58" t="str">
        <f t="shared" ref="J12:J17" si="1">IF($A12="Sat",(AVERAGE(I12)),"")</f>
        <v/>
      </c>
      <c r="K12" s="64" t="str">
        <f>IF($A12="Sat",COUNT(I5:I12),"")</f>
        <v/>
      </c>
      <c r="L12" s="261" t="str">
        <f t="array" ref="L12">_xlfn.IFNA(INDEX('DMR 001C NEW'!$A$3:$N$3865,MATCH(('001-C DMR'!$C$6:$K$6&amp;'001-C DMR'!L$10&amp;'001-C DMR'!$B12),('DMR 001C NEW'!$E$3:$E$1112&amp;'DMR 001C NEW'!$B$3:$B$1112&amp;'DMR 001C NEW'!$A$3:$A$1112),0),MATCH('001-C DMR'!$C$11,'DMR 001C NEW'!$A$2:$O$2,0)),"")</f>
        <v/>
      </c>
      <c r="M12" s="261" t="str">
        <f t="array" ref="M12">_xlfn.IFNA(INDEX('DMR 001C NEW'!$A$3:$N$3865,MATCH(('001-C DMR'!$C$6:$K$6&amp;'001-C DMR'!M$10&amp;'001-C DMR'!$B12),('DMR 001C NEW'!$E$3:$E$1112&amp;'DMR 001C NEW'!$B$3:$B$1112&amp;'DMR 001C NEW'!$A$3:$A$1112),0),MATCH('001-C DMR'!$C$11,'DMR 001C NEW'!$A$2:$O$2,0)),"")</f>
        <v/>
      </c>
      <c r="N12" s="261" t="str">
        <f t="array" ref="N12">_xlfn.IFNA(INDEX('DMR 001C NEW'!$A$3:$N$3865,MATCH(('001-C DMR'!$C$6:$K$6&amp;'001-C DMR'!N$10&amp;'001-C DMR'!$B12),('DMR 001C NEW'!$E$3:$E$1112&amp;'DMR 001C NEW'!$B$3:$B$1112&amp;'DMR 001C NEW'!$A$3:$A$1112),0),MATCH('001-C DMR'!$C$11,'DMR 001C NEW'!$A$2:$O$2,0)),"")</f>
        <v/>
      </c>
      <c r="O12" s="261" t="str">
        <f t="array" ref="O12">_xlfn.IFNA(INDEX('DMR 001C NEW'!$A$3:$N$3865,MATCH(('001-C DMR'!$C$6:$K$6&amp;'001-C DMR'!O$10&amp;'001-C DMR'!$B12),('DMR 001C NEW'!$E$3:$E$1112&amp;'DMR 001C NEW'!$B$3:$B$1112&amp;'DMR 001C NEW'!$A$3:$A$1112),0),MATCH('001-C DMR'!$C$11,'DMR 001C NEW'!$A$2:$O$2,0)),"")</f>
        <v/>
      </c>
      <c r="P12" s="261" t="str">
        <f t="array" ref="P12">_xlfn.IFNA(INDEX('DMR 001C NEW'!$A$3:$N$3865,MATCH(('001-C DMR'!$C$6:$K$6&amp;'001-C DMR'!P$10&amp;'001-C DMR'!$B12),('DMR 001C NEW'!$E$3:$E$1112&amp;'DMR 001C NEW'!$B$3:$B$1112&amp;'DMR 001C NEW'!$A$3:$A$1112),0),MATCH('001-C DMR'!$C$11,'DMR 001C NEW'!$A$2:$O$2,0)),"")</f>
        <v/>
      </c>
      <c r="Q12" s="119" t="e">
        <f t="array" ref="Q12">INDEX('DMR 001C NEW'!$A$3:$N$3865,MATCH(('001-C DMR'!$C$6:$K$6&amp;'001-C DMR'!Q$10&amp;'001-C DMR'!$B12),('DMR 001C NEW'!$E$3:$E$1112&amp;'DMR 001C NEW'!$B$3:$B$1112&amp;'DMR 001C NEW'!$A$3:$A$1112),0),MATCH('001-C DMR'!$C$11,'DMR 001C NEW'!$A$2:$O$2,0))</f>
        <v>#N/A</v>
      </c>
      <c r="R12" s="61"/>
      <c r="S12" s="56">
        <f t="array" ref="S12">_xlfn.IFNA(INDEX('DMR 001C NEW'!$A$3:$N$11771,MATCH(('001-C DMR'!$R$6:$T$6&amp;'001-C DMR'!$R$10&amp;'001-C DMR'!$B12),('DMR 001C NEW'!$E$3:$E$9018&amp;'DMR 001C NEW'!$B$3:$B$9018&amp;'DMR 001C NEW'!$A$3:$A$9018),0),MATCH('001-C DMR'!$S$11,'DMR 001C NEW'!$A$2:$O$2,0)),"")</f>
        <v>7</v>
      </c>
      <c r="T12" s="55"/>
      <c r="U12" s="262" t="str">
        <f t="array" ref="U12">_xlfn.IFNA(INDEX('DMR 001C NEW'!$A$3:$O$591,MATCH('001-C DMR'!$R$6:$T$6&amp;'001-C DMR'!U$10&amp;'001-C DMR'!$B12,('DMR 001C NEW'!$E$3:$E$704&amp;'DMR 001C NEW'!$B$3:$B$704&amp;'DMR 001C NEW'!$A$3:$A$704),0),MATCH('001-C DMR'!$U$11,'DMR 001C NEW'!$A$2:$O$2,0)),"")</f>
        <v/>
      </c>
      <c r="V12" s="262" t="str">
        <f t="array" ref="V12">_xlfn.IFNA(INDEX('DMR 001C NEW'!$A$3:$O$591,MATCH('001-C DMR'!$R$6:$T$6&amp;'001-C DMR'!V$10&amp;'001-C DMR'!$B12,('DMR 001C NEW'!$E$3:$E$704&amp;'DMR 001C NEW'!$B$3:$B$704&amp;'DMR 001C NEW'!$A$3:$A$704),0),MATCH('001-C DMR'!$U$11,'DMR 001C NEW'!$A$2:$O$2,0)),"")</f>
        <v/>
      </c>
      <c r="W12" s="262" t="str">
        <f t="array" ref="W12">_xlfn.IFNA(INDEX('DMR 001C NEW'!$A$3:$O$591,MATCH('001-C DMR'!$R$6:$T$6&amp;'001-C DMR'!W$10&amp;'001-C DMR'!$B12,('DMR 001C NEW'!$E$3:$E$704&amp;'DMR 001C NEW'!$B$3:$B$704&amp;'DMR 001C NEW'!$A$3:$A$704),0),MATCH('001-C DMR'!$U$11,'DMR 001C NEW'!$A$2:$O$2,0)),"")</f>
        <v/>
      </c>
      <c r="X12" s="262" t="str">
        <f t="array" ref="X12">_xlfn.IFNA(INDEX('DMR 001C NEW'!$A$3:$O$591,MATCH('001-C DMR'!$R$6:$T$6&amp;'001-C DMR'!X$10&amp;'001-C DMR'!$B12,('DMR 001C NEW'!$E$3:$E$704&amp;'DMR 001C NEW'!$B$3:$B$704&amp;'DMR 001C NEW'!$A$3:$A$704),0),MATCH('001-C DMR'!$U$11,'DMR 001C NEW'!$A$2:$O$2,0)),"")</f>
        <v/>
      </c>
      <c r="Y12" s="262" t="str">
        <f t="array" ref="Y12">_xlfn.IFNA(INDEX('DMR 001C NEW'!$A$3:$O$591,MATCH('001-C DMR'!$R$6:$T$6&amp;'001-C DMR'!Y$10&amp;'001-C DMR'!$B12,('DMR 001C NEW'!$E$3:$E$704&amp;'DMR 001C NEW'!$B$3:$B$704&amp;'DMR 001C NEW'!$A$3:$A$704),0),MATCH('001-C DMR'!$U$11,'DMR 001C NEW'!$A$2:$O$2,0)),"")</f>
        <v/>
      </c>
      <c r="Z12" s="262" t="str">
        <f t="array" ref="Z12">_xlfn.IFNA(INDEX('DMR 001C NEW'!$A$3:$O$591,MATCH('001-C DMR'!$R$6:$T$6&amp;'001-C DMR'!Z$10&amp;'001-C DMR'!$B12,('DMR 001C NEW'!$E$3:$E$704&amp;'DMR 001C NEW'!$B$3:$B$704&amp;'DMR 001C NEW'!$A$3:$A$704),0),MATCH('001-C DMR'!$U$11,'DMR 001C NEW'!$A$2:$O$2,0)),"")</f>
        <v/>
      </c>
      <c r="AA12" s="262" t="str">
        <f t="array" ref="AA12">_xlfn.IFNA(INDEX('DMR 001C NEW'!$A$3:$O$591,MATCH('001-C DMR'!$R$6:$T$6&amp;'001-C DMR'!AA$10&amp;'001-C DMR'!$B12,('DMR 001C NEW'!$E$3:$E$704&amp;'DMR 001C NEW'!$B$3:$B$704&amp;'DMR 001C NEW'!$A$3:$A$704),0),MATCH('001-C DMR'!$U$11,'DMR 001C NEW'!$A$2:$O$2,0)),"")</f>
        <v/>
      </c>
      <c r="AB12" s="61" t="str">
        <f t="array" ref="AB12">IF(AD12&lt;AC12,"&lt;","")</f>
        <v/>
      </c>
      <c r="AC12" s="56">
        <f t="array" ref="AC12">_xlfn.IFNA(INDEX('DMR 001C NEW'!$A$3:$O$9999,MATCH(('001-C DMR'!$AB$6:$AJ$6&amp;'001-C DMR'!$AB$10:$AD$10&amp;'001-C DMR'!$B12),('DMR 001C NEW'!$E$3:$E$7246&amp;'DMR 001C NEW'!$B$3:$B$7246&amp;'DMR 001C NEW'!$A$3:$A$7246),0),MATCH('001-C DMR'!$AC$11,'DMR 001C NEW'!$A$2:$O$2,0)),"")</f>
        <v>3</v>
      </c>
      <c r="AD12" s="56">
        <f t="array" ref="AD12">_xlfn.IFNA(INDEX('DMR 001C NEW'!$A$3:$O$9999,MATCH(('001-C DMR'!$AB$6:$AJ$6&amp;'001-C DMR'!$AB$10:$AD$10&amp;'001-C DMR'!$B12),('DMR 001C NEW'!$E$3:$E$7246&amp;'DMR 001C NEW'!$B$3:$B$7246&amp;'DMR 001C NEW'!$A$3:$A$7246),0),MATCH('001-C DMR'!$AD$11,'DMR 001C NEW'!$A$2:$O$2,0)),"")</f>
        <v>9</v>
      </c>
      <c r="AE12" s="57" t="str">
        <f t="array" ref="AE12">IF(AG12&lt;AF12,"&lt;","")</f>
        <v/>
      </c>
      <c r="AF12" s="56">
        <f t="array" ref="AF12">_xlfn.IFNA(INDEX('DMR 001C NEW'!$A$3:$O$9999,MATCH(('001-C DMR'!$AB$6:$AJ$6&amp;'001-C DMR'!$AE$10&amp;'001-C DMR'!$B12),('DMR 001C NEW'!$E$3:$E$9018&amp;'DMR 001C NEW'!$B$3:$B$9018&amp;'DMR 001C NEW'!$A$3:$A$9018),0),MATCH('001-C DMR'!$AF$11,'DMR 001C NEW'!$A$2:$O$2,0)),"")</f>
        <v>3</v>
      </c>
      <c r="AG12" s="56">
        <f t="array" ref="AG12">_xlfn.IFNA(INDEX('DMR 001C NEW'!$A$3:$O$9999,MATCH(('001-C DMR'!$AB$6:$AJ$6&amp;'001-C DMR'!$AE$10&amp;'001-C DMR'!$B12),('DMR 001C NEW'!$E$3:$E$9018&amp;'DMR 001C NEW'!$B$3:$B$9018&amp;'DMR 001C NEW'!$A$3:$A$9018),0),MATCH('001-C DMR'!$AG$11,'DMR 001C NEW'!$A$2:$O$2,0)),"")</f>
        <v>10</v>
      </c>
      <c r="AH12" s="56">
        <f t="array" ref="AH12">IFERROR((($AD12*$EI12)+($AG12*$EJ12))/($EK12),"")</f>
        <v>9.5656024151495735</v>
      </c>
      <c r="AI12" s="56" t="str">
        <f t="shared" ref="AI12:AI17" si="2">IF($A12="Sat",(AVERAGE(AH12)),"")</f>
        <v/>
      </c>
      <c r="AJ12" s="64" t="str">
        <f>IF($A12="Sat",COUNT(AH5:AH12),"")</f>
        <v/>
      </c>
      <c r="AK12" s="262" t="str">
        <f t="array" ref="AK12">_xlfn.IFNA(INDEX('DMR 001C NEW'!$A$3:$O$999,MATCH(('001-C DMR'!$AB$6:$AJ$6&amp;'001-C DMR'!AK$10&amp;'001-C DMR'!$B12),('DMR 001C NEW'!$E$3:$E$1112&amp;'DMR 001C NEW'!$B$3:$B$1112&amp;'DMR 001C NEW'!$A$3:$A$1112),0),MATCH('001-C DMR'!$AD$11,'DMR 001C NEW'!$A$2:$O$2,0)),"")</f>
        <v/>
      </c>
      <c r="AL12" s="262" t="str">
        <f t="array" ref="AL12">_xlfn.IFNA(INDEX('DMR 001C NEW'!$A$3:$O$999,MATCH(('001-C DMR'!$AB$6:$AJ$6&amp;'001-C DMR'!AL$10&amp;'001-C DMR'!$B12),('DMR 001C NEW'!$E$3:$E$1112&amp;'DMR 001C NEW'!$B$3:$B$1112&amp;'DMR 001C NEW'!$A$3:$A$1112),0),MATCH('001-C DMR'!$AD$11,'DMR 001C NEW'!$A$2:$O$2,0)),"")</f>
        <v/>
      </c>
      <c r="AM12" s="262" t="str">
        <f t="array" ref="AM12">_xlfn.IFNA(INDEX('DMR 001C NEW'!$A$3:$O$999,MATCH(('001-C DMR'!$AB$6:$AJ$6&amp;'001-C DMR'!AM$10&amp;'001-C DMR'!$B12),('DMR 001C NEW'!$E$3:$E$1112&amp;'DMR 001C NEW'!$B$3:$B$1112&amp;'DMR 001C NEW'!$A$3:$A$1112),0),MATCH('001-C DMR'!$AD$11,'DMR 001C NEW'!$A$2:$O$2,0)),"")</f>
        <v/>
      </c>
      <c r="AN12" s="262" t="str">
        <f t="array" ref="AN12">_xlfn.IFNA(INDEX('DMR 001C NEW'!$A$3:$O$999,MATCH(('001-C DMR'!$AB$6:$AJ$6&amp;'001-C DMR'!AN$10&amp;'001-C DMR'!$B12),('DMR 001C NEW'!$E$3:$E$1112&amp;'DMR 001C NEW'!$B$3:$B$1112&amp;'DMR 001C NEW'!$A$3:$A$1112),0),MATCH('001-C DMR'!$AD$11,'DMR 001C NEW'!$A$2:$O$2,0)),"")</f>
        <v/>
      </c>
      <c r="AO12" s="262" t="str">
        <f t="array" ref="AO12">_xlfn.IFNA(INDEX('DMR 001C NEW'!$A$3:$O$999,MATCH(('001-C DMR'!$AB$6:$AJ$6&amp;'001-C DMR'!AO$10&amp;'001-C DMR'!$B12),('DMR 001C NEW'!$E$3:$E$1112&amp;'DMR 001C NEW'!$B$3:$B$1112&amp;'DMR 001C NEW'!$A$3:$A$1112),0),MATCH('001-C DMR'!$AD$11,'DMR 001C NEW'!$A$2:$O$2,0)),"")</f>
        <v/>
      </c>
      <c r="AP12" s="262" t="str">
        <f t="array" ref="AP12">_xlfn.IFNA(INDEX('DMR 001C NEW'!$A$3:$O$999,MATCH(('001-C DMR'!$AB$6:$AJ$6&amp;'001-C DMR'!AP$10&amp;'001-C DMR'!$B12),('DMR 001C NEW'!$E$3:$E$1112&amp;'DMR 001C NEW'!$B$3:$B$1112&amp;'DMR 001C NEW'!$A$3:$A$1112),0),MATCH('001-C DMR'!$AD$11,'DMR 001C NEW'!$A$2:$O$2,0)),"")</f>
        <v/>
      </c>
      <c r="AQ12" s="122" t="str">
        <f t="array" ref="AQ12">IF(AS12&lt;AR12,"&lt;","")</f>
        <v/>
      </c>
      <c r="AR12" s="58">
        <f t="array" ref="AR12">_xlfn.IFNA((INDEX('DMR 001C NEW'!$A$3:$O$9999,MATCH(('001-C DMR'!$AQ$6:$AZ$6&amp;'001-C DMR'!$AQ$10:$AS$10&amp;'001-C DMR'!$B12),('DMR 001C NEW'!$E$3:$E$7246&amp;'DMR 001C NEW'!$B$3:$B$7246&amp;'DMR 001C NEW'!$A$3:$A$7246),0),MATCH('001-C DMR'!$AR$11,'DMR 001C NEW'!$A$2:$O$2,0))),"")</f>
        <v>0.15</v>
      </c>
      <c r="AS12" s="123">
        <f t="array" ref="AS12">_xlfn.IFNA(INDEX('DMR 001C NEW'!$A$3:$O$9999,MATCH(('001-C DMR'!$AQ$6:$AZ$6&amp;'001-C DMR'!$AQ$10:$AS$10&amp;'001-C DMR'!$B12),('DMR 001C NEW'!$E$3:$E$7246&amp;'DMR 001C NEW'!$B$3:$B$7246&amp;'DMR 001C NEW'!$A$3:$A$7246),0),MATCH('001-C DMR'!$AS$11,'DMR 001C NEW'!$A$2:$O$2,0)),"")</f>
        <v>0.94</v>
      </c>
      <c r="AT12" s="123">
        <f>IF(AS12&lt;AR12,0,AS12)</f>
        <v>0.94</v>
      </c>
      <c r="AU12" s="124" t="str">
        <f t="array" ref="AU12">IF(AW12&lt;AV12,"&lt;","")</f>
        <v>&lt;</v>
      </c>
      <c r="AV12" s="58">
        <f t="array" ref="AV12">_xlfn.IFNA((INDEX('DMR 001C NEW'!$A$3:$O$9999,MATCH(('001-C DMR'!$AQ$6:$AZ$6&amp;'001-C DMR'!$AU$10&amp;'001-C DMR'!$B12),('DMR 001C NEW'!$E$3:$E$7246&amp;'DMR 001C NEW'!$B$3:$B$7246&amp;'DMR 001C NEW'!$A$3:$A$7246),0),MATCH('001-C DMR'!$AR$11,'DMR 001C NEW'!$A$2:$O$2,0))),"")</f>
        <v>0.15</v>
      </c>
      <c r="AW12" s="123">
        <f t="array" ref="AW12">_xlfn.IFNA(INDEX('DMR 001C NEW'!$A$3:$O$9999,MATCH(('001-C DMR'!$AQ$6:$AZ$6&amp;'001-C DMR'!$AU$10&amp;'001-C DMR'!$B12),('DMR 001C NEW'!$E$3:$E$7246&amp;'DMR 001C NEW'!$B$3:$B$7246&amp;'DMR 001C NEW'!$A$3:$A$7246),0),MATCH('001-C DMR'!$AW$11,'DMR 001C NEW'!$A$2:$O$2,0)),"")</f>
        <v>0.13</v>
      </c>
      <c r="AX12" s="123">
        <f>IF(AW12&lt;AV12,0,AW12)</f>
        <v>0</v>
      </c>
      <c r="AY12" s="118">
        <f t="array" ref="AY12">IFERROR((($AT12*$EI12)+($AX12*$EJ12))/($EK12),"")</f>
        <v>0.4083337297593998</v>
      </c>
      <c r="AZ12" s="125" t="str">
        <f>IF($A12="Sat",COUNT(AW5:AW12),"")</f>
        <v/>
      </c>
      <c r="BA12" s="276" t="str">
        <f t="array" ref="BA12">_xlfn.IFNA(INDEX('DMR 001C NEW'!$A$3:$O$9999,MATCH(('001-C DMR'!$AQ$6:$AZ$6&amp;'001-C DMR'!BA$10&amp;'001-C DMR'!$B12),('DMR 001C NEW'!$E$3:$E$1112&amp;'DMR 001C NEW'!$B$3:$B$1112&amp;'DMR 001C NEW'!$A$3:$A$1112),0),MATCH('001-C DMR'!$BA$11,'DMR 001C NEW'!$A$2:$O$2,0)),"")</f>
        <v/>
      </c>
      <c r="BB12" s="277" t="str">
        <f t="array" ref="BB12">_xlfn.IFNA(INDEX('DMR 001C NEW'!$A$3:$O$9999,MATCH(('001-C DMR'!$AQ$6:$AZ$6&amp;'001-C DMR'!BB$10&amp;'001-C DMR'!$B12),('DMR 001C NEW'!$E$3:$E$1112&amp;'DMR 001C NEW'!$B$3:$B$1112&amp;'DMR 001C NEW'!$A$3:$A$1112),0),MATCH('001-C DMR'!$BA$11,'DMR 001C NEW'!$A$2:$O$2,0)),"")</f>
        <v/>
      </c>
      <c r="BC12" s="277" t="str">
        <f t="array" ref="BC12">_xlfn.IFNA(INDEX('DMR 001C NEW'!$A$3:$O$9999,MATCH(('001-C DMR'!$AQ$6:$AZ$6&amp;'001-C DMR'!BC$10&amp;'001-C DMR'!$B12),('DMR 001C NEW'!$E$3:$E$1112&amp;'DMR 001C NEW'!$B$3:$B$1112&amp;'DMR 001C NEW'!$A$3:$A$1112),0),MATCH('001-C DMR'!$BA$11,'DMR 001C NEW'!$A$2:$O$2,0)),"")</f>
        <v/>
      </c>
      <c r="BD12" s="277" t="str">
        <f t="array" ref="BD12">_xlfn.IFNA(INDEX('DMR 001C NEW'!$A$3:$O$9999,MATCH(('001-C DMR'!$AQ$6:$AZ$6&amp;'001-C DMR'!BD$10&amp;'001-C DMR'!$B12),('DMR 001C NEW'!$E$3:$E$1112&amp;'DMR 001C NEW'!$B$3:$B$1112&amp;'DMR 001C NEW'!$A$3:$A$1112),0),MATCH('001-C DMR'!$BA$11,'DMR 001C NEW'!$A$2:$O$2,0)),"")</f>
        <v/>
      </c>
      <c r="BE12" s="277" t="str">
        <f t="array" ref="BE12">_xlfn.IFNA(INDEX('DMR 001C NEW'!$A$3:$O$9999,MATCH(('001-C DMR'!$AQ$6:$AZ$6&amp;'001-C DMR'!BE$10&amp;'001-C DMR'!$B12),('DMR 001C NEW'!$E$3:$E$1112&amp;'DMR 001C NEW'!$B$3:$B$1112&amp;'DMR 001C NEW'!$A$3:$A$1112),0),MATCH('001-C DMR'!$BA$11,'DMR 001C NEW'!$A$2:$O$2,0)),"")</f>
        <v/>
      </c>
      <c r="BF12" s="278" t="str">
        <f t="array" ref="BF12">_xlfn.IFNA(INDEX('DMR 001C NEW'!$A$3:$O$9999,MATCH(('001-C DMR'!$AQ$6:$AZ$6&amp;'001-C DMR'!BF$10&amp;'001-C DMR'!$B12),('DMR 001C NEW'!$E$3:$E$1112&amp;'DMR 001C NEW'!$B$3:$B$1112&amp;'DMR 001C NEW'!$A$3:$A$1112),0),MATCH('001-C DMR'!$BA$11,'DMR 001C NEW'!$A$2:$O$2,0)),"")</f>
        <v/>
      </c>
      <c r="BG12" s="57" t="str">
        <f>IF(BI12&lt;BH12,"&lt;","")</f>
        <v/>
      </c>
      <c r="BH12" s="58">
        <f t="array" ref="BH12">_xlfn.IFNA((INDEX('DMR 001C NEW'!$A$3:$O$9999,MATCH(('001-C DMR'!$BG$6&amp;'001-C DMR'!$BG$10&amp;'001-C DMR'!$B12),('DMR 001C NEW'!$E$3:$E$7246&amp;'DMR 001C NEW'!$B$3:$B$7246&amp;'DMR 001C NEW'!$A$3:$A$7246),0),MATCH('001-C DMR'!$BH$11,'DMR 001C NEW'!$A$2:$O$2,0))),"")</f>
        <v>0.06</v>
      </c>
      <c r="BI12" s="58">
        <f t="array" ref="BI12">_xlfn.IFNA(INDEX('DMR 001C NEW'!$A$3:$O$9999,MATCH(('001-C DMR'!$BG$6&amp;'001-C DMR'!$BG$10&amp;'001-C DMR'!$B12),('DMR 001C NEW'!$E$3:$E$7246&amp;'DMR 001C NEW'!$B$3:$B$7246&amp;'DMR 001C NEW'!$A$3:$A$7246),0),MATCH('001-C DMR'!$BI$11,'DMR 001C NEW'!$A$2:$O$2,0)),"")</f>
        <v>4.28</v>
      </c>
      <c r="BJ12" s="58">
        <f>IF(BI12&lt;BH12,0,BI12)</f>
        <v>4.28</v>
      </c>
      <c r="BK12" s="57" t="str">
        <f>IF(BM12&lt;BL12,"&lt;","")</f>
        <v/>
      </c>
      <c r="BL12" s="58">
        <f t="array" ref="BL12">_xlfn.IFNA((INDEX('DMR 001C NEW'!$A$3:$O$9999,MATCH(('001-C DMR'!$BG$6&amp;'001-C DMR'!$BK$10&amp;'001-C DMR'!$B12),('DMR 001C NEW'!$E$3:$E$7246&amp;'DMR 001C NEW'!$B$3:$B$7246&amp;'DMR 001C NEW'!$A$3:$A$7246),0),MATCH('001-C DMR'!$BH$11,'DMR 001C NEW'!$A$2:$O$2,0))),"")</f>
        <v>0.06</v>
      </c>
      <c r="BM12" s="58">
        <f t="array" ref="BM12">_xlfn.IFNA(INDEX('DMR 001C NEW'!$A$3:$O$9999,MATCH(('001-C DMR'!$BG$6&amp;'001-C DMR'!$BK$10&amp;'001-C DMR'!$B12),('DMR 001C NEW'!$E$3:$E$7246&amp;'DMR 001C NEW'!$B$3:$B$7246&amp;'DMR 001C NEW'!$A$3:$A$7246),0),MATCH('001-C DMR'!$BI$11,'DMR 001C NEW'!$A$2:$O$2,0)),"")</f>
        <v>6.53</v>
      </c>
      <c r="BN12" s="58">
        <f>IF(BM12&lt;BL12,0,BM12)</f>
        <v>6.53</v>
      </c>
      <c r="BO12" s="56">
        <f t="array" ref="BO12">IFERROR((($BJ12*$EI12)+($BN12*$EJ12))/($EK12),"")</f>
        <v>5.5526054340865425</v>
      </c>
      <c r="BP12" s="64" t="str">
        <f>IF($A12="Sat",COUNT(BM5:BM12),"")</f>
        <v/>
      </c>
      <c r="BQ12" s="280" t="str">
        <f t="array" ref="BQ12">_xlfn.IFNA(INDEX('DMR 001C NEW'!$A$3:$O$999,MATCH(('001-C DMR'!$BG$6&amp;'001-C DMR'!BQ$10&amp;'001-C DMR'!$B12),('DMR 001C NEW'!$E$3:$E$1112&amp;'DMR 001C NEW'!$B$3:$B$1112&amp;'DMR 001C NEW'!$A$3:$A$1112),0),MATCH('001-C DMR'!$BQ$11,'DMR 001C NEW'!$A$2:$O$2,0)),"")</f>
        <v/>
      </c>
      <c r="BR12" s="280" t="str">
        <f t="array" ref="BR12">_xlfn.IFNA(INDEX('DMR 001C NEW'!$A$3:$O$999,MATCH(('001-C DMR'!$BG$6&amp;'001-C DMR'!BR$10&amp;'001-C DMR'!$B12),('DMR 001C NEW'!$E$3:$E$1112&amp;'DMR 001C NEW'!$B$3:$B$1112&amp;'DMR 001C NEW'!$A$3:$A$1112),0),MATCH('001-C DMR'!$BQ$11,'DMR 001C NEW'!$A$2:$O$2,0)),"")</f>
        <v/>
      </c>
      <c r="BS12" s="280" t="str">
        <f t="array" ref="BS12">_xlfn.IFNA(INDEX('DMR 001C NEW'!$A$3:$O$999,MATCH(('001-C DMR'!$BG$6&amp;'001-C DMR'!BS$10&amp;'001-C DMR'!$B12),('DMR 001C NEW'!$E$3:$E$1112&amp;'DMR 001C NEW'!$B$3:$B$1112&amp;'DMR 001C NEW'!$A$3:$A$1112),0),MATCH('001-C DMR'!$BQ$11,'DMR 001C NEW'!$A$2:$O$2,0)),"")</f>
        <v/>
      </c>
      <c r="BT12" s="280" t="str">
        <f t="array" ref="BT12">_xlfn.IFNA(INDEX('DMR 001C NEW'!$A$3:$O$999,MATCH(('001-C DMR'!$BG$6&amp;'001-C DMR'!BT$10&amp;'001-C DMR'!$B12),('DMR 001C NEW'!$E$3:$E$1112&amp;'DMR 001C NEW'!$B$3:$B$1112&amp;'DMR 001C NEW'!$A$3:$A$1112),0),MATCH('001-C DMR'!$BQ$11,'DMR 001C NEW'!$A$2:$O$2,0)),"")</f>
        <v/>
      </c>
      <c r="BU12" s="280" t="str">
        <f t="array" ref="BU12">_xlfn.IFNA(INDEX('DMR 001C NEW'!$A$3:$O$999,MATCH(('001-C DMR'!$BG$6&amp;'001-C DMR'!BU$10&amp;'001-C DMR'!$B12),('DMR 001C NEW'!$E$3:$E$1112&amp;'DMR 001C NEW'!$B$3:$B$1112&amp;'DMR 001C NEW'!$A$3:$A$1112),0),MATCH('001-C DMR'!$BQ$11,'DMR 001C NEW'!$A$2:$O$2,0)),"")</f>
        <v/>
      </c>
      <c r="BV12" s="280" t="str">
        <f t="array" ref="BV12">_xlfn.IFNA(INDEX('DMR 001C NEW'!$A$3:$O$999,MATCH(('001-C DMR'!$BG$6&amp;'001-C DMR'!BV$10&amp;'001-C DMR'!$B12),('DMR 001C NEW'!$E$3:$E$1112&amp;'DMR 001C NEW'!$B$3:$B$1112&amp;'DMR 001C NEW'!$A$3:$A$1112),0),MATCH('001-C DMR'!$BQ$11,'DMR 001C NEW'!$A$2:$O$2,0)),"")</f>
        <v/>
      </c>
      <c r="BW12" s="65"/>
      <c r="BX12" s="65"/>
      <c r="BY12" s="57" t="str">
        <f>IF(CA12&lt;BZ12,"&lt;","")</f>
        <v/>
      </c>
      <c r="BZ12" s="58" t="str">
        <f t="array" ref="BZ12">_xlfn.IFNA((INDEX('DMR 001C NEW'!$A$3:$O$9999,MATCH(('001-C DMR'!$BY$6&amp;'001-C DMR'!$BY$10&amp;'001-C DMR'!$B12),('DMR 001C NEW'!$E$3:$E$7246&amp;'DMR 001C NEW'!$B$3:$B$7246&amp;'DMR 001C NEW'!$A$3:$A$7246),0),MATCH('001-C DMR'!$BZ$11,'DMR 001C NEW'!$A$2:$O$2,0))),"")</f>
        <v/>
      </c>
      <c r="CA12" s="138" t="str">
        <f t="array" ref="CA12">_xlfn.IFNA(INDEX('DMR 001C NEW'!$A$3:$O$9999,MATCH(('001-C DMR'!$BY$6&amp;'001-C DMR'!$BY$10&amp;'001-C DMR'!$B12),('DMR 001C NEW'!$E$3:$E$7246&amp;'DMR 001C NEW'!$B$3:$B$7246&amp;'DMR 001C NEW'!$A$3:$A$7246),0),MATCH('001-C DMR'!$CA$11,'DMR 001C NEW'!$A$2:$O$2,0)),"")</f>
        <v/>
      </c>
      <c r="CB12" s="57" t="str">
        <f>IF(CD12&lt;CC12,"&lt;","")</f>
        <v/>
      </c>
      <c r="CC12" s="58" t="str">
        <f t="array" ref="CC12">_xlfn.IFNA((INDEX('DMR 001C NEW'!$A$3:$O$9999,MATCH(('001-C DMR'!$BY$6&amp;'001-C DMR'!$CB$10&amp;'001-C DMR'!$B12),('DMR 001C NEW'!$E$3:$E$7246&amp;'DMR 001C NEW'!$B$3:$B$7246&amp;'DMR 001C NEW'!$A$3:$A$7246),0),MATCH('001-C DMR'!$BZ$11,'DMR 001C NEW'!$A$2:$O$2,0))),"")</f>
        <v/>
      </c>
      <c r="CD12" s="138" t="str">
        <f t="array" ref="CD12">_xlfn.IFNA(INDEX('DMR 001C NEW'!$A$3:$O$9999,MATCH(('001-C DMR'!$BY$6&amp;'001-C DMR'!$CB$10&amp;'001-C DMR'!$B12),('DMR 001C NEW'!$E$3:$E$7246&amp;'DMR 001C NEW'!$B$3:$B$7246&amp;'DMR 001C NEW'!$A$3:$A$7246),0),MATCH('001-C DMR'!$CA$11,'DMR 001C NEW'!$A$2:$O$2,0)),"")</f>
        <v/>
      </c>
      <c r="CE12" s="138" t="str">
        <f t="array" ref="CE12">IFERROR((($CA12*$EI12)+($CD12*$EJ12))/($EK12),"")</f>
        <v/>
      </c>
      <c r="CF12" s="64" t="str">
        <f>IF($A12="Sat",COUNT(CE5:CE12),"")</f>
        <v/>
      </c>
      <c r="CG12" s="280" t="str">
        <f t="array" ref="CG12">_xlfn.IFNA(INDEX('DMR 001C NEW'!$A$3:$O$999,MATCH(('001-C DMR'!$BY$6&amp;'001-C DMR'!CG$10&amp;'001-C DMR'!$B12),('DMR 001C NEW'!$E$3:$E$1112&amp;'DMR 001C NEW'!$B$3:$B$1112&amp;'DMR 001C NEW'!$A$3:$A$1112),0),MATCH('001-C DMR'!$CA$11,'DMR 001C NEW'!$A$2:$O$2,0)),"")</f>
        <v/>
      </c>
      <c r="CH12" s="280" t="str">
        <f t="array" ref="CH12">_xlfn.IFNA(INDEX('DMR 001C NEW'!$A$3:$O$999,MATCH(('001-C DMR'!$BY$6&amp;'001-C DMR'!CH$10&amp;'001-C DMR'!$B12),('DMR 001C NEW'!$E$3:$E$1112&amp;'DMR 001C NEW'!$B$3:$B$1112&amp;'DMR 001C NEW'!$A$3:$A$1112),0),MATCH('001-C DMR'!$CA$11,'DMR 001C NEW'!$A$2:$O$2,0)),"")</f>
        <v/>
      </c>
      <c r="CI12" s="280" t="str">
        <f t="array" ref="CI12">_xlfn.IFNA(INDEX('DMR 001C NEW'!$A$3:$O$999,MATCH(('001-C DMR'!$BY$6&amp;'001-C DMR'!CI$10&amp;'001-C DMR'!$B12),('DMR 001C NEW'!$E$3:$E$1112&amp;'DMR 001C NEW'!$B$3:$B$1112&amp;'DMR 001C NEW'!$A$3:$A$1112),0),MATCH('001-C DMR'!$CA$11,'DMR 001C NEW'!$A$2:$O$2,0)),"")</f>
        <v/>
      </c>
      <c r="CJ12" s="280" t="str">
        <f t="array" ref="CJ12">_xlfn.IFNA(INDEX('DMR 001C NEW'!$A$3:$O$999,MATCH(('001-C DMR'!$BY$6&amp;'001-C DMR'!CJ$10&amp;'001-C DMR'!$B12),('DMR 001C NEW'!$E$3:$E$1112&amp;'DMR 001C NEW'!$B$3:$B$1112&amp;'DMR 001C NEW'!$A$3:$A$1112),0),MATCH('001-C DMR'!$CA$11,'DMR 001C NEW'!$A$2:$O$2,0)),"")</f>
        <v/>
      </c>
      <c r="CK12" s="280" t="str">
        <f t="array" ref="CK12">_xlfn.IFNA(INDEX('DMR 001C NEW'!$A$3:$O$999,MATCH(('001-C DMR'!$BY$6&amp;'001-C DMR'!CK$10&amp;'001-C DMR'!$B12),('DMR 001C NEW'!$E$3:$E$1112&amp;'DMR 001C NEW'!$B$3:$B$1112&amp;'DMR 001C NEW'!$A$3:$A$1112),0),MATCH('001-C DMR'!$CA$11,'DMR 001C NEW'!$A$2:$O$2,0)),"")</f>
        <v/>
      </c>
      <c r="CL12" s="280" t="str">
        <f t="array" ref="CL12">_xlfn.IFNA(INDEX('DMR 001C NEW'!$A$3:$O$999,MATCH(('001-C DMR'!$BY$6&amp;'001-C DMR'!CL$10&amp;'001-C DMR'!$B12),('DMR 001C NEW'!$E$3:$E$1112&amp;'DMR 001C NEW'!$B$3:$B$1112&amp;'DMR 001C NEW'!$A$3:$A$1112),0),MATCH('001-C DMR'!$CA$11,'DMR 001C NEW'!$A$2:$O$2,0)),"")</f>
        <v/>
      </c>
      <c r="CM12" s="61" t="str">
        <f>IF(CO12&lt;CN12,"&lt;","")</f>
        <v/>
      </c>
      <c r="CN12" s="138" t="str">
        <f t="array" ref="CN12">_xlfn.IFNA((INDEX('DMR 001C NEW'!$A$3:$O$9999,MATCH(('001-C DMR'!$CM$6&amp;'001-C DMR'!$CM$10&amp;'001-C DMR'!$B12),('DMR 001C NEW'!$E$3:$E$9018&amp;'DMR 001C NEW'!$B$3:$B$9018&amp;'DMR 001C NEW'!$A$3:$A$9018),0),MATCH('001-C DMR'!$CN$11,'DMR 001C NEW'!$A$2:$O$2,0))*1000),"")</f>
        <v/>
      </c>
      <c r="CO12" s="138" t="str">
        <f t="array" ref="CO12">_xlfn.IFNA(INDEX('DMR 001C NEW'!$A$3:$O$9999,MATCH(('001-C DMR'!$CM$6&amp;'001-C DMR'!$CM$10&amp;'001-C DMR'!$B12),('DMR 001C NEW'!$E$3:$E$9018&amp;'DMR 001C NEW'!$B$3:$B$9018&amp;'DMR 001C NEW'!$A$3:$A$9018),0),MATCH('001-C DMR'!$CO$11,'DMR 001C NEW'!$A$2:$O$2,0))*1000,"")</f>
        <v/>
      </c>
      <c r="CP12" s="138" t="str">
        <f>IF(CO12&lt;CN12,0,CO12)</f>
        <v/>
      </c>
      <c r="CQ12" s="64" t="str">
        <f>IF($A12="Sat",COUNT(CO5:CO12),"")</f>
        <v/>
      </c>
      <c r="CR12" s="280" t="str">
        <f t="array" ref="CR12">_xlfn.IFNA(INDEX('DMR 001C NEW'!$A$3:$O$999,MATCH(('001-C DMR'!$CM$6&amp;'001-C DMR'!CR$10&amp;'001-C DMR'!$B12),('DMR 001C NEW'!$E$3:$E$1112&amp;'DMR 001C NEW'!$B$3:$B$1112&amp;'DMR 001C NEW'!$A$3:$A$1112),0),MATCH('001-C DMR'!$CO$11,'DMR 001C NEW'!$A$2:$O$2,0)),"")</f>
        <v/>
      </c>
      <c r="CS12" s="280" t="str">
        <f t="array" ref="CS12">_xlfn.IFNA(INDEX('DMR 001C NEW'!$A$3:$O$999,MATCH(('001-C DMR'!$CM$6&amp;'001-C DMR'!CS$10&amp;'001-C DMR'!$B12),('DMR 001C NEW'!$E$3:$E$1112&amp;'DMR 001C NEW'!$B$3:$B$1112&amp;'DMR 001C NEW'!$A$3:$A$1112),0),MATCH('001-C DMR'!$CO$11,'DMR 001C NEW'!$A$2:$O$2,0)),"")</f>
        <v/>
      </c>
      <c r="CT12" s="280" t="str">
        <f t="array" ref="CT12">_xlfn.IFNA(INDEX('DMR 001C NEW'!$A$3:$O$999,MATCH(('001-C DMR'!$CM$6&amp;'001-C DMR'!CT$10&amp;'001-C DMR'!$B12),('DMR 001C NEW'!$E$3:$E$1112&amp;'DMR 001C NEW'!$B$3:$B$1112&amp;'DMR 001C NEW'!$A$3:$A$1112),0),MATCH('001-C DMR'!$CO$11,'DMR 001C NEW'!$A$2:$O$2,0)),"")</f>
        <v/>
      </c>
      <c r="CU12" s="280" t="str">
        <f t="array" ref="CU12">_xlfn.IFNA(INDEX('DMR 001C NEW'!$A$3:$O$999,MATCH(('001-C DMR'!$CM$6&amp;'001-C DMR'!CU$10&amp;'001-C DMR'!$B12),('DMR 001C NEW'!$E$3:$E$1112&amp;'DMR 001C NEW'!$B$3:$B$1112&amp;'DMR 001C NEW'!$A$3:$A$1112),0),MATCH('001-C DMR'!$CO$11,'DMR 001C NEW'!$A$2:$O$2,0)),"")</f>
        <v/>
      </c>
      <c r="CV12" s="280" t="str">
        <f t="array" ref="CV12">_xlfn.IFNA(INDEX('DMR 001C NEW'!$A$3:$O$999,MATCH(('001-C DMR'!$CM$6&amp;'001-C DMR'!CV$10&amp;'001-C DMR'!$B12),('DMR 001C NEW'!$E$3:$E$1112&amp;'DMR 001C NEW'!$B$3:$B$1112&amp;'DMR 001C NEW'!$A$3:$A$1112),0),MATCH('001-C DMR'!$CO$11,'DMR 001C NEW'!$A$2:$O$2,0)),"")</f>
        <v/>
      </c>
      <c r="CW12" s="280" t="str">
        <f t="array" ref="CW12">_xlfn.IFNA(INDEX('DMR 001C NEW'!$A$3:$O$999,MATCH(('001-C DMR'!$CM$6&amp;'001-C DMR'!CW$10&amp;'001-C DMR'!$B12),('DMR 001C NEW'!$E$3:$E$1112&amp;'DMR 001C NEW'!$B$3:$B$1112&amp;'DMR 001C NEW'!$A$3:$A$1112),0),MATCH('001-C DMR'!$CO$11,'DMR 001C NEW'!$A$2:$O$2,0)),"")</f>
        <v/>
      </c>
      <c r="CX12" s="280" t="str">
        <f t="array" ref="CX12">_xlfn.IFNA(INDEX('DMR 001C NEW'!$A$3:$O$999,MATCH(('001-C DMR'!$CM$6&amp;'001-C DMR'!CX$10&amp;'001-C DMR'!$B12),('DMR 001C NEW'!$E$3:$E$1112&amp;'DMR 001C NEW'!$B$3:$B$1112&amp;'DMR 001C NEW'!$A$3:$A$1112),0),MATCH('001-C DMR'!$CO$11,'DMR 001C NEW'!$A$2:$O$2,0)),"")</f>
        <v/>
      </c>
      <c r="CY12" s="61" t="str">
        <f>IF(DA12&lt;CZ12,"&lt;","")</f>
        <v/>
      </c>
      <c r="CZ12" s="138" t="str">
        <f t="array" ref="CZ12">_xlfn.IFNA((INDEX('DMR 001C NEW'!$A$3:$O$9999,MATCH(('001-C DMR'!$CY$6&amp;'001-C DMR'!$CY$10&amp;'001-C DMR'!$B12),('DMR 001C NEW'!$E$3:$E$9018&amp;'DMR 001C NEW'!$B$3:$B$9018&amp;'DMR 001C NEW'!$A$3:$A$9018),0),MATCH('001-C DMR'!$CZ$11,'DMR 001C NEW'!$A$2:$O$2,0))*1000),"")</f>
        <v/>
      </c>
      <c r="DA12" s="138" t="str">
        <f t="array" ref="DA12">_xlfn.IFNA(INDEX('DMR 001C NEW'!$A$3:$O$9999,MATCH(('001-C DMR'!$CY$6&amp;'001-C DMR'!$CY$10&amp;'001-C DMR'!$B12),('DMR 001C NEW'!$E$3:$E$9018&amp;'DMR 001C NEW'!$B$3:$B$9018&amp;'DMR 001C NEW'!$A$3:$A$9018),0),MATCH('001-C DMR'!$DA$11,'DMR 001C NEW'!$A$2:$O$2,0))*1000,"")</f>
        <v/>
      </c>
      <c r="DB12" s="138" t="str">
        <f>IF(DA12&lt;CZ12,0,DA12)</f>
        <v/>
      </c>
      <c r="DC12" s="64" t="str">
        <f>IF($A12="Sat",COUNT(DA5:DA12),"")</f>
        <v/>
      </c>
      <c r="DD12" s="280" t="str">
        <f t="array" ref="DD12">_xlfn.IFNA(INDEX('DMR 001C NEW'!$A$3:$O$999,MATCH(('001-C DMR'!$CY$6&amp;'001-C DMR'!DD$10&amp;'001-C DMR'!$B12),('DMR 001C NEW'!$E$3:$E$1112&amp;'DMR 001C NEW'!$B$3:$B$1112&amp;'DMR 001C NEW'!$A$3:$A$1112),0),MATCH('001-C DMR'!$DA$11,'DMR 001C NEW'!$A$2:$O$2,0)),"")</f>
        <v/>
      </c>
      <c r="DE12" s="280" t="str">
        <f t="array" ref="DE12">_xlfn.IFNA(INDEX('DMR 001C NEW'!$A$3:$O$999,MATCH(('001-C DMR'!$CY$6&amp;'001-C DMR'!DE$10&amp;'001-C DMR'!$B12),('DMR 001C NEW'!$E$3:$E$1112&amp;'DMR 001C NEW'!$B$3:$B$1112&amp;'DMR 001C NEW'!$A$3:$A$1112),0),MATCH('001-C DMR'!$DA$11,'DMR 001C NEW'!$A$2:$O$2,0)),"")</f>
        <v/>
      </c>
      <c r="DF12" s="280" t="str">
        <f t="array" ref="DF12">_xlfn.IFNA(INDEX('DMR 001C NEW'!$A$3:$O$999,MATCH(('001-C DMR'!$CY$6&amp;'001-C DMR'!DF$10&amp;'001-C DMR'!$B12),('DMR 001C NEW'!$E$3:$E$1112&amp;'DMR 001C NEW'!$B$3:$B$1112&amp;'DMR 001C NEW'!$A$3:$A$1112),0),MATCH('001-C DMR'!$DA$11,'DMR 001C NEW'!$A$2:$O$2,0)),"")</f>
        <v/>
      </c>
      <c r="DG12" s="280" t="str">
        <f t="array" ref="DG12">_xlfn.IFNA(INDEX('DMR 001C NEW'!$A$3:$O$999,MATCH(('001-C DMR'!$CY$6&amp;'001-C DMR'!DG$10&amp;'001-C DMR'!$B12),('DMR 001C NEW'!$E$3:$E$1112&amp;'DMR 001C NEW'!$B$3:$B$1112&amp;'DMR 001C NEW'!$A$3:$A$1112),0),MATCH('001-C DMR'!$DA$11,'DMR 001C NEW'!$A$2:$O$2,0)),"")</f>
        <v/>
      </c>
      <c r="DH12" s="280" t="str">
        <f t="array" ref="DH12">_xlfn.IFNA(INDEX('DMR 001C NEW'!$A$3:$O$999,MATCH(('001-C DMR'!$CY$6&amp;'001-C DMR'!DH$10&amp;'001-C DMR'!$B12),('DMR 001C NEW'!$E$3:$E$1112&amp;'DMR 001C NEW'!$B$3:$B$1112&amp;'DMR 001C NEW'!$A$3:$A$1112),0),MATCH('001-C DMR'!$DA$11,'DMR 001C NEW'!$A$2:$O$2,0)),"")</f>
        <v/>
      </c>
      <c r="DI12" s="280" t="str">
        <f t="array" ref="DI12">_xlfn.IFNA(INDEX('DMR 001C NEW'!$A$3:$O$999,MATCH(('001-C DMR'!$CY$6&amp;'001-C DMR'!DI$10&amp;'001-C DMR'!$B12),('DMR 001C NEW'!$E$3:$E$1112&amp;'DMR 001C NEW'!$B$3:$B$1112&amp;'DMR 001C NEW'!$A$3:$A$1112),0),MATCH('001-C DMR'!$DA$11,'DMR 001C NEW'!$A$2:$O$2,0)),"")</f>
        <v/>
      </c>
      <c r="DJ12" s="280" t="str">
        <f t="array" ref="DJ12">_xlfn.IFNA(INDEX('DMR 001C NEW'!$A$3:$O$999,MATCH(('001-C DMR'!$CY$6&amp;'001-C DMR'!DJ$10&amp;'001-C DMR'!$B12),('DMR 001C NEW'!$E$3:$E$1112&amp;'DMR 001C NEW'!$B$3:$B$1112&amp;'DMR 001C NEW'!$A$3:$A$1112),0),MATCH('001-C DMR'!$DA$11,'DMR 001C NEW'!$A$2:$O$2,0)),"")</f>
        <v/>
      </c>
      <c r="DK12" s="61" t="str">
        <f>IF(DM12&lt;DL12,"&lt;","")</f>
        <v/>
      </c>
      <c r="DL12" s="58" t="str">
        <f t="array" ref="DL12">_xlfn.IFNA((INDEX('DMR 001C NEW'!$A$3:$O$9999,MATCH(('001-C DMR'!$DK$6&amp;'001-C DMR'!$DK$10&amp;'001-C DMR'!$B12),('DMR 001C NEW'!$E$3:$E$9018&amp;'DMR 001C NEW'!$B$3:$B$9018&amp;'DMR 001C NEW'!$A$3:$A$9018),0),MATCH('001-C DMR'!$DL$11,'DMR 001C NEW'!$A$2:$O$2,0))),"")</f>
        <v/>
      </c>
      <c r="DM12" s="58" t="str">
        <f t="array" ref="DM12">_xlfn.IFNA(INDEX('DMR 001C NEW'!$A$3:$O$9999,MATCH(('001-C DMR'!$DK$6&amp;'001-C DMR'!$DK$10&amp;'001-C DMR'!$B12),('DMR 001C NEW'!$E$3:$E$9018&amp;'DMR 001C NEW'!$B$3:$B$9018&amp;'DMR 001C NEW'!$A$3:$A$9018),0),MATCH('001-C DMR'!$DM$11,'DMR 001C NEW'!$A$2:$O$2,0)),"")</f>
        <v/>
      </c>
      <c r="DN12" s="58" t="str">
        <f>IF(DM12="SCRATCHED","",IF(DM12&lt;DL12,0,DM12))</f>
        <v/>
      </c>
      <c r="DO12" s="223"/>
      <c r="DP12" s="224"/>
      <c r="DQ12" s="64" t="str">
        <f>IF($A12="Sat",COUNT(DM5:DM12),"")</f>
        <v/>
      </c>
      <c r="DR12" s="280" t="str">
        <f t="array" ref="DR12">_xlfn.IFNA(INDEX('DMR 001C NEW'!$A$3:$O$999,MATCH(('001-C DMR'!$DK$6&amp;'001-C DMR'!DR$10&amp;'001-C DMR'!$B12),('DMR 001C NEW'!$E$3:$E$1112&amp;'DMR 001C NEW'!$B$3:$B$1112&amp;'DMR 001C NEW'!$A$3:$A$1112),0),MATCH('001-C DMR'!$DR$11,'DMR 001C NEW'!$A$2:$O$2,0)),"")</f>
        <v/>
      </c>
      <c r="DS12" s="280" t="str">
        <f t="array" ref="DS12">_xlfn.IFNA(INDEX('DMR 001C NEW'!$A$3:$O$999,MATCH(('001-C DMR'!$DK$6&amp;'001-C DMR'!DS$10&amp;'001-C DMR'!$B12),('DMR 001C NEW'!$E$3:$E$1112&amp;'DMR 001C NEW'!$B$3:$B$1112&amp;'DMR 001C NEW'!$A$3:$A$1112),0),MATCH('001-C DMR'!$DR$11,'DMR 001C NEW'!$A$2:$O$2,0)),"")</f>
        <v/>
      </c>
      <c r="DT12" s="280" t="str">
        <f t="array" ref="DT12">_xlfn.IFNA(INDEX('DMR 001C NEW'!$A$3:$O$999,MATCH(('001-C DMR'!$DK$6&amp;'001-C DMR'!DT$10&amp;'001-C DMR'!$B12),('DMR 001C NEW'!$E$3:$E$1112&amp;'DMR 001C NEW'!$B$3:$B$1112&amp;'DMR 001C NEW'!$A$3:$A$1112),0),MATCH('001-C DMR'!$DR$11,'DMR 001C NEW'!$A$2:$O$2,0)),"")</f>
        <v/>
      </c>
      <c r="DU12" s="280" t="str">
        <f t="array" ref="DU12">_xlfn.IFNA(INDEX('DMR 001C NEW'!$A$3:$O$999,MATCH(('001-C DMR'!$DK$6&amp;'001-C DMR'!DU$10&amp;'001-C DMR'!$B12),('DMR 001C NEW'!$E$3:$E$1112&amp;'DMR 001C NEW'!$B$3:$B$1112&amp;'DMR 001C NEW'!$A$3:$A$1112),0),MATCH('001-C DMR'!$DR$11,'DMR 001C NEW'!$A$2:$O$2,0)),"")</f>
        <v/>
      </c>
      <c r="DV12" s="280" t="str">
        <f t="array" ref="DV12">_xlfn.IFNA(INDEX('DMR 001C NEW'!$A$3:$O$999,MATCH(('001-C DMR'!$DK$6&amp;'001-C DMR'!DV$10&amp;'001-C DMR'!$B12),('DMR 001C NEW'!$E$3:$E$1112&amp;'DMR 001C NEW'!$B$3:$B$1112&amp;'DMR 001C NEW'!$A$3:$A$1112),0),MATCH('001-C DMR'!$DR$11,'DMR 001C NEW'!$A$2:$O$2,0)),"")</f>
        <v/>
      </c>
      <c r="DW12" s="280" t="str">
        <f t="array" ref="DW12">_xlfn.IFNA(INDEX('DMR 001C NEW'!$A$3:$O$999,MATCH(('001-C DMR'!$DK$6&amp;'001-C DMR'!DW$10&amp;'001-C DMR'!$B12),('DMR 001C NEW'!$E$3:$E$1112&amp;'DMR 001C NEW'!$B$3:$B$1112&amp;'DMR 001C NEW'!$A$3:$A$1112),0),MATCH('001-C DMR'!$DR$11,'DMR 001C NEW'!$A$2:$O$2,0)),"")</f>
        <v/>
      </c>
      <c r="DX12" s="280" t="str">
        <f t="array" ref="DX12">_xlfn.IFNA(INDEX('DMR 001C NEW'!$A$3:$O$999,MATCH(('001-C DMR'!$DK$6&amp;'001-C DMR'!DX$10&amp;'001-C DMR'!$B12),('DMR 001C NEW'!$E$3:$E$1112&amp;'DMR 001C NEW'!$B$3:$B$1112&amp;'DMR 001C NEW'!$A$3:$A$1112),0),MATCH('001-C DMR'!$DR$11,'DMR 001C NEW'!$A$2:$O$2,0)),"")</f>
        <v/>
      </c>
      <c r="DY12" s="122" t="str">
        <f>IF(EA12&lt;DZ12,"&lt;","")</f>
        <v/>
      </c>
      <c r="DZ12" s="123" t="str">
        <f t="array" ref="DZ12">_xlfn.IFNA((INDEX('DMR 001C NEW'!$A$3:$O$9999,MATCH(('001-C DMR'!$DY$6&amp;'001-C DMR'!$DY$10&amp;'001-C DMR'!$B12),('DMR 001C NEW'!$E$3:$E$9018&amp;'DMR 001C NEW'!$B$3:$B$9018&amp;'DMR 001C NEW'!$A$3:$A$9018),0),MATCH('001-C DMR'!$DZ$11,'DMR 001C NEW'!$A$2:$O$2,0))),"")</f>
        <v/>
      </c>
      <c r="EA12" s="123" t="str">
        <f t="array" ref="EA12">_xlfn.IFNA((INDEX('DMR 001C NEW'!$A$3:$O$9999,MATCH(('001-C DMR'!$DY$6&amp;'001-C DMR'!$DY$10&amp;'001-C DMR'!$B12),('DMR 001C NEW'!$E$3:$E$9018&amp;'DMR 001C NEW'!$B$3:$B$9018&amp;'DMR 001C NEW'!$A$3:$A$9018),0),MATCH('001-C DMR'!$EA$11,'DMR 001C NEW'!$A$2:$O$2,0))),"")</f>
        <v/>
      </c>
      <c r="EB12" s="56" t="str">
        <f t="array" ref="EB12">IF(EA12="SCRATCHED","",IF(EA12&lt;DZ12,0,EA12))</f>
        <v/>
      </c>
      <c r="EC12" s="149" t="str">
        <f>IF(EE12&lt;ED12,"&lt;","")</f>
        <v/>
      </c>
      <c r="ED12" s="123" t="str">
        <f t="array" ref="ED12">_xlfn.IFNA((INDEX('DMR 001C NEW'!$A$3:$O$9999,MATCH(('001-C DMR'!$DY$6&amp;'001-C DMR'!$EC$10&amp;'001-C DMR'!$B12),('DMR 001C NEW'!$E$3:$E$9018&amp;'DMR 001C NEW'!$B$3:$B$9018&amp;'DMR 001C NEW'!$A$3:$A$9018),0),MATCH('001-C DMR'!$DZ$11,'DMR 001C NEW'!$A$2:$O$2,0))),"")</f>
        <v/>
      </c>
      <c r="EE12" s="123" t="str">
        <f t="array" ref="EE12">_xlfn.IFNA((INDEX('DMR 001C NEW'!$A$3:$O$9999,MATCH(('001-C DMR'!$DY$6&amp;'001-C DMR'!$EC$10&amp;'001-C DMR'!$B12),('DMR 001C NEW'!$E$3:$E$9018&amp;'DMR 001C NEW'!$B$3:$B$9018&amp;'DMR 001C NEW'!$A$3:$A$9018),0),MATCH('001-C DMR'!$EE$11,'DMR 001C NEW'!$A$2:$O$2,0))),"")</f>
        <v/>
      </c>
      <c r="EF12" s="56" t="str">
        <f>IF(EE12="SCRATCHED","",IF(EE12&lt;ED12,0,EE12))</f>
        <v/>
      </c>
      <c r="EG12" s="149"/>
      <c r="EH12" s="196"/>
      <c r="EI12" s="193">
        <f t="array" ref="EI12">_xlfn.IFNA(INDEX('DMR Flows-Effluent'!$A$3:$F$186,MATCH(($EI$10&amp;$B12),('DMR Flows-Effluent'!$B$3:$B$186&amp;'DMR Flows-Effluent'!$A$3:$A$186),0),MATCH($EI$8,'DMR Flows-Effluent'!$A$2:$F$2,0)),"")</f>
        <v>54.6066</v>
      </c>
      <c r="EJ12" s="118">
        <f t="array" ref="EJ12">_xlfn.IFNA(INDEX('DMR Flows-Effluent'!$A$3:$F$186,MATCH(($EJ$10&amp;$B12),('DMR Flows-Effluent'!$B$3:$B$186&amp;'DMR Flows-Effluent'!$A$3:$A$186),0),MATCH($EI$8,'DMR Flows-Effluent'!$A$2:$F$2,0)),"")</f>
        <v>71.099900000000005</v>
      </c>
      <c r="EK12" s="169">
        <f>SUM(EI12:EJ12)</f>
        <v>125.70650000000001</v>
      </c>
      <c r="EL12" s="63"/>
      <c r="EM12" s="63"/>
      <c r="EN12" s="63"/>
      <c r="EO12" s="63"/>
      <c r="EP12" s="62"/>
      <c r="EQ12" s="157">
        <f t="array" ref="EQ12">'E.Coli Calculations'!R6</f>
        <v>74.780399839494123</v>
      </c>
      <c r="ER12" s="56"/>
      <c r="ES12" s="64" t="str">
        <f>IF($A12="Sat",COUNT(EQ5:EQ12),"")</f>
        <v/>
      </c>
      <c r="ET12" s="122" t="str">
        <f>IF(EV12&lt;EU12,"&lt;","")</f>
        <v/>
      </c>
      <c r="EU12" s="123" t="str">
        <f t="array" ref="EU12">_xlfn.IFNA((INDEX('DMR 001C NEW'!$A$3:$O$9999,MATCH(('001-C DMR'!$ET$6&amp;'001-C DMR'!$ET$10&amp;'001-C DMR'!$B12),('DMR 001C NEW'!$E$3:$E$9018&amp;'DMR 001C NEW'!$B$3:$B$9018&amp;'DMR 001C NEW'!$A$3:$A$9018),0),MATCH('001-C DMR'!$EU$11,'DMR 001C NEW'!$A$2:$O$2,0))),"")</f>
        <v/>
      </c>
      <c r="EV12" s="123" t="str">
        <f t="array" ref="EV12">_xlfn.IFNA(INDEX('DMR 001C NEW'!$A$3:$O$9999,MATCH(('001-C DMR'!$ET$6&amp;'001-C DMR'!$ET$10&amp;'001-C DMR'!$B12),('DMR 001C NEW'!$E$3:$E$9018&amp;'DMR 001C NEW'!$B$3:$B$9018&amp;'DMR 001C NEW'!$A$3:$A$9018),0),MATCH('001-C DMR'!$EV$11,'DMR 001C NEW'!$A$2:$O$2,0)),"")</f>
        <v/>
      </c>
      <c r="EW12" s="118" t="str">
        <f>IF(EV12="SCRATCHED","",IF(EV12&lt;EU12,0,EV12))</f>
        <v/>
      </c>
      <c r="EX12" s="125"/>
      <c r="EY12" s="276" t="str">
        <f t="array" ref="EY12">_xlfn.IFNA(INDEX('DMR 001C NEW'!$A$3:$O$999,MATCH(('001-C DMR'!$ET$6&amp;'001-C DMR'!EY$10&amp;'001-C DMR'!$B12),('DMR 001C NEW'!$E$3:$E$1112&amp;'DMR 001C NEW'!$B$3:$B$1112&amp;'DMR 001C NEW'!$A$3:$A$1112),0),MATCH('001-C DMR'!$EY$11,'DMR 001C NEW'!$A$2:$O$2,0)),"")</f>
        <v/>
      </c>
      <c r="EZ12" s="277" t="str">
        <f t="array" ref="EZ12">_xlfn.IFNA(INDEX('DMR 001C NEW'!$A$3:$O$999,MATCH(('001-C DMR'!$ET$6&amp;'001-C DMR'!EZ$10&amp;'001-C DMR'!$B12),('DMR 001C NEW'!$E$3:$E$1112&amp;'DMR 001C NEW'!$B$3:$B$1112&amp;'DMR 001C NEW'!$A$3:$A$1112),0),MATCH('001-C DMR'!$EY$11,'DMR 001C NEW'!$A$2:$O$2,0)),"")</f>
        <v/>
      </c>
      <c r="FA12" s="277" t="str">
        <f t="array" ref="FA12">_xlfn.IFNA(INDEX('DMR 001C NEW'!$A$3:$O$999,MATCH(('001-C DMR'!$ET$6&amp;'001-C DMR'!FA$10&amp;'001-C DMR'!$B12),('DMR 001C NEW'!$E$3:$E$1112&amp;'DMR 001C NEW'!$B$3:$B$1112&amp;'DMR 001C NEW'!$A$3:$A$1112),0),MATCH('001-C DMR'!$EY$11,'DMR 001C NEW'!$A$2:$O$2,0)),"")</f>
        <v/>
      </c>
      <c r="FB12" s="277" t="str">
        <f t="array" ref="FB12">_xlfn.IFNA(INDEX('DMR 001C NEW'!$A$3:$O$999,MATCH(('001-C DMR'!$ET$6&amp;'001-C DMR'!FB$10&amp;'001-C DMR'!$B12),('DMR 001C NEW'!$E$3:$E$1112&amp;'DMR 001C NEW'!$B$3:$B$1112&amp;'DMR 001C NEW'!$A$3:$A$1112),0),MATCH('001-C DMR'!$EY$11,'DMR 001C NEW'!$A$2:$O$2,0)),"")</f>
        <v/>
      </c>
      <c r="FC12" s="277" t="str">
        <f t="array" ref="FC12">_xlfn.IFNA(INDEX('DMR 001C NEW'!$A$3:$O$999,MATCH(('001-C DMR'!$ET$6&amp;'001-C DMR'!FC$10&amp;'001-C DMR'!$B12),('DMR 001C NEW'!$E$3:$E$1112&amp;'DMR 001C NEW'!$B$3:$B$1112&amp;'DMR 001C NEW'!$A$3:$A$1112),0),MATCH('001-C DMR'!$EY$11,'DMR 001C NEW'!$A$2:$O$2,0)),"")</f>
        <v/>
      </c>
      <c r="FD12" s="277" t="str">
        <f t="array" ref="FD12">_xlfn.IFNA(INDEX('DMR 001C NEW'!$A$3:$O$999,MATCH(('001-C DMR'!$ET$6&amp;'001-C DMR'!FD$10&amp;'001-C DMR'!$B12),('DMR 001C NEW'!$E$3:$E$1112&amp;'DMR 001C NEW'!$B$3:$B$1112&amp;'DMR 001C NEW'!$A$3:$A$1112),0),MATCH('001-C DMR'!$EY$11,'DMR 001C NEW'!$A$2:$O$2,0)),"")</f>
        <v/>
      </c>
      <c r="FE12" s="278" t="str">
        <f t="array" ref="FE12">_xlfn.IFNA(INDEX('DMR 001C NEW'!$A$3:$O$999,MATCH(('001-C DMR'!$ET$6&amp;'001-C DMR'!FE$10&amp;'001-C DMR'!$B12),('DMR 001C NEW'!$E$3:$E$1112&amp;'DMR 001C NEW'!$B$3:$B$1112&amp;'DMR 001C NEW'!$A$3:$A$1112),0),MATCH('001-C DMR'!$EY$11,'DMR 001C NEW'!$A$2:$O$2,0)),"")</f>
        <v/>
      </c>
      <c r="FF12" s="57" t="str">
        <f>IF(FH12&lt;FG12,"&lt;","")</f>
        <v/>
      </c>
      <c r="FG12" s="56">
        <f t="array" ref="FG12">_xlfn.IFNA(INDEX('DMR 001C NEW'!$A$3:$O$9999,MATCH(('001-C DMR'!$FF$6&amp;'001-C DMR'!$FF$10&amp;'001-C DMR'!$B12),('DMR 001C NEW'!$E$3:$E$7246&amp;'DMR 001C NEW'!$B$3:$B$7246&amp;'DMR 001C NEW'!$A$3:$A$7246),0),MATCH('001-C DMR'!$FG$11,'DMR 001C NEW'!$A$2:$O$2,0)),"")</f>
        <v>0</v>
      </c>
      <c r="FH12" s="56">
        <f t="array" ref="FH12">_xlfn.IFNA(INDEX('DMR 001C NEW'!$A$3:$O$9999,MATCH(('001-C DMR'!$FF$6&amp;'001-C DMR'!$FF$10&amp;'001-C DMR'!$B12),('DMR 001C NEW'!$E$3:$E$7246&amp;'DMR 001C NEW'!$B$3:$B$7246&amp;'DMR 001C NEW'!$A$3:$A$7246),0),MATCH('001-C DMR'!$FH$11,'DMR 001C NEW'!$A$2:$O$2,0)),"")</f>
        <v>4</v>
      </c>
      <c r="FI12" s="57" t="str">
        <f>IF(FK12&lt;FJ12,"&lt;","")</f>
        <v/>
      </c>
      <c r="FJ12" s="56">
        <f t="array" ref="FJ12">_xlfn.IFNA(INDEX('DMR 001C NEW'!$A$3:$O$9999,MATCH(('001-C DMR'!$FF$6&amp;'001-C DMR'!$FI$10&amp;'001-C DMR'!$B12),('DMR 001C NEW'!$E$3:$E$7246&amp;'DMR 001C NEW'!$B$3:$B$7246&amp;'DMR 001C NEW'!$A$3:$A$7246),0),MATCH('001-C DMR'!$FG$11,'DMR 001C NEW'!$A$2:$O$2,0)),"")</f>
        <v>0</v>
      </c>
      <c r="FK12" s="56">
        <f t="array" ref="FK12">_xlfn.IFNA(INDEX('DMR 001C NEW'!$A$3:$O$9999,MATCH(('001-C DMR'!$FF$6&amp;'001-C DMR'!$FI$10&amp;'001-C DMR'!$B12),('DMR 001C NEW'!$E$3:$E$7246&amp;'DMR 001C NEW'!$B$3:$B$7246&amp;'DMR 001C NEW'!$A$3:$A$7246),0),MATCH('001-C DMR'!$FH$11,'DMR 001C NEW'!$A$2:$O$2,0)),"")</f>
        <v>3</v>
      </c>
      <c r="FL12" s="56">
        <f t="array" ref="FL12">IFERROR((($FH12*$EI12)+($FK12*$EJ12))/($EK12),"")</f>
        <v>3.4343975848504256</v>
      </c>
      <c r="FM12" s="56" t="str">
        <f t="shared" ref="FM12:FM17" si="3">IF($A12="Sat",(AVERAGE(FL12)),"")</f>
        <v/>
      </c>
      <c r="FN12" s="64" t="str">
        <f>IF($A12="Sat",COUNT(FL5:FL12),"")</f>
        <v/>
      </c>
      <c r="FO12" s="65"/>
      <c r="FP12" s="280" t="str">
        <f t="array" ref="FP12">_xlfn.IFNA(INDEX('DMR 001C NEW'!$A$3:$O$999,MATCH(('001-C DMR'!$FF$6&amp;'001-C DMR'!FP$10&amp;'001-C DMR'!$B12),('DMR 001C NEW'!$E$3:$E$1112&amp;'DMR 001C NEW'!$B$3:$B$1112&amp;'DMR 001C NEW'!$A$3:$A$1112),0),MATCH('001-C DMR'!$FH$11,'DMR 001C NEW'!$A$2:$O$2,0)),"")</f>
        <v/>
      </c>
      <c r="FQ12" s="280" t="str">
        <f t="array" ref="FQ12">_xlfn.IFNA(INDEX('DMR 001C NEW'!$A$3:$O$999,MATCH(('001-C DMR'!$FF$6&amp;'001-C DMR'!FQ$10&amp;'001-C DMR'!$B12),('DMR 001C NEW'!$E$3:$E$1112&amp;'DMR 001C NEW'!$B$3:$B$1112&amp;'DMR 001C NEW'!$A$3:$A$1112),0),MATCH('001-C DMR'!$FH$11,'DMR 001C NEW'!$A$2:$O$2,0)),"")</f>
        <v/>
      </c>
      <c r="FR12" s="280" t="str">
        <f t="array" ref="FR12">_xlfn.IFNA(INDEX('DMR 001C NEW'!$A$3:$O$999,MATCH(('001-C DMR'!$FF$6&amp;'001-C DMR'!FR$10&amp;'001-C DMR'!$B12),('DMR 001C NEW'!$E$3:$E$1112&amp;'DMR 001C NEW'!$B$3:$B$1112&amp;'DMR 001C NEW'!$A$3:$A$1112),0),MATCH('001-C DMR'!$FH$11,'DMR 001C NEW'!$A$2:$O$2,0)),"")</f>
        <v/>
      </c>
      <c r="FS12" s="280" t="str">
        <f t="array" ref="FS12">_xlfn.IFNA(INDEX('DMR 001C NEW'!$A$3:$O$999,MATCH(('001-C DMR'!$FF$6&amp;'001-C DMR'!FS$10&amp;'001-C DMR'!$B12),('DMR 001C NEW'!$E$3:$E$1112&amp;'DMR 001C NEW'!$B$3:$B$1112&amp;'DMR 001C NEW'!$A$3:$A$1112),0),MATCH('001-C DMR'!$FH$11,'DMR 001C NEW'!$A$2:$O$2,0)),"")</f>
        <v/>
      </c>
      <c r="FT12" s="280" t="str">
        <f t="array" ref="FT12">_xlfn.IFNA(INDEX('DMR 001C NEW'!$A$3:$O$999,MATCH(('001-C DMR'!$FF$6&amp;'001-C DMR'!FT$10&amp;'001-C DMR'!$B12),('DMR 001C NEW'!$E$3:$E$1112&amp;'DMR 001C NEW'!$B$3:$B$1112&amp;'DMR 001C NEW'!$A$3:$A$1112),0),MATCH('001-C DMR'!$FH$11,'DMR 001C NEW'!$A$2:$O$2,0)),"")</f>
        <v/>
      </c>
      <c r="FU12" s="280" t="str">
        <f t="array" ref="FU12">_xlfn.IFNA(INDEX('DMR 001C NEW'!$A$3:$O$999,MATCH(('001-C DMR'!$FF$6&amp;'001-C DMR'!FU$10&amp;'001-C DMR'!$B12),('DMR 001C NEW'!$E$3:$E$1112&amp;'DMR 001C NEW'!$B$3:$B$1112&amp;'DMR 001C NEW'!$A$3:$A$1112),0),MATCH('001-C DMR'!$FH$11,'DMR 001C NEW'!$A$2:$O$2,0)),"")</f>
        <v/>
      </c>
      <c r="FV12" s="66"/>
      <c r="FW12" s="122" t="str">
        <f>IF(FY12&lt;FX12,"&lt;","")</f>
        <v/>
      </c>
      <c r="FX12" s="123" t="str">
        <f t="array" ref="FX12">_xlfn.IFNA(INDEX('DMR 001C NEW'!$A$3:$O$9999,MATCH(('001-C DMR'!$FW$6&amp;'001-C DMR'!$FW$10&amp;'001-C DMR'!$B12),('DMR 001C NEW'!$E$3:$E$7246&amp;'DMR 001C NEW'!$B$3:$B$7246&amp;'DMR 001C NEW'!$A$3:$A$7246),0),MATCH('001-C DMR'!$FX$11,'DMR 001C NEW'!$A$2:$O$2,0)),"")</f>
        <v/>
      </c>
      <c r="FY12" s="123" t="str">
        <f t="array" ref="FY12">_xlfn.IFNA(INDEX('DMR 001C NEW'!$A$3:$O$9999,MATCH(('001-C DMR'!$FW$6&amp;'001-C DMR'!$FW$10&amp;'001-C DMR'!$B12),('DMR 001C NEW'!$E$3:$E$7246&amp;'DMR 001C NEW'!$B$3:$B$7246&amp;'DMR 001C NEW'!$A$3:$A$7246),0),MATCH('001-C DMR'!$FY$11,'DMR 001C NEW'!$A$2:$O$2,0)),"")</f>
        <v/>
      </c>
      <c r="FZ12" s="124" t="str">
        <f>IF(GB12&lt;GA12,"&lt;","")</f>
        <v/>
      </c>
      <c r="GA12" s="123" t="str">
        <f t="array" ref="GA12">_xlfn.IFNA(INDEX('DMR 001C NEW'!$A$3:$O$9999,MATCH(('001-C DMR'!$FW$6&amp;'001-C DMR'!$FZ$10&amp;'001-C DMR'!$B12),('DMR 001C NEW'!$E$3:$E$7246&amp;'DMR 001C NEW'!$B$3:$B$7246&amp;'DMR 001C NEW'!$A$3:$A$7246),0),MATCH('001-C DMR'!$FX$11,'DMR 001C NEW'!$A$2:$O$2,0)),"")</f>
        <v/>
      </c>
      <c r="GB12" s="123" t="str">
        <f t="array" ref="GB12">_xlfn.IFNA(INDEX('DMR 001C NEW'!$A$3:$O$9999,MATCH(('001-C DMR'!$FW$6&amp;'001-C DMR'!$FZ$10&amp;'001-C DMR'!$B12),('DMR 001C NEW'!$E$3:$E$7246&amp;'DMR 001C NEW'!$B$3:$B$7246&amp;'DMR 001C NEW'!$A$3:$A$7246),0),MATCH('001-C DMR'!$GB$11,'DMR 001C NEW'!$A$2:$O$2,0)),"")</f>
        <v/>
      </c>
      <c r="GC12" s="319" t="str">
        <f t="shared" ref="GC12:GC46" si="4">IFERROR((($FY12*$EI12)+($GB12*$EJ12))/($EK12),"")</f>
        <v/>
      </c>
      <c r="GD12" s="125" t="str">
        <f>IF($A12="Sat",COUNT(GB5:GB12),"")</f>
        <v/>
      </c>
      <c r="GE12" s="276" t="str">
        <f t="array" ref="GE12">_xlfn.IFNA(INDEX('DMR 001C NEW'!$A$3:$O$999,MATCH(('001-C DMR'!$FW$6&amp;'001-C DMR'!GE$10&amp;'001-C DMR'!$B12),('DMR 001C NEW'!$E$3:$E$1112&amp;'DMR 001C NEW'!$B$3:$B$1112&amp;'DMR 001C NEW'!$A$3:$A$1112),0),MATCH('001-C DMR'!$FY$11,'DMR 001C NEW'!$A$2:$O$2,0)),"")</f>
        <v/>
      </c>
      <c r="GF12" s="277" t="str">
        <f t="array" ref="GF12">_xlfn.IFNA(INDEX('DMR 001C NEW'!$A$3:$O$999,MATCH(('001-C DMR'!$FW$6&amp;'001-C DMR'!GF$10&amp;'001-C DMR'!$B12),('DMR 001C NEW'!$E$3:$E$1112&amp;'DMR 001C NEW'!$B$3:$B$1112&amp;'DMR 001C NEW'!$A$3:$A$1112),0),MATCH('001-C DMR'!$FY$11,'DMR 001C NEW'!$A$2:$O$2,0)),"")</f>
        <v/>
      </c>
      <c r="GG12" s="277" t="str">
        <f t="array" ref="GG12">_xlfn.IFNA(INDEX('DMR 001C NEW'!$A$3:$O$999,MATCH(('001-C DMR'!$FW$6&amp;'001-C DMR'!GG$10&amp;'001-C DMR'!$B12),('DMR 001C NEW'!$E$3:$E$1112&amp;'DMR 001C NEW'!$B$3:$B$1112&amp;'DMR 001C NEW'!$A$3:$A$1112),0),MATCH('001-C DMR'!$FY$11,'DMR 001C NEW'!$A$2:$O$2,0)),"")</f>
        <v/>
      </c>
      <c r="GH12" s="277" t="str">
        <f t="array" ref="GH12">_xlfn.IFNA(INDEX('DMR 001C NEW'!$A$3:$O$999,MATCH(('001-C DMR'!$FW$6&amp;'001-C DMR'!GH$10&amp;'001-C DMR'!$B12),('DMR 001C NEW'!$E$3:$E$1112&amp;'DMR 001C NEW'!$B$3:$B$1112&amp;'DMR 001C NEW'!$A$3:$A$1112),0),MATCH('001-C DMR'!$FY$11,'DMR 001C NEW'!$A$2:$O$2,0)),"")</f>
        <v/>
      </c>
      <c r="GI12" s="277" t="str">
        <f t="array" ref="GI12">_xlfn.IFNA(INDEX('DMR 001C NEW'!$A$3:$O$999,MATCH(('001-C DMR'!$FW$6&amp;'001-C DMR'!GI$10&amp;'001-C DMR'!$B12),('DMR 001C NEW'!$E$3:$E$1112&amp;'DMR 001C NEW'!$B$3:$B$1112&amp;'DMR 001C NEW'!$A$3:$A$1112),0),MATCH('001-C DMR'!$FY$11,'DMR 001C NEW'!$A$2:$O$2,0)),"")</f>
        <v/>
      </c>
      <c r="GJ12" s="278" t="str">
        <f t="array" ref="GJ12">_xlfn.IFNA(INDEX('DMR 001C NEW'!$A$3:$O$999,MATCH(('001-C DMR'!$FW$6&amp;'001-C DMR'!GJ$10&amp;'001-C DMR'!$B12),('DMR 001C NEW'!$E$3:$E$1112&amp;'DMR 001C NEW'!$B$3:$B$1112&amp;'DMR 001C NEW'!$A$3:$A$1112),0),MATCH('001-C DMR'!$FY$11,'DMR 001C NEW'!$A$2:$O$2,0)),"")</f>
        <v/>
      </c>
      <c r="GK12" s="58" t="str">
        <f t="array" ref="GK12">_xlfn.IFNA(INDEX('DMR 001C NEW'!$A$3:$O$9999,MATCH(('001-C DMR'!$GK$6&amp;'001-C DMR'!$GK$10&amp;'001-C DMR'!$B12),('DMR 001C NEW'!$E$3:$E$9018&amp;'DMR 001C NEW'!$B$3:$B$9018&amp;'DMR 001C NEW'!$A$3:$A$9018),0),MATCH('001-C DMR'!$GK$11,'DMR 001C NEW'!$A$2:$O$2,0)),"")</f>
        <v>n</v>
      </c>
      <c r="GL12" s="58" t="str">
        <f t="array" ref="GL12">_xlfn.IFNA(INDEX('DMR 001C NEW'!$A$3:$O$9999,MATCH(('001-C DMR'!$GK$6&amp;'001-C DMR'!$GL$10&amp;'001-C DMR'!$B12),('DMR 001C NEW'!$E$3:$E$9018&amp;'DMR 001C NEW'!$B$3:$B$9018&amp;'DMR 001C NEW'!$A$3:$A$9018),0),MATCH('001-C DMR'!$GK$11,'DMR 001C NEW'!$A$2:$O$2,0)),"")</f>
        <v>n</v>
      </c>
      <c r="GM12" s="134"/>
      <c r="GN12" s="64" t="str">
        <f>IF($A12="Sat",COUNT(GL5:GL12),"")</f>
        <v/>
      </c>
      <c r="GO12" s="134"/>
      <c r="GP12" s="134"/>
      <c r="GQ12" s="134"/>
      <c r="GR12" s="134"/>
      <c r="GS12" s="134"/>
      <c r="GT12" s="134"/>
      <c r="GU12" s="134"/>
      <c r="GV12" s="134"/>
      <c r="GW12" s="134"/>
      <c r="GX12" s="134"/>
      <c r="GY12" s="134"/>
      <c r="GZ12" s="134"/>
      <c r="HA12" s="134"/>
      <c r="HB12" s="134"/>
      <c r="HC12" s="134"/>
      <c r="HD12" s="134"/>
      <c r="HE12" s="134"/>
      <c r="HF12" s="134"/>
      <c r="HG12" s="134"/>
      <c r="HH12" s="134"/>
      <c r="HI12" s="134"/>
      <c r="HJ12" s="134"/>
      <c r="HK12" s="134"/>
      <c r="HL12" s="134"/>
      <c r="HM12" s="134"/>
      <c r="HN12" s="134"/>
      <c r="HO12" s="134"/>
      <c r="HP12" s="134"/>
      <c r="HQ12" s="134"/>
      <c r="HR12" s="134"/>
      <c r="HS12" s="134"/>
      <c r="HT12" s="134"/>
      <c r="HU12" s="134"/>
      <c r="HV12" s="134"/>
      <c r="HW12" s="134"/>
      <c r="HX12" s="134"/>
      <c r="HY12" s="134"/>
      <c r="HZ12" s="134"/>
      <c r="IA12" s="134"/>
      <c r="IB12" s="134"/>
      <c r="IC12" s="134"/>
      <c r="ID12" s="134"/>
      <c r="IE12" s="134"/>
      <c r="IF12" s="134"/>
      <c r="IG12" s="134"/>
      <c r="IH12" s="134"/>
      <c r="II12" s="134"/>
      <c r="IJ12" s="134"/>
      <c r="IK12" s="134"/>
      <c r="IL12" s="134"/>
      <c r="IM12" s="134"/>
      <c r="IN12" s="134"/>
      <c r="IO12" s="134"/>
      <c r="IP12" s="134"/>
      <c r="IQ12" s="134"/>
      <c r="IR12" s="134"/>
      <c r="IS12" s="134"/>
      <c r="IT12" s="134"/>
      <c r="IU12" s="134"/>
      <c r="IV12" s="134"/>
      <c r="IW12" s="134"/>
      <c r="IX12" s="134"/>
      <c r="IY12" s="134"/>
      <c r="IZ12" s="134"/>
      <c r="JA12" s="134"/>
      <c r="JB12" s="134"/>
      <c r="JC12" s="134"/>
      <c r="JD12" s="134"/>
      <c r="JE12" s="134"/>
      <c r="JF12" s="134"/>
      <c r="JG12" s="134"/>
      <c r="JH12" s="134"/>
      <c r="JI12" s="134"/>
      <c r="JJ12" s="134"/>
      <c r="JK12" s="134"/>
      <c r="JL12" s="134"/>
      <c r="JM12" s="134"/>
      <c r="JN12" s="134"/>
      <c r="JO12" s="134"/>
      <c r="JP12" s="134"/>
      <c r="JQ12" s="134"/>
      <c r="JR12" s="134"/>
      <c r="JS12" s="134"/>
      <c r="JT12" s="134"/>
      <c r="JU12" s="134"/>
      <c r="JV12" s="134"/>
    </row>
    <row r="13" spans="1:282" s="51" customFormat="1" x14ac:dyDescent="0.25">
      <c r="A13" s="67" t="str">
        <f t="shared" ref="A13:A46" si="5">TEXT(B13,"ddd")</f>
        <v>Mon</v>
      </c>
      <c r="B13" s="216">
        <f>B12+1</f>
        <v>43675</v>
      </c>
      <c r="C13" s="93">
        <f t="array" ref="C13">INDEX('DMR 001C NEW'!$A$3:$N$10020,MATCH(('001-C DMR'!$C$6:$K$6&amp;'001-C DMR'!$C$10:$E$10&amp;'001-C DMR'!$B13),('DMR 001C NEW'!$E$3:$E$7246&amp;'DMR 001C NEW'!$B$3:$B$7246&amp;'DMR 001C NEW'!$A$3:$A$7246),0),MATCH('001-C DMR'!$C$11,'DMR 001C NEW'!$A$2:$O$2,0))</f>
        <v>5.7</v>
      </c>
      <c r="D13" s="56" t="str">
        <f t="array" ref="D13">INDEX('DMR 001C NEW'!$A$3:$N$11771,MATCH(('001-C DMR'!$C$6:$K$6&amp;'001-C DMR'!$C$10:$E$10&amp;'001-C DMR'!$B13),('DMR 001C NEW'!$E$3:$E$9018&amp;'DMR 001C NEW'!$B$3:$B$9018&amp;'DMR 001C NEW'!$A$3:$A$9018),0),MATCH('001-C DMR'!$D$11,'DMR 001C NEW'!$A$2:$O$2,0))</f>
        <v>AE67484</v>
      </c>
      <c r="E13" s="56">
        <f t="array" ref="E13">INDEX('DMR 001C NEW'!$A$3:$N$9999,MATCH(('001-C DMR'!$E$11&amp;'001-C DMR'!$C$10:$E$10&amp;'001-C DMR'!$B13&amp;$D13),('DMR 001C NEW'!$E$3:$E$7246&amp;'DMR 001C NEW'!$B$3:$B$7246&amp;'DMR 001C NEW'!$A$3:$A$7246&amp;'DMR 001C NEW'!$M$3:$M$7188),0),MATCH($C$11,'DMR 001C NEW'!$A$2:$O$2,0))</f>
        <v>66.72</v>
      </c>
      <c r="F13" s="56">
        <f t="array" ref="F13">INDEX('DMR 001C NEW'!$A$3:$N$9999,MATCH('001-C DMR'!$C$6:$K$6&amp;'001-C DMR'!$F$10&amp;'001-C DMR'!$B13,('DMR 001C NEW'!$E$3:$E$7246&amp;'DMR 001C NEW'!$B$3:$B$7246&amp;'DMR 001C NEW'!$A$3:$A$7246),0),MATCH('001-C DMR'!$C$11,'DMR 001C NEW'!$A$2:$O$2,0))</f>
        <v>6.6</v>
      </c>
      <c r="G13" s="56" t="str">
        <f t="array" ref="G13">INDEX('DMR 001C NEW'!$A$3:$N$3865,MATCH(('001-C DMR'!$C$6:$K$6&amp;'001-C DMR'!$F$10&amp;'001-C DMR'!$B13),('DMR 001C NEW'!$E$3:$E$1112&amp;'DMR 001C NEW'!$B$3:$B$1112&amp;'DMR 001C NEW'!$A$3:$A$1112),0),MATCH('001-C DMR'!$D$11,'DMR 001C NEW'!$A$2:$O$2,0))</f>
        <v>AE67485</v>
      </c>
      <c r="H13" s="56">
        <f t="array" ref="H13">INDEX('DMR 001C NEW'!$A$3:$N$9999,MATCH(('001-C DMR'!$E$11&amp;'001-C DMR'!$F$10&amp;'001-C DMR'!$B13&amp;$G13),('DMR 001C NEW'!$E$3:$E$7246&amp;'DMR 001C NEW'!$B$3:$B$7246&amp;'DMR 001C NEW'!$A$3:$A$7246&amp;'DMR 001C NEW'!$M$3:$M$7188),0),MATCH($C$11,'DMR 001C NEW'!$A$2:$O$2,0))</f>
        <v>63.69</v>
      </c>
      <c r="I13" s="56">
        <f t="shared" si="0"/>
        <v>6.1395445134575573</v>
      </c>
      <c r="J13" s="58" t="str">
        <f t="shared" si="1"/>
        <v/>
      </c>
      <c r="K13" s="64" t="str">
        <f>IF($A13="Sat",COUNT(I6:I13),"")</f>
        <v/>
      </c>
      <c r="L13" s="262" t="str">
        <f t="array" ref="L13">_xlfn.IFNA(INDEX('DMR 001C NEW'!$A$3:$N$3865,MATCH(('001-C DMR'!$C$6:$K$6&amp;'001-C DMR'!L$10&amp;'001-C DMR'!$B13),('DMR 001C NEW'!$E$3:$E$1112&amp;'DMR 001C NEW'!$B$3:$B$1112&amp;'DMR 001C NEW'!$A$3:$A$1112),0),MATCH('001-C DMR'!$C$11,'DMR 001C NEW'!$A$2:$O$2,0)),"")</f>
        <v/>
      </c>
      <c r="M13" s="262" t="str">
        <f t="array" ref="M13">_xlfn.IFNA(INDEX('DMR 001C NEW'!$A$3:$N$3865,MATCH(('001-C DMR'!$C$6:$K$6&amp;'001-C DMR'!M$10&amp;'001-C DMR'!$B13),('DMR 001C NEW'!$E$3:$E$1112&amp;'DMR 001C NEW'!$B$3:$B$1112&amp;'DMR 001C NEW'!$A$3:$A$1112),0),MATCH('001-C DMR'!$C$11,'DMR 001C NEW'!$A$2:$O$2,0)),"")</f>
        <v/>
      </c>
      <c r="N13" s="262" t="str">
        <f t="array" ref="N13">_xlfn.IFNA(INDEX('DMR 001C NEW'!$A$3:$N$3865,MATCH(('001-C DMR'!$C$6:$K$6&amp;'001-C DMR'!N$10&amp;'001-C DMR'!$B13),('DMR 001C NEW'!$E$3:$E$1112&amp;'DMR 001C NEW'!$B$3:$B$1112&amp;'DMR 001C NEW'!$A$3:$A$1112),0),MATCH('001-C DMR'!$C$11,'DMR 001C NEW'!$A$2:$O$2,0)),"")</f>
        <v/>
      </c>
      <c r="O13" s="262" t="str">
        <f t="array" ref="O13">_xlfn.IFNA(INDEX('DMR 001C NEW'!$A$3:$N$3865,MATCH(('001-C DMR'!$C$6:$K$6&amp;'001-C DMR'!O$10&amp;'001-C DMR'!$B13),('DMR 001C NEW'!$E$3:$E$1112&amp;'DMR 001C NEW'!$B$3:$B$1112&amp;'DMR 001C NEW'!$A$3:$A$1112),0),MATCH('001-C DMR'!$C$11,'DMR 001C NEW'!$A$2:$O$2,0)),"")</f>
        <v/>
      </c>
      <c r="P13" s="262" t="str">
        <f t="array" ref="P13">_xlfn.IFNA(INDEX('DMR 001C NEW'!$A$3:$N$3865,MATCH(('001-C DMR'!$C$6:$K$6&amp;'001-C DMR'!P$10&amp;'001-C DMR'!$B13),('DMR 001C NEW'!$E$3:$E$1112&amp;'DMR 001C NEW'!$B$3:$B$1112&amp;'DMR 001C NEW'!$A$3:$A$1112),0),MATCH('001-C DMR'!$C$11,'DMR 001C NEW'!$A$2:$O$2,0)),"")</f>
        <v/>
      </c>
      <c r="Q13" s="120" t="e">
        <f t="array" ref="Q13">INDEX('DMR 001C NEW'!$A$3:$N$3865,MATCH(('001-C DMR'!$C$6:$K$6&amp;'001-C DMR'!Q$10&amp;'001-C DMR'!$B13),('DMR 001C NEW'!$E$3:$E$1112&amp;'DMR 001C NEW'!$B$3:$B$1112&amp;'DMR 001C NEW'!$A$3:$A$1112),0),MATCH('001-C DMR'!$C$11,'DMR 001C NEW'!$A$2:$O$2,0))</f>
        <v>#N/A</v>
      </c>
      <c r="R13" s="61"/>
      <c r="S13" s="56">
        <f t="array" ref="S13">_xlfn.IFNA(INDEX('DMR 001C NEW'!$A$3:$N$11771,MATCH(('001-C DMR'!$R$6:$T$6&amp;'001-C DMR'!$R$10&amp;'001-C DMR'!$B13),('DMR 001C NEW'!$E$3:$E$9018&amp;'DMR 001C NEW'!$B$3:$B$9018&amp;'DMR 001C NEW'!$A$3:$A$9018),0),MATCH('001-C DMR'!$S$11,'DMR 001C NEW'!$A$2:$O$2,0)),"")</f>
        <v>7</v>
      </c>
      <c r="T13" s="55"/>
      <c r="U13" s="262" t="str">
        <f t="array" ref="U13">_xlfn.IFNA(INDEX('DMR 001C NEW'!$A$3:$O$591,MATCH('001-C DMR'!$R$6:$T$6&amp;'001-C DMR'!U$10&amp;'001-C DMR'!$B13,('DMR 001C NEW'!$E$3:$E$704&amp;'DMR 001C NEW'!$B$3:$B$704&amp;'DMR 001C NEW'!$A$3:$A$704),0),MATCH('001-C DMR'!$U$11,'DMR 001C NEW'!$A$2:$O$2,0)),"")</f>
        <v/>
      </c>
      <c r="V13" s="262" t="str">
        <f t="array" ref="V13">_xlfn.IFNA(INDEX('DMR 001C NEW'!$A$3:$O$591,MATCH('001-C DMR'!$R$6:$T$6&amp;'001-C DMR'!V$10&amp;'001-C DMR'!$B13,('DMR 001C NEW'!$E$3:$E$704&amp;'DMR 001C NEW'!$B$3:$B$704&amp;'DMR 001C NEW'!$A$3:$A$704),0),MATCH('001-C DMR'!$U$11,'DMR 001C NEW'!$A$2:$O$2,0)),"")</f>
        <v/>
      </c>
      <c r="W13" s="262" t="str">
        <f t="array" ref="W13">_xlfn.IFNA(INDEX('DMR 001C NEW'!$A$3:$O$591,MATCH('001-C DMR'!$R$6:$T$6&amp;'001-C DMR'!W$10&amp;'001-C DMR'!$B13,('DMR 001C NEW'!$E$3:$E$704&amp;'DMR 001C NEW'!$B$3:$B$704&amp;'DMR 001C NEW'!$A$3:$A$704),0),MATCH('001-C DMR'!$U$11,'DMR 001C NEW'!$A$2:$O$2,0)),"")</f>
        <v/>
      </c>
      <c r="X13" s="262" t="str">
        <f t="array" ref="X13">_xlfn.IFNA(INDEX('DMR 001C NEW'!$A$3:$O$591,MATCH('001-C DMR'!$R$6:$T$6&amp;'001-C DMR'!X$10&amp;'001-C DMR'!$B13,('DMR 001C NEW'!$E$3:$E$704&amp;'DMR 001C NEW'!$B$3:$B$704&amp;'DMR 001C NEW'!$A$3:$A$704),0),MATCH('001-C DMR'!$U$11,'DMR 001C NEW'!$A$2:$O$2,0)),"")</f>
        <v/>
      </c>
      <c r="Y13" s="262" t="str">
        <f t="array" ref="Y13">_xlfn.IFNA(INDEX('DMR 001C NEW'!$A$3:$O$591,MATCH('001-C DMR'!$R$6:$T$6&amp;'001-C DMR'!Y$10&amp;'001-C DMR'!$B13,('DMR 001C NEW'!$E$3:$E$704&amp;'DMR 001C NEW'!$B$3:$B$704&amp;'DMR 001C NEW'!$A$3:$A$704),0),MATCH('001-C DMR'!$U$11,'DMR 001C NEW'!$A$2:$O$2,0)),"")</f>
        <v/>
      </c>
      <c r="Z13" s="262" t="str">
        <f t="array" ref="Z13">_xlfn.IFNA(INDEX('DMR 001C NEW'!$A$3:$O$591,MATCH('001-C DMR'!$R$6:$T$6&amp;'001-C DMR'!Z$10&amp;'001-C DMR'!$B13,('DMR 001C NEW'!$E$3:$E$704&amp;'DMR 001C NEW'!$B$3:$B$704&amp;'DMR 001C NEW'!$A$3:$A$704),0),MATCH('001-C DMR'!$U$11,'DMR 001C NEW'!$A$2:$O$2,0)),"")</f>
        <v/>
      </c>
      <c r="AA13" s="262" t="str">
        <f t="array" ref="AA13">_xlfn.IFNA(INDEX('DMR 001C NEW'!$A$3:$O$591,MATCH('001-C DMR'!$R$6:$T$6&amp;'001-C DMR'!AA$10&amp;'001-C DMR'!$B13,('DMR 001C NEW'!$E$3:$E$704&amp;'DMR 001C NEW'!$B$3:$B$704&amp;'DMR 001C NEW'!$A$3:$A$704),0),MATCH('001-C DMR'!$U$11,'DMR 001C NEW'!$A$2:$O$2,0)),"")</f>
        <v/>
      </c>
      <c r="AB13" s="61" t="str">
        <f t="array" ref="AB13">IF(AD13&lt;AC13,"&lt;","")</f>
        <v/>
      </c>
      <c r="AC13" s="56">
        <f t="array" ref="AC13">_xlfn.IFNA(INDEX('DMR 001C NEW'!$A$3:$O$9999,MATCH(('001-C DMR'!$AB$6:$AJ$6&amp;'001-C DMR'!$AB$10:$AD$10&amp;'001-C DMR'!$B13),('DMR 001C NEW'!$E$3:$E$7246&amp;'DMR 001C NEW'!$B$3:$B$7246&amp;'DMR 001C NEW'!$A$3:$A$7246),0),MATCH('001-C DMR'!$AC$11,'DMR 001C NEW'!$A$2:$O$2,0)),"")</f>
        <v>3</v>
      </c>
      <c r="AD13" s="56">
        <f t="array" ref="AD13">_xlfn.IFNA(INDEX('DMR 001C NEW'!$A$3:$O$9999,MATCH(('001-C DMR'!$AB$6:$AJ$6&amp;'001-C DMR'!$AB$10:$AD$10&amp;'001-C DMR'!$B13),('DMR 001C NEW'!$E$3:$E$7246&amp;'DMR 001C NEW'!$B$3:$B$7246&amp;'DMR 001C NEW'!$A$3:$A$7246),0),MATCH('001-C DMR'!$AD$11,'DMR 001C NEW'!$A$2:$O$2,0)),"")</f>
        <v>10</v>
      </c>
      <c r="AE13" s="57" t="str">
        <f t="array" ref="AE13">IF(AG13&lt;AF13,"&lt;","")</f>
        <v/>
      </c>
      <c r="AF13" s="56">
        <f t="array" ref="AF13">_xlfn.IFNA(INDEX('DMR 001C NEW'!$A$3:$O$9999,MATCH(('001-C DMR'!$AB$6:$AJ$6&amp;'001-C DMR'!$AE$10&amp;'001-C DMR'!$B13),('DMR 001C NEW'!$E$3:$E$9018&amp;'DMR 001C NEW'!$B$3:$B$9018&amp;'DMR 001C NEW'!$A$3:$A$9018),0),MATCH('001-C DMR'!$AF$11,'DMR 001C NEW'!$A$2:$O$2,0)),"")</f>
        <v>3</v>
      </c>
      <c r="AG13" s="56">
        <f t="array" ref="AG13">_xlfn.IFNA(INDEX('DMR 001C NEW'!$A$3:$O$9999,MATCH(('001-C DMR'!$AB$6:$AJ$6&amp;'001-C DMR'!$AE$10&amp;'001-C DMR'!$B13),('DMR 001C NEW'!$E$3:$E$9018&amp;'DMR 001C NEW'!$B$3:$B$9018&amp;'DMR 001C NEW'!$A$3:$A$9018),0),MATCH('001-C DMR'!$AG$11,'DMR 001C NEW'!$A$2:$O$2,0)),"")</f>
        <v>10</v>
      </c>
      <c r="AH13" s="56">
        <f t="array" ref="AH13">IFERROR((($AD13*$EI13)+($AG13*$EJ13))/($EK13),"")</f>
        <v>10</v>
      </c>
      <c r="AI13" s="56" t="str">
        <f t="shared" si="2"/>
        <v/>
      </c>
      <c r="AJ13" s="64" t="str">
        <f>IF($A13="Sat",COUNT(AH6:AH13),"")</f>
        <v/>
      </c>
      <c r="AK13" s="262" t="str">
        <f t="array" ref="AK13">_xlfn.IFNA(INDEX('DMR 001C NEW'!$A$3:$O$999,MATCH(('001-C DMR'!$AB$6:$AJ$6&amp;'001-C DMR'!AK$10&amp;'001-C DMR'!$B13),('DMR 001C NEW'!$E$3:$E$1112&amp;'DMR 001C NEW'!$B$3:$B$1112&amp;'DMR 001C NEW'!$A$3:$A$1112),0),MATCH('001-C DMR'!$AD$11,'DMR 001C NEW'!$A$2:$O$2,0)),"")</f>
        <v/>
      </c>
      <c r="AL13" s="262" t="str">
        <f t="array" ref="AL13">_xlfn.IFNA(INDEX('DMR 001C NEW'!$A$3:$O$999,MATCH(('001-C DMR'!$AB$6:$AJ$6&amp;'001-C DMR'!AL$10&amp;'001-C DMR'!$B13),('DMR 001C NEW'!$E$3:$E$1112&amp;'DMR 001C NEW'!$B$3:$B$1112&amp;'DMR 001C NEW'!$A$3:$A$1112),0),MATCH('001-C DMR'!$AD$11,'DMR 001C NEW'!$A$2:$O$2,0)),"")</f>
        <v/>
      </c>
      <c r="AM13" s="262" t="str">
        <f t="array" ref="AM13">_xlfn.IFNA(INDEX('DMR 001C NEW'!$A$3:$O$999,MATCH(('001-C DMR'!$AB$6:$AJ$6&amp;'001-C DMR'!AM$10&amp;'001-C DMR'!$B13),('DMR 001C NEW'!$E$3:$E$1112&amp;'DMR 001C NEW'!$B$3:$B$1112&amp;'DMR 001C NEW'!$A$3:$A$1112),0),MATCH('001-C DMR'!$AD$11,'DMR 001C NEW'!$A$2:$O$2,0)),"")</f>
        <v/>
      </c>
      <c r="AN13" s="262" t="str">
        <f t="array" ref="AN13">_xlfn.IFNA(INDEX('DMR 001C NEW'!$A$3:$O$999,MATCH(('001-C DMR'!$AB$6:$AJ$6&amp;'001-C DMR'!AN$10&amp;'001-C DMR'!$B13),('DMR 001C NEW'!$E$3:$E$1112&amp;'DMR 001C NEW'!$B$3:$B$1112&amp;'DMR 001C NEW'!$A$3:$A$1112),0),MATCH('001-C DMR'!$AD$11,'DMR 001C NEW'!$A$2:$O$2,0)),"")</f>
        <v/>
      </c>
      <c r="AO13" s="262" t="str">
        <f t="array" ref="AO13">_xlfn.IFNA(INDEX('DMR 001C NEW'!$A$3:$O$999,MATCH(('001-C DMR'!$AB$6:$AJ$6&amp;'001-C DMR'!AO$10&amp;'001-C DMR'!$B13),('DMR 001C NEW'!$E$3:$E$1112&amp;'DMR 001C NEW'!$B$3:$B$1112&amp;'DMR 001C NEW'!$A$3:$A$1112),0),MATCH('001-C DMR'!$AD$11,'DMR 001C NEW'!$A$2:$O$2,0)),"")</f>
        <v/>
      </c>
      <c r="AP13" s="262" t="str">
        <f t="array" ref="AP13">_xlfn.IFNA(INDEX('DMR 001C NEW'!$A$3:$O$999,MATCH(('001-C DMR'!$AB$6:$AJ$6&amp;'001-C DMR'!AP$10&amp;'001-C DMR'!$B13),('DMR 001C NEW'!$E$3:$E$1112&amp;'DMR 001C NEW'!$B$3:$B$1112&amp;'DMR 001C NEW'!$A$3:$A$1112),0),MATCH('001-C DMR'!$AD$11,'DMR 001C NEW'!$A$2:$O$2,0)),"")</f>
        <v/>
      </c>
      <c r="AQ13" s="61" t="str">
        <f t="array" ref="AQ13">IF(AS13&lt;AR13,"&lt;","")</f>
        <v/>
      </c>
      <c r="AR13" s="58">
        <f t="array" ref="AR13">_xlfn.IFNA((INDEX('DMR 001C NEW'!$A$3:$O$9999,MATCH(('001-C DMR'!$AQ$6:$AZ$6&amp;'001-C DMR'!$AQ$10:$AS$10&amp;'001-C DMR'!$B13),('DMR 001C NEW'!$E$3:$E$7246&amp;'DMR 001C NEW'!$B$3:$B$7246&amp;'DMR 001C NEW'!$A$3:$A$7246),0),MATCH('001-C DMR'!$AR$11,'DMR 001C NEW'!$A$2:$O$2,0))),"")</f>
        <v>0.15</v>
      </c>
      <c r="AS13" s="58">
        <f t="array" ref="AS13">_xlfn.IFNA(INDEX('DMR 001C NEW'!$A$3:$O$9999,MATCH(('001-C DMR'!$AQ$6:$AZ$6&amp;'001-C DMR'!$AQ$10:$AS$10&amp;'001-C DMR'!$B13),('DMR 001C NEW'!$E$3:$E$7246&amp;'DMR 001C NEW'!$B$3:$B$7246&amp;'DMR 001C NEW'!$A$3:$A$7246),0),MATCH('001-C DMR'!$AS$11,'DMR 001C NEW'!$A$2:$O$2,0)),"")</f>
        <v>0.22</v>
      </c>
      <c r="AT13" s="58">
        <f>IF(AS13&lt;AR13,0,AS13)</f>
        <v>0.22</v>
      </c>
      <c r="AU13" s="57" t="str">
        <f t="array" ref="AU13">IF(AW13&lt;AV13,"&lt;","")</f>
        <v>&lt;</v>
      </c>
      <c r="AV13" s="58">
        <f t="array" ref="AV13">_xlfn.IFNA((INDEX('DMR 001C NEW'!$A$3:$O$9999,MATCH(('001-C DMR'!$AQ$6:$AZ$6&amp;'001-C DMR'!$AU$10&amp;'001-C DMR'!$B13),('DMR 001C NEW'!$E$3:$E$7246&amp;'DMR 001C NEW'!$B$3:$B$7246&amp;'DMR 001C NEW'!$A$3:$A$7246),0),MATCH('001-C DMR'!$AR$11,'DMR 001C NEW'!$A$2:$O$2,0))),"")</f>
        <v>0.15</v>
      </c>
      <c r="AW13" s="58">
        <f t="array" ref="AW13">_xlfn.IFNA(INDEX('DMR 001C NEW'!$A$3:$O$9999,MATCH(('001-C DMR'!$AQ$6:$AZ$6&amp;'001-C DMR'!$AU$10&amp;'001-C DMR'!$B13),('DMR 001C NEW'!$E$3:$E$7246&amp;'DMR 001C NEW'!$B$3:$B$7246&amp;'DMR 001C NEW'!$A$3:$A$7246),0),MATCH('001-C DMR'!$AW$11,'DMR 001C NEW'!$A$2:$O$2,0)),"")</f>
        <v>0.13</v>
      </c>
      <c r="AX13" s="58">
        <f t="shared" ref="AX13:AX46" si="6">IF(AW13&lt;AV13,0,AW13)</f>
        <v>0</v>
      </c>
      <c r="AY13" s="56">
        <f t="array" ref="AY13">IFERROR((($AT13*$EI13)+($AX13*$EJ13))/($EK13),"")</f>
        <v>9.6730419630623801E-2</v>
      </c>
      <c r="AZ13" s="64" t="str">
        <f>IF($A13="Sat",COUNT(AW6:AW13),"")</f>
        <v/>
      </c>
      <c r="BA13" s="279" t="str">
        <f t="array" ref="BA13">_xlfn.IFNA(INDEX('DMR 001C NEW'!$A$3:$O$9999,MATCH(('001-C DMR'!$AQ$6:$AZ$6&amp;'001-C DMR'!BA$10&amp;'001-C DMR'!$B13),('DMR 001C NEW'!$E$3:$E$1112&amp;'DMR 001C NEW'!$B$3:$B$1112&amp;'DMR 001C NEW'!$A$3:$A$1112),0),MATCH('001-C DMR'!$BA$11,'DMR 001C NEW'!$A$2:$O$2,0)),"")</f>
        <v/>
      </c>
      <c r="BB13" s="280" t="str">
        <f t="array" ref="BB13">_xlfn.IFNA(INDEX('DMR 001C NEW'!$A$3:$O$9999,MATCH(('001-C DMR'!$AQ$6:$AZ$6&amp;'001-C DMR'!BB$10&amp;'001-C DMR'!$B13),('DMR 001C NEW'!$E$3:$E$1112&amp;'DMR 001C NEW'!$B$3:$B$1112&amp;'DMR 001C NEW'!$A$3:$A$1112),0),MATCH('001-C DMR'!$BA$11,'DMR 001C NEW'!$A$2:$O$2,0)),"")</f>
        <v/>
      </c>
      <c r="BC13" s="280" t="str">
        <f t="array" ref="BC13">_xlfn.IFNA(INDEX('DMR 001C NEW'!$A$3:$O$9999,MATCH(('001-C DMR'!$AQ$6:$AZ$6&amp;'001-C DMR'!BC$10&amp;'001-C DMR'!$B13),('DMR 001C NEW'!$E$3:$E$1112&amp;'DMR 001C NEW'!$B$3:$B$1112&amp;'DMR 001C NEW'!$A$3:$A$1112),0),MATCH('001-C DMR'!$BA$11,'DMR 001C NEW'!$A$2:$O$2,0)),"")</f>
        <v/>
      </c>
      <c r="BD13" s="280" t="str">
        <f t="array" ref="BD13">_xlfn.IFNA(INDEX('DMR 001C NEW'!$A$3:$O$9999,MATCH(('001-C DMR'!$AQ$6:$AZ$6&amp;'001-C DMR'!BD$10&amp;'001-C DMR'!$B13),('DMR 001C NEW'!$E$3:$E$1112&amp;'DMR 001C NEW'!$B$3:$B$1112&amp;'DMR 001C NEW'!$A$3:$A$1112),0),MATCH('001-C DMR'!$BA$11,'DMR 001C NEW'!$A$2:$O$2,0)),"")</f>
        <v/>
      </c>
      <c r="BE13" s="280" t="str">
        <f t="array" ref="BE13">_xlfn.IFNA(INDEX('DMR 001C NEW'!$A$3:$O$9999,MATCH(('001-C DMR'!$AQ$6:$AZ$6&amp;'001-C DMR'!BE$10&amp;'001-C DMR'!$B13),('DMR 001C NEW'!$E$3:$E$1112&amp;'DMR 001C NEW'!$B$3:$B$1112&amp;'DMR 001C NEW'!$A$3:$A$1112),0),MATCH('001-C DMR'!$BA$11,'DMR 001C NEW'!$A$2:$O$2,0)),"")</f>
        <v/>
      </c>
      <c r="BF13" s="281" t="str">
        <f t="array" ref="BF13">_xlfn.IFNA(INDEX('DMR 001C NEW'!$A$3:$O$9999,MATCH(('001-C DMR'!$AQ$6:$AZ$6&amp;'001-C DMR'!BF$10&amp;'001-C DMR'!$B13),('DMR 001C NEW'!$E$3:$E$1112&amp;'DMR 001C NEW'!$B$3:$B$1112&amp;'DMR 001C NEW'!$A$3:$A$1112),0),MATCH('001-C DMR'!$BA$11,'DMR 001C NEW'!$A$2:$O$2,0)),"")</f>
        <v/>
      </c>
      <c r="BG13" s="57"/>
      <c r="BH13" s="58">
        <f t="array" ref="BH13">_xlfn.IFNA((INDEX('DMR 001C NEW'!$A$3:$O$9999,MATCH(('001-C DMR'!$BG$6&amp;'001-C DMR'!$BG$10&amp;'001-C DMR'!$B13),('DMR 001C NEW'!$E$3:$E$7246&amp;'DMR 001C NEW'!$B$3:$B$7246&amp;'DMR 001C NEW'!$A$3:$A$7246),0),MATCH('001-C DMR'!$BH$11,'DMR 001C NEW'!$A$2:$O$2,0))),"")</f>
        <v>0.06</v>
      </c>
      <c r="BI13" s="58">
        <f t="array" ref="BI13">_xlfn.IFNA(INDEX('DMR 001C NEW'!$A$3:$O$9999,MATCH(('001-C DMR'!$BG$6&amp;'001-C DMR'!$BG$10&amp;'001-C DMR'!$B13),('DMR 001C NEW'!$E$3:$E$7246&amp;'DMR 001C NEW'!$B$3:$B$7246&amp;'DMR 001C NEW'!$A$3:$A$7246),0),MATCH('001-C DMR'!$BI$11,'DMR 001C NEW'!$A$2:$O$2,0)),"")</f>
        <v>5.18</v>
      </c>
      <c r="BJ13" s="58">
        <f t="shared" ref="BJ13:BJ46" si="7">IF(BI13&lt;BH13,0,BI13)</f>
        <v>5.18</v>
      </c>
      <c r="BK13" s="57" t="str">
        <f t="shared" ref="BK13:BK42" si="8">IF(BM13&lt;BL13,"&lt;","")</f>
        <v/>
      </c>
      <c r="BL13" s="58">
        <f t="array" ref="BL13">_xlfn.IFNA((INDEX('DMR 001C NEW'!$A$3:$O$9999,MATCH(('001-C DMR'!$BG$6&amp;'001-C DMR'!$BK$10&amp;'001-C DMR'!$B13),('DMR 001C NEW'!$E$3:$E$7246&amp;'DMR 001C NEW'!$B$3:$B$7246&amp;'DMR 001C NEW'!$A$3:$A$7246),0),MATCH('001-C DMR'!$BH$11,'DMR 001C NEW'!$A$2:$O$2,0))),"")</f>
        <v>0.06</v>
      </c>
      <c r="BM13" s="58">
        <f t="array" ref="BM13">_xlfn.IFNA(INDEX('DMR 001C NEW'!$A$3:$O$9999,MATCH(('001-C DMR'!$BG$6&amp;'001-C DMR'!$BK$10&amp;'001-C DMR'!$B13),('DMR 001C NEW'!$E$3:$E$7246&amp;'DMR 001C NEW'!$B$3:$B$7246&amp;'DMR 001C NEW'!$A$3:$A$7246),0),MATCH('001-C DMR'!$BI$11,'DMR 001C NEW'!$A$2:$O$2,0)),"")</f>
        <v>5.78</v>
      </c>
      <c r="BN13" s="58">
        <f t="shared" ref="BN13:BN46" si="9">IF(BM13&lt;BL13,0,BM13)</f>
        <v>5.78</v>
      </c>
      <c r="BO13" s="56">
        <f t="array" ref="BO13">IFERROR((($BJ13*$EI13)+($BN13*$EJ13))/($EK13),"")</f>
        <v>5.5161897646437525</v>
      </c>
      <c r="BP13" s="64" t="str">
        <f>IF($A13="Sat",COUNT(BM6:BM13),"")</f>
        <v/>
      </c>
      <c r="BQ13" s="280" t="str">
        <f t="array" ref="BQ13">_xlfn.IFNA(INDEX('DMR 001C NEW'!$A$3:$O$999,MATCH(('001-C DMR'!$BG$6&amp;'001-C DMR'!BQ$10&amp;'001-C DMR'!$B13),('DMR 001C NEW'!$E$3:$E$1112&amp;'DMR 001C NEW'!$B$3:$B$1112&amp;'DMR 001C NEW'!$A$3:$A$1112),0),MATCH('001-C DMR'!$BQ$11,'DMR 001C NEW'!$A$2:$O$2,0)),"")</f>
        <v/>
      </c>
      <c r="BR13" s="280" t="str">
        <f t="array" ref="BR13">_xlfn.IFNA(INDEX('DMR 001C NEW'!$A$3:$O$999,MATCH(('001-C DMR'!$BG$6&amp;'001-C DMR'!BR$10&amp;'001-C DMR'!$B13),('DMR 001C NEW'!$E$3:$E$1112&amp;'DMR 001C NEW'!$B$3:$B$1112&amp;'DMR 001C NEW'!$A$3:$A$1112),0),MATCH('001-C DMR'!$BQ$11,'DMR 001C NEW'!$A$2:$O$2,0)),"")</f>
        <v/>
      </c>
      <c r="BS13" s="280" t="str">
        <f t="array" ref="BS13">_xlfn.IFNA(INDEX('DMR 001C NEW'!$A$3:$O$999,MATCH(('001-C DMR'!$BG$6&amp;'001-C DMR'!BS$10&amp;'001-C DMR'!$B13),('DMR 001C NEW'!$E$3:$E$1112&amp;'DMR 001C NEW'!$B$3:$B$1112&amp;'DMR 001C NEW'!$A$3:$A$1112),0),MATCH('001-C DMR'!$BQ$11,'DMR 001C NEW'!$A$2:$O$2,0)),"")</f>
        <v/>
      </c>
      <c r="BT13" s="280" t="str">
        <f t="array" ref="BT13">_xlfn.IFNA(INDEX('DMR 001C NEW'!$A$3:$O$999,MATCH(('001-C DMR'!$BG$6&amp;'001-C DMR'!BT$10&amp;'001-C DMR'!$B13),('DMR 001C NEW'!$E$3:$E$1112&amp;'DMR 001C NEW'!$B$3:$B$1112&amp;'DMR 001C NEW'!$A$3:$A$1112),0),MATCH('001-C DMR'!$BQ$11,'DMR 001C NEW'!$A$2:$O$2,0)),"")</f>
        <v/>
      </c>
      <c r="BU13" s="280" t="str">
        <f t="array" ref="BU13">_xlfn.IFNA(INDEX('DMR 001C NEW'!$A$3:$O$999,MATCH(('001-C DMR'!$BG$6&amp;'001-C DMR'!BU$10&amp;'001-C DMR'!$B13),('DMR 001C NEW'!$E$3:$E$1112&amp;'DMR 001C NEW'!$B$3:$B$1112&amp;'DMR 001C NEW'!$A$3:$A$1112),0),MATCH('001-C DMR'!$BQ$11,'DMR 001C NEW'!$A$2:$O$2,0)),"")</f>
        <v/>
      </c>
      <c r="BV13" s="280" t="str">
        <f t="array" ref="BV13">_xlfn.IFNA(INDEX('DMR 001C NEW'!$A$3:$O$999,MATCH(('001-C DMR'!$BG$6&amp;'001-C DMR'!BV$10&amp;'001-C DMR'!$B13),('DMR 001C NEW'!$E$3:$E$1112&amp;'DMR 001C NEW'!$B$3:$B$1112&amp;'DMR 001C NEW'!$A$3:$A$1112),0),MATCH('001-C DMR'!$BQ$11,'DMR 001C NEW'!$A$2:$O$2,0)),"")</f>
        <v/>
      </c>
      <c r="BW13" s="65"/>
      <c r="BX13" s="65"/>
      <c r="BY13" s="57" t="str">
        <f t="shared" ref="BY13:BY40" si="10">IF(CA13&lt;BZ13,"&lt;","")</f>
        <v/>
      </c>
      <c r="BZ13" s="58" t="str">
        <f t="array" ref="BZ13">_xlfn.IFNA((INDEX('DMR 001C NEW'!$A$3:$O$9999,MATCH(('001-C DMR'!$BY$6&amp;'001-C DMR'!$BY$10&amp;'001-C DMR'!$B13),('DMR 001C NEW'!$E$3:$E$7246&amp;'DMR 001C NEW'!$B$3:$B$7246&amp;'DMR 001C NEW'!$A$3:$A$7246),0),MATCH('001-C DMR'!$BZ$11,'DMR 001C NEW'!$A$2:$O$2,0))),"")</f>
        <v/>
      </c>
      <c r="CA13" s="138" t="str">
        <f t="array" ref="CA13">_xlfn.IFNA(INDEX('DMR 001C NEW'!$A$3:$O$9999,MATCH(('001-C DMR'!$BY$6&amp;'001-C DMR'!$BY$10&amp;'001-C DMR'!$B13),('DMR 001C NEW'!$E$3:$E$7246&amp;'DMR 001C NEW'!$B$3:$B$7246&amp;'DMR 001C NEW'!$A$3:$A$7246),0),MATCH('001-C DMR'!$CA$11,'DMR 001C NEW'!$A$2:$O$2,0)),"")</f>
        <v/>
      </c>
      <c r="CB13" s="57" t="str">
        <f t="shared" ref="CB13:CB40" si="11">IF(CD13&lt;CC13,"&lt;","")</f>
        <v/>
      </c>
      <c r="CC13" s="58" t="str">
        <f t="array" ref="CC13">_xlfn.IFNA((INDEX('DMR 001C NEW'!$A$3:$O$9999,MATCH(('001-C DMR'!$BY$6&amp;'001-C DMR'!$CB$10&amp;'001-C DMR'!$B13),('DMR 001C NEW'!$E$3:$E$7246&amp;'DMR 001C NEW'!$B$3:$B$7246&amp;'DMR 001C NEW'!$A$3:$A$7246),0),MATCH('001-C DMR'!$BZ$11,'DMR 001C NEW'!$A$2:$O$2,0))),"")</f>
        <v/>
      </c>
      <c r="CD13" s="138" t="str">
        <f t="array" ref="CD13">_xlfn.IFNA(INDEX('DMR 001C NEW'!$A$3:$O$9999,MATCH(('001-C DMR'!$BY$6&amp;'001-C DMR'!$CB$10&amp;'001-C DMR'!$B13),('DMR 001C NEW'!$E$3:$E$7246&amp;'DMR 001C NEW'!$B$3:$B$7246&amp;'DMR 001C NEW'!$A$3:$A$7246),0),MATCH('001-C DMR'!$CA$11,'DMR 001C NEW'!$A$2:$O$2,0)),"")</f>
        <v/>
      </c>
      <c r="CE13" s="138" t="str">
        <f t="array" ref="CE13">IFERROR((($CA13*$EI13)+($CD13*$EJ13))/($EK13),"")</f>
        <v/>
      </c>
      <c r="CF13" s="64" t="str">
        <f>IF($A13="Sat",COUNT(CE6:CE13),"")</f>
        <v/>
      </c>
      <c r="CG13" s="280" t="str">
        <f t="array" ref="CG13">_xlfn.IFNA(INDEX('DMR 001C NEW'!$A$3:$O$999,MATCH(('001-C DMR'!$BY$6&amp;'001-C DMR'!CG$10&amp;'001-C DMR'!$B13),('DMR 001C NEW'!$E$3:$E$1112&amp;'DMR 001C NEW'!$B$3:$B$1112&amp;'DMR 001C NEW'!$A$3:$A$1112),0),MATCH('001-C DMR'!$CA$11,'DMR 001C NEW'!$A$2:$O$2,0)),"")</f>
        <v/>
      </c>
      <c r="CH13" s="280" t="str">
        <f t="array" ref="CH13">_xlfn.IFNA(INDEX('DMR 001C NEW'!$A$3:$O$999,MATCH(('001-C DMR'!$BY$6&amp;'001-C DMR'!CH$10&amp;'001-C DMR'!$B13),('DMR 001C NEW'!$E$3:$E$1112&amp;'DMR 001C NEW'!$B$3:$B$1112&amp;'DMR 001C NEW'!$A$3:$A$1112),0),MATCH('001-C DMR'!$CA$11,'DMR 001C NEW'!$A$2:$O$2,0)),"")</f>
        <v/>
      </c>
      <c r="CI13" s="280" t="str">
        <f t="array" ref="CI13">_xlfn.IFNA(INDEX('DMR 001C NEW'!$A$3:$O$999,MATCH(('001-C DMR'!$BY$6&amp;'001-C DMR'!CI$10&amp;'001-C DMR'!$B13),('DMR 001C NEW'!$E$3:$E$1112&amp;'DMR 001C NEW'!$B$3:$B$1112&amp;'DMR 001C NEW'!$A$3:$A$1112),0),MATCH('001-C DMR'!$CA$11,'DMR 001C NEW'!$A$2:$O$2,0)),"")</f>
        <v/>
      </c>
      <c r="CJ13" s="280" t="str">
        <f t="array" ref="CJ13">_xlfn.IFNA(INDEX('DMR 001C NEW'!$A$3:$O$999,MATCH(('001-C DMR'!$BY$6&amp;'001-C DMR'!CJ$10&amp;'001-C DMR'!$B13),('DMR 001C NEW'!$E$3:$E$1112&amp;'DMR 001C NEW'!$B$3:$B$1112&amp;'DMR 001C NEW'!$A$3:$A$1112),0),MATCH('001-C DMR'!$CA$11,'DMR 001C NEW'!$A$2:$O$2,0)),"")</f>
        <v/>
      </c>
      <c r="CK13" s="280" t="str">
        <f t="array" ref="CK13">_xlfn.IFNA(INDEX('DMR 001C NEW'!$A$3:$O$999,MATCH(('001-C DMR'!$BY$6&amp;'001-C DMR'!CK$10&amp;'001-C DMR'!$B13),('DMR 001C NEW'!$E$3:$E$1112&amp;'DMR 001C NEW'!$B$3:$B$1112&amp;'DMR 001C NEW'!$A$3:$A$1112),0),MATCH('001-C DMR'!$CA$11,'DMR 001C NEW'!$A$2:$O$2,0)),"")</f>
        <v/>
      </c>
      <c r="CL13" s="280" t="str">
        <f t="array" ref="CL13">_xlfn.IFNA(INDEX('DMR 001C NEW'!$A$3:$O$999,MATCH(('001-C DMR'!$BY$6&amp;'001-C DMR'!CL$10&amp;'001-C DMR'!$B13),('DMR 001C NEW'!$E$3:$E$1112&amp;'DMR 001C NEW'!$B$3:$B$1112&amp;'DMR 001C NEW'!$A$3:$A$1112),0),MATCH('001-C DMR'!$CA$11,'DMR 001C NEW'!$A$2:$O$2,0)),"")</f>
        <v/>
      </c>
      <c r="CM13" s="61" t="str">
        <f t="shared" ref="CM13:CM42" si="12">IF(CO13&lt;CN13,"&lt;","")</f>
        <v/>
      </c>
      <c r="CN13" s="138" t="str">
        <f t="array" ref="CN13">_xlfn.IFNA((INDEX('DMR 001C NEW'!$A$3:$O$9999,MATCH(('001-C DMR'!$CM$6&amp;'001-C DMR'!$CM$10&amp;'001-C DMR'!$B13),('DMR 001C NEW'!$E$3:$E$9018&amp;'DMR 001C NEW'!$B$3:$B$9018&amp;'DMR 001C NEW'!$A$3:$A$9018),0),MATCH('001-C DMR'!$CN$11,'DMR 001C NEW'!$A$2:$O$2,0))*1000),"")</f>
        <v/>
      </c>
      <c r="CO13" s="138" t="str">
        <f t="array" ref="CO13">_xlfn.IFNA(INDEX('DMR 001C NEW'!$A$3:$O$9999,MATCH(('001-C DMR'!$CM$6&amp;'001-C DMR'!$CM$10&amp;'001-C DMR'!$B13),('DMR 001C NEW'!$E$3:$E$9018&amp;'DMR 001C NEW'!$B$3:$B$9018&amp;'DMR 001C NEW'!$A$3:$A$9018),0),MATCH('001-C DMR'!$CO$11,'DMR 001C NEW'!$A$2:$O$2,0))*1000,"")</f>
        <v/>
      </c>
      <c r="CP13" s="138" t="str">
        <f t="shared" ref="CP13:CP46" si="13">IF(CO13&lt;CN13,0,CO13)</f>
        <v/>
      </c>
      <c r="CQ13" s="64" t="str">
        <f>IF($A13="Sat",COUNT(CO6:CO13),"")</f>
        <v/>
      </c>
      <c r="CR13" s="280" t="str">
        <f t="array" ref="CR13">_xlfn.IFNA(INDEX('DMR 001C NEW'!$A$3:$O$999,MATCH(('001-C DMR'!$CM$6&amp;'001-C DMR'!CR$10&amp;'001-C DMR'!$B13),('DMR 001C NEW'!$E$3:$E$1112&amp;'DMR 001C NEW'!$B$3:$B$1112&amp;'DMR 001C NEW'!$A$3:$A$1112),0),MATCH('001-C DMR'!$CO$11,'DMR 001C NEW'!$A$2:$O$2,0)),"")</f>
        <v/>
      </c>
      <c r="CS13" s="280" t="str">
        <f t="array" ref="CS13">_xlfn.IFNA(INDEX('DMR 001C NEW'!$A$3:$O$999,MATCH(('001-C DMR'!$CM$6&amp;'001-C DMR'!CS$10&amp;'001-C DMR'!$B13),('DMR 001C NEW'!$E$3:$E$1112&amp;'DMR 001C NEW'!$B$3:$B$1112&amp;'DMR 001C NEW'!$A$3:$A$1112),0),MATCH('001-C DMR'!$CO$11,'DMR 001C NEW'!$A$2:$O$2,0)),"")</f>
        <v/>
      </c>
      <c r="CT13" s="280" t="str">
        <f t="array" ref="CT13">_xlfn.IFNA(INDEX('DMR 001C NEW'!$A$3:$O$999,MATCH(('001-C DMR'!$CM$6&amp;'001-C DMR'!CT$10&amp;'001-C DMR'!$B13),('DMR 001C NEW'!$E$3:$E$1112&amp;'DMR 001C NEW'!$B$3:$B$1112&amp;'DMR 001C NEW'!$A$3:$A$1112),0),MATCH('001-C DMR'!$CO$11,'DMR 001C NEW'!$A$2:$O$2,0)),"")</f>
        <v/>
      </c>
      <c r="CU13" s="280" t="str">
        <f t="array" ref="CU13">_xlfn.IFNA(INDEX('DMR 001C NEW'!$A$3:$O$999,MATCH(('001-C DMR'!$CM$6&amp;'001-C DMR'!CU$10&amp;'001-C DMR'!$B13),('DMR 001C NEW'!$E$3:$E$1112&amp;'DMR 001C NEW'!$B$3:$B$1112&amp;'DMR 001C NEW'!$A$3:$A$1112),0),MATCH('001-C DMR'!$CO$11,'DMR 001C NEW'!$A$2:$O$2,0)),"")</f>
        <v/>
      </c>
      <c r="CV13" s="280" t="str">
        <f t="array" ref="CV13">_xlfn.IFNA(INDEX('DMR 001C NEW'!$A$3:$O$999,MATCH(('001-C DMR'!$CM$6&amp;'001-C DMR'!CV$10&amp;'001-C DMR'!$B13),('DMR 001C NEW'!$E$3:$E$1112&amp;'DMR 001C NEW'!$B$3:$B$1112&amp;'DMR 001C NEW'!$A$3:$A$1112),0),MATCH('001-C DMR'!$CO$11,'DMR 001C NEW'!$A$2:$O$2,0)),"")</f>
        <v/>
      </c>
      <c r="CW13" s="280" t="str">
        <f t="array" ref="CW13">_xlfn.IFNA(INDEX('DMR 001C NEW'!$A$3:$O$999,MATCH(('001-C DMR'!$CM$6&amp;'001-C DMR'!CW$10&amp;'001-C DMR'!$B13),('DMR 001C NEW'!$E$3:$E$1112&amp;'DMR 001C NEW'!$B$3:$B$1112&amp;'DMR 001C NEW'!$A$3:$A$1112),0),MATCH('001-C DMR'!$CO$11,'DMR 001C NEW'!$A$2:$O$2,0)),"")</f>
        <v/>
      </c>
      <c r="CX13" s="280" t="str">
        <f t="array" ref="CX13">_xlfn.IFNA(INDEX('DMR 001C NEW'!$A$3:$O$999,MATCH(('001-C DMR'!$CM$6&amp;'001-C DMR'!CX$10&amp;'001-C DMR'!$B13),('DMR 001C NEW'!$E$3:$E$1112&amp;'DMR 001C NEW'!$B$3:$B$1112&amp;'DMR 001C NEW'!$A$3:$A$1112),0),MATCH('001-C DMR'!$CO$11,'DMR 001C NEW'!$A$2:$O$2,0)),"")</f>
        <v/>
      </c>
      <c r="CY13" s="61" t="str">
        <f t="shared" ref="CY13:CY42" si="14">IF(DA13&lt;CZ13,"&lt;","")</f>
        <v/>
      </c>
      <c r="CZ13" s="138" t="str">
        <f t="array" ref="CZ13">_xlfn.IFNA((INDEX('DMR 001C NEW'!$A$3:$O$9999,MATCH(('001-C DMR'!$CY$6&amp;'001-C DMR'!$CY$10&amp;'001-C DMR'!$B13),('DMR 001C NEW'!$E$3:$E$9018&amp;'DMR 001C NEW'!$B$3:$B$9018&amp;'DMR 001C NEW'!$A$3:$A$9018),0),MATCH('001-C DMR'!$CZ$11,'DMR 001C NEW'!$A$2:$O$2,0))*1000),"")</f>
        <v/>
      </c>
      <c r="DA13" s="138" t="str">
        <f t="array" ref="DA13">_xlfn.IFNA(INDEX('DMR 001C NEW'!$A$3:$O$9999,MATCH(('001-C DMR'!$CY$6&amp;'001-C DMR'!$CY$10&amp;'001-C DMR'!$B13),('DMR 001C NEW'!$E$3:$E$9018&amp;'DMR 001C NEW'!$B$3:$B$9018&amp;'DMR 001C NEW'!$A$3:$A$9018),0),MATCH('001-C DMR'!$DA$11,'DMR 001C NEW'!$A$2:$O$2,0))*1000,"")</f>
        <v/>
      </c>
      <c r="DB13" s="138" t="str">
        <f t="shared" ref="DB13:DB46" si="15">IF(DA13&lt;CZ13,0,DA13)</f>
        <v/>
      </c>
      <c r="DC13" s="64" t="str">
        <f>IF($A13="Sat",COUNT(DA6:DA13),"")</f>
        <v/>
      </c>
      <c r="DD13" s="280" t="str">
        <f t="array" ref="DD13">_xlfn.IFNA(INDEX('DMR 001C NEW'!$A$3:$O$999,MATCH(('001-C DMR'!$CY$6&amp;'001-C DMR'!DD$10&amp;'001-C DMR'!$B13),('DMR 001C NEW'!$E$3:$E$1112&amp;'DMR 001C NEW'!$B$3:$B$1112&amp;'DMR 001C NEW'!$A$3:$A$1112),0),MATCH('001-C DMR'!$DA$11,'DMR 001C NEW'!$A$2:$O$2,0)),"")</f>
        <v/>
      </c>
      <c r="DE13" s="280" t="str">
        <f t="array" ref="DE13">_xlfn.IFNA(INDEX('DMR 001C NEW'!$A$3:$O$999,MATCH(('001-C DMR'!$CY$6&amp;'001-C DMR'!DE$10&amp;'001-C DMR'!$B13),('DMR 001C NEW'!$E$3:$E$1112&amp;'DMR 001C NEW'!$B$3:$B$1112&amp;'DMR 001C NEW'!$A$3:$A$1112),0),MATCH('001-C DMR'!$DA$11,'DMR 001C NEW'!$A$2:$O$2,0)),"")</f>
        <v/>
      </c>
      <c r="DF13" s="280" t="str">
        <f t="array" ref="DF13">_xlfn.IFNA(INDEX('DMR 001C NEW'!$A$3:$O$999,MATCH(('001-C DMR'!$CY$6&amp;'001-C DMR'!DF$10&amp;'001-C DMR'!$B13),('DMR 001C NEW'!$E$3:$E$1112&amp;'DMR 001C NEW'!$B$3:$B$1112&amp;'DMR 001C NEW'!$A$3:$A$1112),0),MATCH('001-C DMR'!$DA$11,'DMR 001C NEW'!$A$2:$O$2,0)),"")</f>
        <v/>
      </c>
      <c r="DG13" s="280" t="str">
        <f t="array" ref="DG13">_xlfn.IFNA(INDEX('DMR 001C NEW'!$A$3:$O$999,MATCH(('001-C DMR'!$CY$6&amp;'001-C DMR'!DG$10&amp;'001-C DMR'!$B13),('DMR 001C NEW'!$E$3:$E$1112&amp;'DMR 001C NEW'!$B$3:$B$1112&amp;'DMR 001C NEW'!$A$3:$A$1112),0),MATCH('001-C DMR'!$DA$11,'DMR 001C NEW'!$A$2:$O$2,0)),"")</f>
        <v/>
      </c>
      <c r="DH13" s="280" t="str">
        <f t="array" ref="DH13">_xlfn.IFNA(INDEX('DMR 001C NEW'!$A$3:$O$999,MATCH(('001-C DMR'!$CY$6&amp;'001-C DMR'!DH$10&amp;'001-C DMR'!$B13),('DMR 001C NEW'!$E$3:$E$1112&amp;'DMR 001C NEW'!$B$3:$B$1112&amp;'DMR 001C NEW'!$A$3:$A$1112),0),MATCH('001-C DMR'!$DA$11,'DMR 001C NEW'!$A$2:$O$2,0)),"")</f>
        <v/>
      </c>
      <c r="DI13" s="280" t="str">
        <f t="array" ref="DI13">_xlfn.IFNA(INDEX('DMR 001C NEW'!$A$3:$O$999,MATCH(('001-C DMR'!$CY$6&amp;'001-C DMR'!DI$10&amp;'001-C DMR'!$B13),('DMR 001C NEW'!$E$3:$E$1112&amp;'DMR 001C NEW'!$B$3:$B$1112&amp;'DMR 001C NEW'!$A$3:$A$1112),0),MATCH('001-C DMR'!$DA$11,'DMR 001C NEW'!$A$2:$O$2,0)),"")</f>
        <v/>
      </c>
      <c r="DJ13" s="280" t="str">
        <f t="array" ref="DJ13">_xlfn.IFNA(INDEX('DMR 001C NEW'!$A$3:$O$999,MATCH(('001-C DMR'!$CY$6&amp;'001-C DMR'!DJ$10&amp;'001-C DMR'!$B13),('DMR 001C NEW'!$E$3:$E$1112&amp;'DMR 001C NEW'!$B$3:$B$1112&amp;'DMR 001C NEW'!$A$3:$A$1112),0),MATCH('001-C DMR'!$DA$11,'DMR 001C NEW'!$A$2:$O$2,0)),"")</f>
        <v/>
      </c>
      <c r="DK13" s="61" t="str">
        <f t="shared" ref="DK13:DK48" si="16">IF(DM13&lt;DL13,"&lt;","")</f>
        <v/>
      </c>
      <c r="DL13" s="58" t="str">
        <f t="array" ref="DL13">_xlfn.IFNA((INDEX('DMR 001C NEW'!$A$3:$O$9999,MATCH(('001-C DMR'!$DK$6&amp;'001-C DMR'!$DK$10&amp;'001-C DMR'!$B13),('DMR 001C NEW'!$E$3:$E$9018&amp;'DMR 001C NEW'!$B$3:$B$9018&amp;'DMR 001C NEW'!$A$3:$A$9018),0),MATCH('001-C DMR'!$DL$11,'DMR 001C NEW'!$A$2:$O$2,0))),"")</f>
        <v/>
      </c>
      <c r="DM13" s="58" t="str">
        <f t="array" ref="DM13">_xlfn.IFNA(INDEX('DMR 001C NEW'!$A$3:$O$9999,MATCH(('001-C DMR'!$DK$6&amp;'001-C DMR'!$DK$10&amp;'001-C DMR'!$B13),('DMR 001C NEW'!$E$3:$E$9018&amp;'DMR 001C NEW'!$B$3:$B$9018&amp;'DMR 001C NEW'!$A$3:$A$9018),0),MATCH('001-C DMR'!$DM$11,'DMR 001C NEW'!$A$2:$O$2,0)),"")</f>
        <v/>
      </c>
      <c r="DN13" s="58" t="str">
        <f t="shared" ref="DN13:DN46" si="17">IF(DM13="SCRATCHED","",IF(DM13&lt;DL13,0,DM13))</f>
        <v/>
      </c>
      <c r="DO13" s="223"/>
      <c r="DP13" s="224"/>
      <c r="DQ13" s="64" t="str">
        <f t="shared" ref="DQ13:DQ42" si="18">IF($A13="Sat",COUNT(DM6:DM13),"")</f>
        <v/>
      </c>
      <c r="DR13" s="280" t="str">
        <f t="array" ref="DR13">_xlfn.IFNA(INDEX('DMR 001C NEW'!$A$3:$O$999,MATCH(('001-C DMR'!$DK$6&amp;'001-C DMR'!DR$10&amp;'001-C DMR'!$B13),('DMR 001C NEW'!$E$3:$E$1112&amp;'DMR 001C NEW'!$B$3:$B$1112&amp;'DMR 001C NEW'!$A$3:$A$1112),0),MATCH('001-C DMR'!$DR$11,'DMR 001C NEW'!$A$2:$O$2,0)),"")</f>
        <v/>
      </c>
      <c r="DS13" s="280" t="str">
        <f t="array" ref="DS13">_xlfn.IFNA(INDEX('DMR 001C NEW'!$A$3:$O$999,MATCH(('001-C DMR'!$DK$6&amp;'001-C DMR'!DS$10&amp;'001-C DMR'!$B13),('DMR 001C NEW'!$E$3:$E$1112&amp;'DMR 001C NEW'!$B$3:$B$1112&amp;'DMR 001C NEW'!$A$3:$A$1112),0),MATCH('001-C DMR'!$DR$11,'DMR 001C NEW'!$A$2:$O$2,0)),"")</f>
        <v/>
      </c>
      <c r="DT13" s="280" t="str">
        <f t="array" ref="DT13">_xlfn.IFNA(INDEX('DMR 001C NEW'!$A$3:$O$999,MATCH(('001-C DMR'!$DK$6&amp;'001-C DMR'!DT$10&amp;'001-C DMR'!$B13),('DMR 001C NEW'!$E$3:$E$1112&amp;'DMR 001C NEW'!$B$3:$B$1112&amp;'DMR 001C NEW'!$A$3:$A$1112),0),MATCH('001-C DMR'!$DR$11,'DMR 001C NEW'!$A$2:$O$2,0)),"")</f>
        <v/>
      </c>
      <c r="DU13" s="280" t="str">
        <f t="array" ref="DU13">_xlfn.IFNA(INDEX('DMR 001C NEW'!$A$3:$O$999,MATCH(('001-C DMR'!$DK$6&amp;'001-C DMR'!DU$10&amp;'001-C DMR'!$B13),('DMR 001C NEW'!$E$3:$E$1112&amp;'DMR 001C NEW'!$B$3:$B$1112&amp;'DMR 001C NEW'!$A$3:$A$1112),0),MATCH('001-C DMR'!$DR$11,'DMR 001C NEW'!$A$2:$O$2,0)),"")</f>
        <v/>
      </c>
      <c r="DV13" s="280" t="str">
        <f t="array" ref="DV13">_xlfn.IFNA(INDEX('DMR 001C NEW'!$A$3:$O$999,MATCH(('001-C DMR'!$DK$6&amp;'001-C DMR'!DV$10&amp;'001-C DMR'!$B13),('DMR 001C NEW'!$E$3:$E$1112&amp;'DMR 001C NEW'!$B$3:$B$1112&amp;'DMR 001C NEW'!$A$3:$A$1112),0),MATCH('001-C DMR'!$DR$11,'DMR 001C NEW'!$A$2:$O$2,0)),"")</f>
        <v/>
      </c>
      <c r="DW13" s="280" t="str">
        <f t="array" ref="DW13">_xlfn.IFNA(INDEX('DMR 001C NEW'!$A$3:$O$999,MATCH(('001-C DMR'!$DK$6&amp;'001-C DMR'!DW$10&amp;'001-C DMR'!$B13),('DMR 001C NEW'!$E$3:$E$1112&amp;'DMR 001C NEW'!$B$3:$B$1112&amp;'DMR 001C NEW'!$A$3:$A$1112),0),MATCH('001-C DMR'!$DR$11,'DMR 001C NEW'!$A$2:$O$2,0)),"")</f>
        <v/>
      </c>
      <c r="DX13" s="280" t="str">
        <f t="array" ref="DX13">_xlfn.IFNA(INDEX('DMR 001C NEW'!$A$3:$O$999,MATCH(('001-C DMR'!$DK$6&amp;'001-C DMR'!DX$10&amp;'001-C DMR'!$B13),('DMR 001C NEW'!$E$3:$E$1112&amp;'DMR 001C NEW'!$B$3:$B$1112&amp;'DMR 001C NEW'!$A$3:$A$1112),0),MATCH('001-C DMR'!$DR$11,'DMR 001C NEW'!$A$2:$O$2,0)),"")</f>
        <v/>
      </c>
      <c r="DY13" s="61" t="str">
        <f>IF(EA13&lt;DZ13,"&lt;","")</f>
        <v/>
      </c>
      <c r="DZ13" s="249" t="str">
        <f t="array" ref="DZ13">_xlfn.IFNA((INDEX('DMR 001C NEW'!$A$3:$O$9999,MATCH(('001-C DMR'!$DY$6&amp;'001-C DMR'!$DY$10&amp;'001-C DMR'!$B13),('DMR 001C NEW'!$E$3:$E$9018&amp;'DMR 001C NEW'!$B$3:$B$9018&amp;'DMR 001C NEW'!$A$3:$A$9018),0),MATCH('001-C DMR'!$DZ$11,'DMR 001C NEW'!$A$2:$O$2,0))),"")</f>
        <v/>
      </c>
      <c r="EA13" s="249" t="str">
        <f t="array" ref="EA13">_xlfn.IFNA((INDEX('DMR 001C NEW'!$A$3:$O$9999,MATCH(('001-C DMR'!$DY$6&amp;'001-C DMR'!$DY$10&amp;'001-C DMR'!$B13),('DMR 001C NEW'!$E$3:$E$9018&amp;'DMR 001C NEW'!$B$3:$B$9018&amp;'DMR 001C NEW'!$A$3:$A$9018),0),MATCH('001-C DMR'!$EA$11,'DMR 001C NEW'!$A$2:$O$2,0))),"")</f>
        <v/>
      </c>
      <c r="EB13" s="249" t="str">
        <f t="array" ref="EB13">IF(EA13="SCRATCHED","",IF(EA13&lt;DZ13,0,EA13))</f>
        <v/>
      </c>
      <c r="EC13" s="249" t="str">
        <f>IF(EE13&lt;ED13,"&lt;","")</f>
        <v/>
      </c>
      <c r="ED13" s="249" t="str">
        <f t="array" ref="ED13">_xlfn.IFNA((INDEX('DMR 001C NEW'!$A$3:$O$9999,MATCH(('001-C DMR'!$DY$6&amp;'001-C DMR'!$EC$10&amp;'001-C DMR'!$B13),('DMR 001C NEW'!$E$3:$E$9018&amp;'DMR 001C NEW'!$B$3:$B$9018&amp;'DMR 001C NEW'!$A$3:$A$9018),0),MATCH('001-C DMR'!$DZ$11,'DMR 001C NEW'!$A$2:$O$2,0))),"")</f>
        <v/>
      </c>
      <c r="EE13" s="249" t="str">
        <f t="array" ref="EE13">_xlfn.IFNA((INDEX('DMR 001C NEW'!$A$3:$O$9999,MATCH(('001-C DMR'!$DY$6&amp;'001-C DMR'!$EC$10&amp;'001-C DMR'!$B13),('DMR 001C NEW'!$E$3:$E$9018&amp;'DMR 001C NEW'!$B$3:$B$9018&amp;'DMR 001C NEW'!$A$3:$A$9018),0),MATCH('001-C DMR'!$EE$11,'DMR 001C NEW'!$A$2:$O$2,0))),"")</f>
        <v/>
      </c>
      <c r="EF13" s="249" t="str">
        <f t="array" ref="EF13">IF(EE13="SCRATCHED","",IF(EE13&lt;ED13,0,EE13))</f>
        <v/>
      </c>
      <c r="EG13" s="249"/>
      <c r="EH13" s="195"/>
      <c r="EI13" s="194">
        <f t="array" ref="EI13">_xlfn.IFNA(INDEX('DMR Flows-Effluent'!$A$3:$F$186,MATCH(($EI$10&amp;$B13),('DMR Flows-Effluent'!$B$3:$B$186&amp;'DMR Flows-Effluent'!$A$3:$A$186),0),MATCH($EI$8,'DMR Flows-Effluent'!$A$2:$F$2,0)),"")</f>
        <v>54.201000000000001</v>
      </c>
      <c r="EJ13" s="56">
        <f t="array" ref="EJ13">_xlfn.IFNA(INDEX('DMR Flows-Effluent'!$A$3:$F$186,MATCH(($EJ$10&amp;$B13),('DMR Flows-Effluent'!$B$3:$B$186&amp;'DMR Flows-Effluent'!$A$3:$A$186),0),MATCH($EI$8,'DMR Flows-Effluent'!$A$2:$F$2,0)),"")</f>
        <v>69.071700000000007</v>
      </c>
      <c r="EK13" s="168">
        <f t="shared" ref="EK13:EK46" si="19">SUM(EI13:EJ13)</f>
        <v>123.27270000000001</v>
      </c>
      <c r="EL13" s="63"/>
      <c r="EM13" s="63"/>
      <c r="EN13" s="63"/>
      <c r="EO13" s="63"/>
      <c r="EP13" s="62"/>
      <c r="EQ13" s="157">
        <f>'E.Coli Calculations'!R7</f>
        <v>88.313683736281632</v>
      </c>
      <c r="ER13" s="56"/>
      <c r="ES13" s="64" t="str">
        <f>IF($A13="Sat",COUNT(EQ6:EQ13),"")</f>
        <v/>
      </c>
      <c r="ET13" s="61" t="str">
        <f t="shared" ref="ET13:ET42" si="20">IF(EV13&lt;EU13,"&lt;","")</f>
        <v/>
      </c>
      <c r="EU13" s="58" t="str">
        <f t="array" ref="EU13">_xlfn.IFNA((INDEX('DMR 001C NEW'!$A$3:$O$9999,MATCH(('001-C DMR'!$ET$6&amp;'001-C DMR'!$ET$10&amp;'001-C DMR'!$B13),('DMR 001C NEW'!$E$3:$E$9018&amp;'DMR 001C NEW'!$B$3:$B$9018&amp;'DMR 001C NEW'!$A$3:$A$9018),0),MATCH('001-C DMR'!$EU$11,'DMR 001C NEW'!$A$2:$O$2,0))),"")</f>
        <v/>
      </c>
      <c r="EV13" s="58" t="str">
        <f t="array" ref="EV13">_xlfn.IFNA(INDEX('DMR 001C NEW'!$A$3:$O$9999,MATCH(('001-C DMR'!$ET$6&amp;'001-C DMR'!$ET$10&amp;'001-C DMR'!$B13),('DMR 001C NEW'!$E$3:$E$9018&amp;'DMR 001C NEW'!$B$3:$B$9018&amp;'DMR 001C NEW'!$A$3:$A$9018),0),MATCH('001-C DMR'!$EV$11,'DMR 001C NEW'!$A$2:$O$2,0)),"")</f>
        <v/>
      </c>
      <c r="EW13" s="56" t="str">
        <f t="shared" ref="EW13:EW48" si="21">IF(EV13="SCRATCHED","",IF(EV13&lt;EU13,0,EV13))</f>
        <v/>
      </c>
      <c r="EX13" s="64"/>
      <c r="EY13" s="279" t="str">
        <f t="array" ref="EY13">_xlfn.IFNA(INDEX('DMR 001C NEW'!$A$3:$O$999,MATCH(('001-C DMR'!$ET$6&amp;'001-C DMR'!EY$10&amp;'001-C DMR'!$B13),('DMR 001C NEW'!$E$3:$E$1112&amp;'DMR 001C NEW'!$B$3:$B$1112&amp;'DMR 001C NEW'!$A$3:$A$1112),0),MATCH('001-C DMR'!$EY$11,'DMR 001C NEW'!$A$2:$O$2,0)),"")</f>
        <v/>
      </c>
      <c r="EZ13" s="280" t="str">
        <f t="array" ref="EZ13">_xlfn.IFNA(INDEX('DMR 001C NEW'!$A$3:$O$999,MATCH(('001-C DMR'!$ET$6&amp;'001-C DMR'!EZ$10&amp;'001-C DMR'!$B13),('DMR 001C NEW'!$E$3:$E$1112&amp;'DMR 001C NEW'!$B$3:$B$1112&amp;'DMR 001C NEW'!$A$3:$A$1112),0),MATCH('001-C DMR'!$EY$11,'DMR 001C NEW'!$A$2:$O$2,0)),"")</f>
        <v/>
      </c>
      <c r="FA13" s="280" t="str">
        <f t="array" ref="FA13">_xlfn.IFNA(INDEX('DMR 001C NEW'!$A$3:$O$999,MATCH(('001-C DMR'!$ET$6&amp;'001-C DMR'!FA$10&amp;'001-C DMR'!$B13),('DMR 001C NEW'!$E$3:$E$1112&amp;'DMR 001C NEW'!$B$3:$B$1112&amp;'DMR 001C NEW'!$A$3:$A$1112),0),MATCH('001-C DMR'!$EY$11,'DMR 001C NEW'!$A$2:$O$2,0)),"")</f>
        <v/>
      </c>
      <c r="FB13" s="280" t="str">
        <f t="array" ref="FB13">_xlfn.IFNA(INDEX('DMR 001C NEW'!$A$3:$O$999,MATCH(('001-C DMR'!$ET$6&amp;'001-C DMR'!FB$10&amp;'001-C DMR'!$B13),('DMR 001C NEW'!$E$3:$E$1112&amp;'DMR 001C NEW'!$B$3:$B$1112&amp;'DMR 001C NEW'!$A$3:$A$1112),0),MATCH('001-C DMR'!$EY$11,'DMR 001C NEW'!$A$2:$O$2,0)),"")</f>
        <v/>
      </c>
      <c r="FC13" s="280" t="str">
        <f t="array" ref="FC13">_xlfn.IFNA(INDEX('DMR 001C NEW'!$A$3:$O$999,MATCH(('001-C DMR'!$ET$6&amp;'001-C DMR'!FC$10&amp;'001-C DMR'!$B13),('DMR 001C NEW'!$E$3:$E$1112&amp;'DMR 001C NEW'!$B$3:$B$1112&amp;'DMR 001C NEW'!$A$3:$A$1112),0),MATCH('001-C DMR'!$EY$11,'DMR 001C NEW'!$A$2:$O$2,0)),"")</f>
        <v/>
      </c>
      <c r="FD13" s="280" t="str">
        <f t="array" ref="FD13">_xlfn.IFNA(INDEX('DMR 001C NEW'!$A$3:$O$999,MATCH(('001-C DMR'!$ET$6&amp;'001-C DMR'!FD$10&amp;'001-C DMR'!$B13),('DMR 001C NEW'!$E$3:$E$1112&amp;'DMR 001C NEW'!$B$3:$B$1112&amp;'DMR 001C NEW'!$A$3:$A$1112),0),MATCH('001-C DMR'!$EY$11,'DMR 001C NEW'!$A$2:$O$2,0)),"")</f>
        <v/>
      </c>
      <c r="FE13" s="281" t="str">
        <f t="array" ref="FE13">_xlfn.IFNA(INDEX('DMR 001C NEW'!$A$3:$O$999,MATCH(('001-C DMR'!$ET$6&amp;'001-C DMR'!FE$10&amp;'001-C DMR'!$B13),('DMR 001C NEW'!$E$3:$E$1112&amp;'DMR 001C NEW'!$B$3:$B$1112&amp;'DMR 001C NEW'!$A$3:$A$1112),0),MATCH('001-C DMR'!$EY$11,'DMR 001C NEW'!$A$2:$O$2,0)),"")</f>
        <v/>
      </c>
      <c r="FF13" s="57" t="str">
        <f t="shared" ref="FF13:FF42" si="22">IF(FH13&lt;FG13,"&lt;","")</f>
        <v/>
      </c>
      <c r="FG13" s="56">
        <f t="array" ref="FG13">_xlfn.IFNA(INDEX('DMR 001C NEW'!$A$3:$O$9999,MATCH(('001-C DMR'!$FF$6&amp;'001-C DMR'!$FF$10&amp;'001-C DMR'!$B13),('DMR 001C NEW'!$E$3:$E$7246&amp;'DMR 001C NEW'!$B$3:$B$7246&amp;'DMR 001C NEW'!$A$3:$A$7246),0),MATCH('001-C DMR'!$FG$11,'DMR 001C NEW'!$A$2:$O$2,0)),"")</f>
        <v>0</v>
      </c>
      <c r="FH13" s="56">
        <f t="array" ref="FH13">_xlfn.IFNA(INDEX('DMR 001C NEW'!$A$3:$O$9999,MATCH(('001-C DMR'!$FF$6&amp;'001-C DMR'!$FF$10&amp;'001-C DMR'!$B13),('DMR 001C NEW'!$E$3:$E$7246&amp;'DMR 001C NEW'!$B$3:$B$7246&amp;'DMR 001C NEW'!$A$3:$A$7246),0),MATCH('001-C DMR'!$FH$11,'DMR 001C NEW'!$A$2:$O$2,0)),"")</f>
        <v>4</v>
      </c>
      <c r="FI13" s="57" t="str">
        <f t="shared" ref="FI13:FI42" si="23">IF(FK13&lt;FJ13,"&lt;","")</f>
        <v/>
      </c>
      <c r="FJ13" s="56">
        <f t="array" ref="FJ13">_xlfn.IFNA(INDEX('DMR 001C NEW'!$A$3:$O$9999,MATCH(('001-C DMR'!$FF$6&amp;'001-C DMR'!$FI$10&amp;'001-C DMR'!$B13),('DMR 001C NEW'!$E$3:$E$7246&amp;'DMR 001C NEW'!$B$3:$B$7246&amp;'DMR 001C NEW'!$A$3:$A$7246),0),MATCH('001-C DMR'!$FG$11,'DMR 001C NEW'!$A$2:$O$2,0)),"")</f>
        <v>0</v>
      </c>
      <c r="FK13" s="56">
        <f t="array" ref="FK13">_xlfn.IFNA(INDEX('DMR 001C NEW'!$A$3:$O$9999,MATCH(('001-C DMR'!$FF$6&amp;'001-C DMR'!$FI$10&amp;'001-C DMR'!$B13),('DMR 001C NEW'!$E$3:$E$7246&amp;'DMR 001C NEW'!$B$3:$B$7246&amp;'DMR 001C NEW'!$A$3:$A$7246),0),MATCH('001-C DMR'!$FH$11,'DMR 001C NEW'!$A$2:$O$2,0)),"")</f>
        <v>3</v>
      </c>
      <c r="FL13" s="56">
        <f t="array" ref="FL13">IFERROR((($FH13*$EI13)+($FK13*$EJ13))/($EK13),"")</f>
        <v>3.4396837255937442</v>
      </c>
      <c r="FM13" s="56" t="str">
        <f t="shared" si="3"/>
        <v/>
      </c>
      <c r="FN13" s="64" t="str">
        <f>IF($A13="Sat",COUNT(FL6:FL13),"")</f>
        <v/>
      </c>
      <c r="FO13" s="66"/>
      <c r="FP13" s="280" t="str">
        <f t="array" ref="FP13">_xlfn.IFNA(INDEX('DMR 001C NEW'!$A$3:$O$999,MATCH(('001-C DMR'!$FF$6&amp;'001-C DMR'!FP$10&amp;'001-C DMR'!$B13),('DMR 001C NEW'!$E$3:$E$1112&amp;'DMR 001C NEW'!$B$3:$B$1112&amp;'DMR 001C NEW'!$A$3:$A$1112),0),MATCH('001-C DMR'!$FH$11,'DMR 001C NEW'!$A$2:$O$2,0)),"")</f>
        <v/>
      </c>
      <c r="FQ13" s="280" t="str">
        <f t="array" ref="FQ13">_xlfn.IFNA(INDEX('DMR 001C NEW'!$A$3:$O$999,MATCH(('001-C DMR'!$FF$6&amp;'001-C DMR'!FQ$10&amp;'001-C DMR'!$B13),('DMR 001C NEW'!$E$3:$E$1112&amp;'DMR 001C NEW'!$B$3:$B$1112&amp;'DMR 001C NEW'!$A$3:$A$1112),0),MATCH('001-C DMR'!$FH$11,'DMR 001C NEW'!$A$2:$O$2,0)),"")</f>
        <v/>
      </c>
      <c r="FR13" s="280" t="str">
        <f t="array" ref="FR13">_xlfn.IFNA(INDEX('DMR 001C NEW'!$A$3:$O$999,MATCH(('001-C DMR'!$FF$6&amp;'001-C DMR'!FR$10&amp;'001-C DMR'!$B13),('DMR 001C NEW'!$E$3:$E$1112&amp;'DMR 001C NEW'!$B$3:$B$1112&amp;'DMR 001C NEW'!$A$3:$A$1112),0),MATCH('001-C DMR'!$FH$11,'DMR 001C NEW'!$A$2:$O$2,0)),"")</f>
        <v/>
      </c>
      <c r="FS13" s="280" t="str">
        <f t="array" ref="FS13">_xlfn.IFNA(INDEX('DMR 001C NEW'!$A$3:$O$999,MATCH(('001-C DMR'!$FF$6&amp;'001-C DMR'!FS$10&amp;'001-C DMR'!$B13),('DMR 001C NEW'!$E$3:$E$1112&amp;'DMR 001C NEW'!$B$3:$B$1112&amp;'DMR 001C NEW'!$A$3:$A$1112),0),MATCH('001-C DMR'!$FH$11,'DMR 001C NEW'!$A$2:$O$2,0)),"")</f>
        <v/>
      </c>
      <c r="FT13" s="280" t="str">
        <f t="array" ref="FT13">_xlfn.IFNA(INDEX('DMR 001C NEW'!$A$3:$O$999,MATCH(('001-C DMR'!$FF$6&amp;'001-C DMR'!FT$10&amp;'001-C DMR'!$B13),('DMR 001C NEW'!$E$3:$E$1112&amp;'DMR 001C NEW'!$B$3:$B$1112&amp;'DMR 001C NEW'!$A$3:$A$1112),0),MATCH('001-C DMR'!$FH$11,'DMR 001C NEW'!$A$2:$O$2,0)),"")</f>
        <v/>
      </c>
      <c r="FU13" s="280" t="str">
        <f t="array" ref="FU13">_xlfn.IFNA(INDEX('DMR 001C NEW'!$A$3:$O$999,MATCH(('001-C DMR'!$FF$6&amp;'001-C DMR'!FU$10&amp;'001-C DMR'!$B13),('DMR 001C NEW'!$E$3:$E$1112&amp;'DMR 001C NEW'!$B$3:$B$1112&amp;'DMR 001C NEW'!$A$3:$A$1112),0),MATCH('001-C DMR'!$FH$11,'DMR 001C NEW'!$A$2:$O$2,0)),"")</f>
        <v/>
      </c>
      <c r="FV13" s="66"/>
      <c r="FW13" s="61" t="str">
        <f t="shared" ref="FW13:FW42" si="24">IF(FY13&lt;FX13,"&lt;","")</f>
        <v/>
      </c>
      <c r="FX13" s="58" t="str">
        <f t="array" ref="FX13">_xlfn.IFNA(INDEX('DMR 001C NEW'!$A$3:$O$9999,MATCH(('001-C DMR'!$FW$6&amp;'001-C DMR'!$FW$10&amp;'001-C DMR'!$B13),('DMR 001C NEW'!$E$3:$E$7246&amp;'DMR 001C NEW'!$B$3:$B$7246&amp;'DMR 001C NEW'!$A$3:$A$7246),0),MATCH('001-C DMR'!$FX$11,'DMR 001C NEW'!$A$2:$O$2,0)),"")</f>
        <v/>
      </c>
      <c r="FY13" s="58" t="str">
        <f t="array" ref="FY13">_xlfn.IFNA(INDEX('DMR 001C NEW'!$A$3:$O$9999,MATCH(('001-C DMR'!$FW$6&amp;'001-C DMR'!$FW$10&amp;'001-C DMR'!$B13),('DMR 001C NEW'!$E$3:$E$7246&amp;'DMR 001C NEW'!$B$3:$B$7246&amp;'DMR 001C NEW'!$A$3:$A$7246),0),MATCH('001-C DMR'!$FY$11,'DMR 001C NEW'!$A$2:$O$2,0)),"")</f>
        <v/>
      </c>
      <c r="FZ13" s="57" t="str">
        <f t="shared" ref="FZ13:FZ42" si="25">IF(GB13&lt;GA13,"&lt;","")</f>
        <v/>
      </c>
      <c r="GA13" s="58" t="str">
        <f t="array" ref="GA13">_xlfn.IFNA(INDEX('DMR 001C NEW'!$A$3:$O$9999,MATCH(('001-C DMR'!$FW$6&amp;'001-C DMR'!$FZ$10&amp;'001-C DMR'!$B13),('DMR 001C NEW'!$E$3:$E$7246&amp;'DMR 001C NEW'!$B$3:$B$7246&amp;'DMR 001C NEW'!$A$3:$A$7246),0),MATCH('001-C DMR'!$FX$11,'DMR 001C NEW'!$A$2:$O$2,0)),"")</f>
        <v/>
      </c>
      <c r="GB13" s="58" t="str">
        <f t="array" ref="GB13">_xlfn.IFNA(INDEX('DMR 001C NEW'!$A$3:$O$9999,MATCH(('001-C DMR'!$FW$6&amp;'001-C DMR'!$FZ$10&amp;'001-C DMR'!$B13),('DMR 001C NEW'!$E$3:$E$7246&amp;'DMR 001C NEW'!$B$3:$B$7246&amp;'DMR 001C NEW'!$A$3:$A$7246),0),MATCH('001-C DMR'!$GB$11,'DMR 001C NEW'!$A$2:$O$2,0)),"")</f>
        <v/>
      </c>
      <c r="GC13" s="56" t="str">
        <f t="shared" si="4"/>
        <v/>
      </c>
      <c r="GD13" s="64" t="str">
        <f>IF($A13="Sat",COUNT(GB6:GB13),"")</f>
        <v/>
      </c>
      <c r="GE13" s="279" t="str">
        <f t="array" ref="GE13">_xlfn.IFNA(INDEX('DMR 001C NEW'!$A$3:$O$999,MATCH(('001-C DMR'!$FW$6&amp;'001-C DMR'!GE$10&amp;'001-C DMR'!$B13),('DMR 001C NEW'!$E$3:$E$1112&amp;'DMR 001C NEW'!$B$3:$B$1112&amp;'DMR 001C NEW'!$A$3:$A$1112),0),MATCH('001-C DMR'!$FY$11,'DMR 001C NEW'!$A$2:$O$2,0)),"")</f>
        <v/>
      </c>
      <c r="GF13" s="280" t="str">
        <f t="array" ref="GF13">_xlfn.IFNA(INDEX('DMR 001C NEW'!$A$3:$O$999,MATCH(('001-C DMR'!$FW$6&amp;'001-C DMR'!GF$10&amp;'001-C DMR'!$B13),('DMR 001C NEW'!$E$3:$E$1112&amp;'DMR 001C NEW'!$B$3:$B$1112&amp;'DMR 001C NEW'!$A$3:$A$1112),0),MATCH('001-C DMR'!$FY$11,'DMR 001C NEW'!$A$2:$O$2,0)),"")</f>
        <v/>
      </c>
      <c r="GG13" s="280" t="str">
        <f t="array" ref="GG13">_xlfn.IFNA(INDEX('DMR 001C NEW'!$A$3:$O$999,MATCH(('001-C DMR'!$FW$6&amp;'001-C DMR'!GG$10&amp;'001-C DMR'!$B13),('DMR 001C NEW'!$E$3:$E$1112&amp;'DMR 001C NEW'!$B$3:$B$1112&amp;'DMR 001C NEW'!$A$3:$A$1112),0),MATCH('001-C DMR'!$FY$11,'DMR 001C NEW'!$A$2:$O$2,0)),"")</f>
        <v/>
      </c>
      <c r="GH13" s="280" t="str">
        <f t="array" ref="GH13">_xlfn.IFNA(INDEX('DMR 001C NEW'!$A$3:$O$999,MATCH(('001-C DMR'!$FW$6&amp;'001-C DMR'!GH$10&amp;'001-C DMR'!$B13),('DMR 001C NEW'!$E$3:$E$1112&amp;'DMR 001C NEW'!$B$3:$B$1112&amp;'DMR 001C NEW'!$A$3:$A$1112),0),MATCH('001-C DMR'!$FY$11,'DMR 001C NEW'!$A$2:$O$2,0)),"")</f>
        <v/>
      </c>
      <c r="GI13" s="280" t="str">
        <f t="array" ref="GI13">_xlfn.IFNA(INDEX('DMR 001C NEW'!$A$3:$O$999,MATCH(('001-C DMR'!$FW$6&amp;'001-C DMR'!GI$10&amp;'001-C DMR'!$B13),('DMR 001C NEW'!$E$3:$E$1112&amp;'DMR 001C NEW'!$B$3:$B$1112&amp;'DMR 001C NEW'!$A$3:$A$1112),0),MATCH('001-C DMR'!$FY$11,'DMR 001C NEW'!$A$2:$O$2,0)),"")</f>
        <v/>
      </c>
      <c r="GJ13" s="281" t="str">
        <f t="array" ref="GJ13">_xlfn.IFNA(INDEX('DMR 001C NEW'!$A$3:$O$999,MATCH(('001-C DMR'!$FW$6&amp;'001-C DMR'!GJ$10&amp;'001-C DMR'!$B13),('DMR 001C NEW'!$E$3:$E$1112&amp;'DMR 001C NEW'!$B$3:$B$1112&amp;'DMR 001C NEW'!$A$3:$A$1112),0),MATCH('001-C DMR'!$FY$11,'DMR 001C NEW'!$A$2:$O$2,0)),"")</f>
        <v/>
      </c>
      <c r="GK13" s="58" t="str">
        <f t="array" ref="GK13">_xlfn.IFNA(INDEX('DMR 001C NEW'!$A$3:$O$9999,MATCH(('001-C DMR'!$GK$6&amp;'001-C DMR'!$GK$10&amp;'001-C DMR'!$B13),('DMR 001C NEW'!$E$3:$E$9018&amp;'DMR 001C NEW'!$B$3:$B$9018&amp;'DMR 001C NEW'!$A$3:$A$9018),0),MATCH('001-C DMR'!$GK$11,'DMR 001C NEW'!$A$2:$O$2,0)),"")</f>
        <v>n</v>
      </c>
      <c r="GL13" s="58" t="str">
        <f t="array" ref="GL13">_xlfn.IFNA(INDEX('DMR 001C NEW'!$A$3:$O$9999,MATCH(('001-C DMR'!$GK$6&amp;'001-C DMR'!$GL$10&amp;'001-C DMR'!$B13),('DMR 001C NEW'!$E$3:$E$9018&amp;'DMR 001C NEW'!$B$3:$B$9018&amp;'DMR 001C NEW'!$A$3:$A$9018),0),MATCH('001-C DMR'!$GK$11,'DMR 001C NEW'!$A$2:$O$2,0)),"")</f>
        <v>n</v>
      </c>
      <c r="GM13" s="134"/>
      <c r="GN13" s="64" t="str">
        <f>IF($A13="Sat",COUNT(GL6:GL13),"")</f>
        <v/>
      </c>
      <c r="GO13" s="134"/>
      <c r="GP13" s="134"/>
      <c r="GQ13" s="134"/>
      <c r="GR13" s="134"/>
      <c r="GS13" s="134"/>
      <c r="GT13" s="134"/>
      <c r="GU13" s="134"/>
      <c r="GV13" s="134"/>
      <c r="GW13" s="134"/>
      <c r="GX13" s="134"/>
      <c r="GY13" s="134"/>
      <c r="GZ13" s="134"/>
      <c r="HA13" s="134"/>
      <c r="HB13" s="134"/>
      <c r="HC13" s="134"/>
      <c r="HD13" s="134"/>
      <c r="HE13" s="134"/>
      <c r="HF13" s="134"/>
      <c r="HG13" s="134"/>
      <c r="HH13" s="134"/>
      <c r="HI13" s="134"/>
      <c r="HJ13" s="134"/>
      <c r="HK13" s="134"/>
      <c r="HL13" s="134"/>
      <c r="HM13" s="134"/>
      <c r="HN13" s="134"/>
      <c r="HO13" s="134"/>
      <c r="HP13" s="134"/>
      <c r="HQ13" s="134"/>
      <c r="HR13" s="134"/>
      <c r="HS13" s="134"/>
      <c r="HT13" s="134"/>
      <c r="HU13" s="134"/>
      <c r="HV13" s="134"/>
      <c r="HW13" s="134"/>
      <c r="HX13" s="134"/>
      <c r="HY13" s="134"/>
      <c r="HZ13" s="134"/>
      <c r="IA13" s="134"/>
      <c r="IB13" s="134"/>
      <c r="IC13" s="134"/>
      <c r="ID13" s="134"/>
      <c r="IE13" s="134"/>
      <c r="IF13" s="134"/>
      <c r="IG13" s="134"/>
      <c r="IH13" s="134"/>
      <c r="II13" s="134"/>
      <c r="IJ13" s="134"/>
      <c r="IK13" s="134"/>
      <c r="IL13" s="134"/>
      <c r="IM13" s="134"/>
      <c r="IN13" s="134"/>
      <c r="IO13" s="134"/>
      <c r="IP13" s="134"/>
      <c r="IQ13" s="134"/>
      <c r="IR13" s="134"/>
      <c r="IS13" s="134"/>
      <c r="IT13" s="134"/>
      <c r="IU13" s="134"/>
      <c r="IV13" s="134"/>
      <c r="IW13" s="134"/>
      <c r="IX13" s="134"/>
      <c r="IY13" s="134"/>
      <c r="IZ13" s="134"/>
      <c r="JA13" s="134"/>
      <c r="JB13" s="134"/>
      <c r="JC13" s="134"/>
      <c r="JD13" s="134"/>
      <c r="JE13" s="134"/>
      <c r="JF13" s="134"/>
      <c r="JG13" s="134"/>
      <c r="JH13" s="134"/>
      <c r="JI13" s="134"/>
      <c r="JJ13" s="134"/>
      <c r="JK13" s="134"/>
      <c r="JL13" s="134"/>
      <c r="JM13" s="134"/>
      <c r="JN13" s="134"/>
      <c r="JO13" s="134"/>
      <c r="JP13" s="134"/>
      <c r="JQ13" s="134"/>
      <c r="JR13" s="134"/>
      <c r="JS13" s="134"/>
      <c r="JT13" s="134"/>
      <c r="JU13" s="134"/>
      <c r="JV13" s="134"/>
    </row>
    <row r="14" spans="1:282" s="51" customFormat="1" x14ac:dyDescent="0.25">
      <c r="A14" s="67" t="str">
        <f t="shared" si="5"/>
        <v>Tue</v>
      </c>
      <c r="B14" s="216">
        <f t="shared" ref="B14:B46" si="26">B13+1</f>
        <v>43676</v>
      </c>
      <c r="C14" s="93">
        <f t="array" ref="C14">INDEX('DMR 001C NEW'!$A$3:$N$10020,MATCH(('001-C DMR'!$C$6:$K$6&amp;'001-C DMR'!$C$10:$E$10&amp;'001-C DMR'!$B14),('DMR 001C NEW'!$E$3:$E$7246&amp;'DMR 001C NEW'!$B$3:$B$7246&amp;'DMR 001C NEW'!$A$3:$A$7246),0),MATCH('001-C DMR'!$C$11,'DMR 001C NEW'!$A$2:$O$2,0))</f>
        <v>5.9</v>
      </c>
      <c r="D14" s="56" t="str">
        <f t="array" ref="D14">INDEX('DMR 001C NEW'!$A$3:$N$11771,MATCH(('001-C DMR'!$C$6:$K$6&amp;'001-C DMR'!$C$10:$E$10&amp;'001-C DMR'!$B14),('DMR 001C NEW'!$E$3:$E$9018&amp;'DMR 001C NEW'!$B$3:$B$9018&amp;'DMR 001C NEW'!$A$3:$A$9018),0),MATCH('001-C DMR'!$D$11,'DMR 001C NEW'!$A$2:$O$2,0))</f>
        <v>AE67637</v>
      </c>
      <c r="E14" s="56">
        <f t="array" ref="E14">INDEX('DMR 001C NEW'!$A$3:$N$9999,MATCH(('001-C DMR'!$E$11&amp;'001-C DMR'!$C$10:$E$10&amp;'001-C DMR'!$B14&amp;$D14),('DMR 001C NEW'!$E$3:$E$7246&amp;'DMR 001C NEW'!$B$3:$B$7246&amp;'DMR 001C NEW'!$A$3:$A$7246&amp;'DMR 001C NEW'!$M$3:$M$7188),0),MATCH($C$11,'DMR 001C NEW'!$A$2:$O$2,0))</f>
        <v>49.93</v>
      </c>
      <c r="F14" s="56">
        <f t="array" ref="F14">INDEX('DMR 001C NEW'!$A$3:$N$9999,MATCH('001-C DMR'!$C$6:$K$6&amp;'001-C DMR'!$F$10&amp;'001-C DMR'!$B14,('DMR 001C NEW'!$E$3:$E$7246&amp;'DMR 001C NEW'!$B$3:$B$7246&amp;'DMR 001C NEW'!$A$3:$A$7246),0),MATCH('001-C DMR'!$C$11,'DMR 001C NEW'!$A$2:$O$2,0))</f>
        <v>6.6</v>
      </c>
      <c r="G14" s="56" t="str">
        <f t="array" ref="G14">INDEX('DMR 001C NEW'!$A$3:$N$3865,MATCH(('001-C DMR'!$C$6:$K$6&amp;'001-C DMR'!$F$10&amp;'001-C DMR'!$B14),('DMR 001C NEW'!$E$3:$E$1112&amp;'DMR 001C NEW'!$B$3:$B$1112&amp;'DMR 001C NEW'!$A$3:$A$1112),0),MATCH('001-C DMR'!$D$11,'DMR 001C NEW'!$A$2:$O$2,0))</f>
        <v>AE67638</v>
      </c>
      <c r="H14" s="56">
        <f t="array" ref="H14">INDEX('DMR 001C NEW'!$A$3:$N$9999,MATCH(('001-C DMR'!$E$11&amp;'001-C DMR'!$F$10&amp;'001-C DMR'!$B14&amp;$G14),('DMR 001C NEW'!$E$3:$E$7246&amp;'DMR 001C NEW'!$B$3:$B$7246&amp;'DMR 001C NEW'!$A$3:$A$7246&amp;'DMR 001C NEW'!$M$3:$M$7188),0),MATCH($C$11,'DMR 001C NEW'!$A$2:$O$2,0))</f>
        <v>65.16</v>
      </c>
      <c r="I14" s="56">
        <f t="shared" si="0"/>
        <v>6.2963159266660869</v>
      </c>
      <c r="J14" s="58" t="str">
        <f t="shared" si="1"/>
        <v/>
      </c>
      <c r="K14" s="64" t="str">
        <f>IF($A14="Sat",COUNT(I7:I14),"")</f>
        <v/>
      </c>
      <c r="L14" s="262" t="str">
        <f t="array" ref="L14">_xlfn.IFNA(INDEX('DMR 001C NEW'!$A$3:$N$3865,MATCH(('001-C DMR'!$C$6:$K$6&amp;'001-C DMR'!L$10&amp;'001-C DMR'!$B14),('DMR 001C NEW'!$E$3:$E$1112&amp;'DMR 001C NEW'!$B$3:$B$1112&amp;'DMR 001C NEW'!$A$3:$A$1112),0),MATCH('001-C DMR'!$C$11,'DMR 001C NEW'!$A$2:$O$2,0)),"")</f>
        <v/>
      </c>
      <c r="M14" s="262" t="str">
        <f t="array" ref="M14">_xlfn.IFNA(INDEX('DMR 001C NEW'!$A$3:$N$3865,MATCH(('001-C DMR'!$C$6:$K$6&amp;'001-C DMR'!M$10&amp;'001-C DMR'!$B14),('DMR 001C NEW'!$E$3:$E$1112&amp;'DMR 001C NEW'!$B$3:$B$1112&amp;'DMR 001C NEW'!$A$3:$A$1112),0),MATCH('001-C DMR'!$C$11,'DMR 001C NEW'!$A$2:$O$2,0)),"")</f>
        <v/>
      </c>
      <c r="N14" s="262" t="str">
        <f t="array" ref="N14">_xlfn.IFNA(INDEX('DMR 001C NEW'!$A$3:$N$3865,MATCH(('001-C DMR'!$C$6:$K$6&amp;'001-C DMR'!N$10&amp;'001-C DMR'!$B14),('DMR 001C NEW'!$E$3:$E$1112&amp;'DMR 001C NEW'!$B$3:$B$1112&amp;'DMR 001C NEW'!$A$3:$A$1112),0),MATCH('001-C DMR'!$C$11,'DMR 001C NEW'!$A$2:$O$2,0)),"")</f>
        <v/>
      </c>
      <c r="O14" s="262" t="str">
        <f t="array" ref="O14">_xlfn.IFNA(INDEX('DMR 001C NEW'!$A$3:$N$3865,MATCH(('001-C DMR'!$C$6:$K$6&amp;'001-C DMR'!O$10&amp;'001-C DMR'!$B14),('DMR 001C NEW'!$E$3:$E$1112&amp;'DMR 001C NEW'!$B$3:$B$1112&amp;'DMR 001C NEW'!$A$3:$A$1112),0),MATCH('001-C DMR'!$C$11,'DMR 001C NEW'!$A$2:$O$2,0)),"")</f>
        <v/>
      </c>
      <c r="P14" s="262" t="str">
        <f t="array" ref="P14">_xlfn.IFNA(INDEX('DMR 001C NEW'!$A$3:$N$3865,MATCH(('001-C DMR'!$C$6:$K$6&amp;'001-C DMR'!P$10&amp;'001-C DMR'!$B14),('DMR 001C NEW'!$E$3:$E$1112&amp;'DMR 001C NEW'!$B$3:$B$1112&amp;'DMR 001C NEW'!$A$3:$A$1112),0),MATCH('001-C DMR'!$C$11,'DMR 001C NEW'!$A$2:$O$2,0)),"")</f>
        <v/>
      </c>
      <c r="Q14" s="120" t="e">
        <f t="array" ref="Q14">INDEX('DMR 001C NEW'!$A$3:$N$3865,MATCH(('001-C DMR'!$C$6:$K$6&amp;'001-C DMR'!Q$10&amp;'001-C DMR'!$B14),('DMR 001C NEW'!$E$3:$E$1112&amp;'DMR 001C NEW'!$B$3:$B$1112&amp;'DMR 001C NEW'!$A$3:$A$1112),0),MATCH('001-C DMR'!$C$11,'DMR 001C NEW'!$A$2:$O$2,0))</f>
        <v>#N/A</v>
      </c>
      <c r="R14" s="61"/>
      <c r="S14" s="56">
        <f t="array" ref="S14">_xlfn.IFNA(INDEX('DMR 001C NEW'!$A$3:$N$11771,MATCH(('001-C DMR'!$R$6:$T$6&amp;'001-C DMR'!$R$10&amp;'001-C DMR'!$B14),('DMR 001C NEW'!$E$3:$E$9018&amp;'DMR 001C NEW'!$B$3:$B$9018&amp;'DMR 001C NEW'!$A$3:$A$9018),0),MATCH('001-C DMR'!$S$11,'DMR 001C NEW'!$A$2:$O$2,0)),"")</f>
        <v>7.1</v>
      </c>
      <c r="T14" s="55"/>
      <c r="U14" s="262" t="str">
        <f t="array" ref="U14">_xlfn.IFNA(INDEX('DMR 001C NEW'!$A$3:$O$591,MATCH('001-C DMR'!$R$6:$T$6&amp;'001-C DMR'!U$10&amp;'001-C DMR'!$B14,('DMR 001C NEW'!$E$3:$E$704&amp;'DMR 001C NEW'!$B$3:$B$704&amp;'DMR 001C NEW'!$A$3:$A$704),0),MATCH('001-C DMR'!$U$11,'DMR 001C NEW'!$A$2:$O$2,0)),"")</f>
        <v/>
      </c>
      <c r="V14" s="262" t="str">
        <f t="array" ref="V14">_xlfn.IFNA(INDEX('DMR 001C NEW'!$A$3:$O$591,MATCH('001-C DMR'!$R$6:$T$6&amp;'001-C DMR'!V$10&amp;'001-C DMR'!$B14,('DMR 001C NEW'!$E$3:$E$704&amp;'DMR 001C NEW'!$B$3:$B$704&amp;'DMR 001C NEW'!$A$3:$A$704),0),MATCH('001-C DMR'!$U$11,'DMR 001C NEW'!$A$2:$O$2,0)),"")</f>
        <v/>
      </c>
      <c r="W14" s="262" t="str">
        <f t="array" ref="W14">_xlfn.IFNA(INDEX('DMR 001C NEW'!$A$3:$O$591,MATCH('001-C DMR'!$R$6:$T$6&amp;'001-C DMR'!W$10&amp;'001-C DMR'!$B14,('DMR 001C NEW'!$E$3:$E$704&amp;'DMR 001C NEW'!$B$3:$B$704&amp;'DMR 001C NEW'!$A$3:$A$704),0),MATCH('001-C DMR'!$U$11,'DMR 001C NEW'!$A$2:$O$2,0)),"")</f>
        <v/>
      </c>
      <c r="X14" s="262" t="str">
        <f t="array" ref="X14">_xlfn.IFNA(INDEX('DMR 001C NEW'!$A$3:$O$591,MATCH('001-C DMR'!$R$6:$T$6&amp;'001-C DMR'!X$10&amp;'001-C DMR'!$B14,('DMR 001C NEW'!$E$3:$E$704&amp;'DMR 001C NEW'!$B$3:$B$704&amp;'DMR 001C NEW'!$A$3:$A$704),0),MATCH('001-C DMR'!$U$11,'DMR 001C NEW'!$A$2:$O$2,0)),"")</f>
        <v/>
      </c>
      <c r="Y14" s="262" t="str">
        <f t="array" ref="Y14">_xlfn.IFNA(INDEX('DMR 001C NEW'!$A$3:$O$591,MATCH('001-C DMR'!$R$6:$T$6&amp;'001-C DMR'!Y$10&amp;'001-C DMR'!$B14,('DMR 001C NEW'!$E$3:$E$704&amp;'DMR 001C NEW'!$B$3:$B$704&amp;'DMR 001C NEW'!$A$3:$A$704),0),MATCH('001-C DMR'!$U$11,'DMR 001C NEW'!$A$2:$O$2,0)),"")</f>
        <v/>
      </c>
      <c r="Z14" s="262" t="str">
        <f t="array" ref="Z14">_xlfn.IFNA(INDEX('DMR 001C NEW'!$A$3:$O$591,MATCH('001-C DMR'!$R$6:$T$6&amp;'001-C DMR'!Z$10&amp;'001-C DMR'!$B14,('DMR 001C NEW'!$E$3:$E$704&amp;'DMR 001C NEW'!$B$3:$B$704&amp;'DMR 001C NEW'!$A$3:$A$704),0),MATCH('001-C DMR'!$U$11,'DMR 001C NEW'!$A$2:$O$2,0)),"")</f>
        <v/>
      </c>
      <c r="AA14" s="262" t="str">
        <f t="array" ref="AA14">_xlfn.IFNA(INDEX('DMR 001C NEW'!$A$3:$O$591,MATCH('001-C DMR'!$R$6:$T$6&amp;'001-C DMR'!AA$10&amp;'001-C DMR'!$B14,('DMR 001C NEW'!$E$3:$E$704&amp;'DMR 001C NEW'!$B$3:$B$704&amp;'DMR 001C NEW'!$A$3:$A$704),0),MATCH('001-C DMR'!$U$11,'DMR 001C NEW'!$A$2:$O$2,0)),"")</f>
        <v/>
      </c>
      <c r="AB14" s="61" t="str">
        <f t="array" ref="AB14">IF(AD14&lt;AC14,"&lt;","")</f>
        <v/>
      </c>
      <c r="AC14" s="56">
        <f t="array" ref="AC14">_xlfn.IFNA(INDEX('DMR 001C NEW'!$A$3:$O$9999,MATCH(('001-C DMR'!$AB$6:$AJ$6&amp;'001-C DMR'!$AB$10:$AD$10&amp;'001-C DMR'!$B14),('DMR 001C NEW'!$E$3:$E$7246&amp;'DMR 001C NEW'!$B$3:$B$7246&amp;'DMR 001C NEW'!$A$3:$A$7246),0),MATCH('001-C DMR'!$AC$11,'DMR 001C NEW'!$A$2:$O$2,0)),"")</f>
        <v>3</v>
      </c>
      <c r="AD14" s="56">
        <f t="array" ref="AD14">_xlfn.IFNA(INDEX('DMR 001C NEW'!$A$3:$O$9999,MATCH(('001-C DMR'!$AB$6:$AJ$6&amp;'001-C DMR'!$AB$10:$AD$10&amp;'001-C DMR'!$B14),('DMR 001C NEW'!$E$3:$E$7246&amp;'DMR 001C NEW'!$B$3:$B$7246&amp;'DMR 001C NEW'!$A$3:$A$7246),0),MATCH('001-C DMR'!$AD$11,'DMR 001C NEW'!$A$2:$O$2,0)),"")</f>
        <v>10</v>
      </c>
      <c r="AE14" s="57" t="str">
        <f t="array" ref="AE14">IF(AG14&lt;AF14,"&lt;","")</f>
        <v/>
      </c>
      <c r="AF14" s="56">
        <f t="array" ref="AF14">_xlfn.IFNA(INDEX('DMR 001C NEW'!$A$3:$O$9999,MATCH(('001-C DMR'!$AB$6:$AJ$6&amp;'001-C DMR'!$AE$10&amp;'001-C DMR'!$B14),('DMR 001C NEW'!$E$3:$E$9018&amp;'DMR 001C NEW'!$B$3:$B$9018&amp;'DMR 001C NEW'!$A$3:$A$9018),0),MATCH('001-C DMR'!$AF$11,'DMR 001C NEW'!$A$2:$O$2,0)),"")</f>
        <v>3</v>
      </c>
      <c r="AG14" s="56">
        <f t="array" ref="AG14">_xlfn.IFNA(INDEX('DMR 001C NEW'!$A$3:$O$9999,MATCH(('001-C DMR'!$AB$6:$AJ$6&amp;'001-C DMR'!$AE$10&amp;'001-C DMR'!$B14),('DMR 001C NEW'!$E$3:$E$9018&amp;'DMR 001C NEW'!$B$3:$B$9018&amp;'DMR 001C NEW'!$A$3:$A$9018),0),MATCH('001-C DMR'!$AG$11,'DMR 001C NEW'!$A$2:$O$2,0)),"")</f>
        <v>10</v>
      </c>
      <c r="AH14" s="56">
        <f t="array" ref="AH14">IFERROR((($AD14*$EI14)+($AG14*$EJ14))/($EK14),"")</f>
        <v>10.000000000000002</v>
      </c>
      <c r="AI14" s="56" t="str">
        <f t="shared" si="2"/>
        <v/>
      </c>
      <c r="AJ14" s="64" t="str">
        <f>IF($A14="Sat",COUNT(AH7:AH14),"")</f>
        <v/>
      </c>
      <c r="AK14" s="262" t="str">
        <f t="array" ref="AK14">_xlfn.IFNA(INDEX('DMR 001C NEW'!$A$3:$O$999,MATCH(('001-C DMR'!$AB$6:$AJ$6&amp;'001-C DMR'!AK$10&amp;'001-C DMR'!$B14),('DMR 001C NEW'!$E$3:$E$1112&amp;'DMR 001C NEW'!$B$3:$B$1112&amp;'DMR 001C NEW'!$A$3:$A$1112),0),MATCH('001-C DMR'!$AD$11,'DMR 001C NEW'!$A$2:$O$2,0)),"")</f>
        <v/>
      </c>
      <c r="AL14" s="262" t="str">
        <f t="array" ref="AL14">_xlfn.IFNA(INDEX('DMR 001C NEW'!$A$3:$O$999,MATCH(('001-C DMR'!$AB$6:$AJ$6&amp;'001-C DMR'!AL$10&amp;'001-C DMR'!$B14),('DMR 001C NEW'!$E$3:$E$1112&amp;'DMR 001C NEW'!$B$3:$B$1112&amp;'DMR 001C NEW'!$A$3:$A$1112),0),MATCH('001-C DMR'!$AD$11,'DMR 001C NEW'!$A$2:$O$2,0)),"")</f>
        <v/>
      </c>
      <c r="AM14" s="262" t="str">
        <f t="array" ref="AM14">_xlfn.IFNA(INDEX('DMR 001C NEW'!$A$3:$O$999,MATCH(('001-C DMR'!$AB$6:$AJ$6&amp;'001-C DMR'!AM$10&amp;'001-C DMR'!$B14),('DMR 001C NEW'!$E$3:$E$1112&amp;'DMR 001C NEW'!$B$3:$B$1112&amp;'DMR 001C NEW'!$A$3:$A$1112),0),MATCH('001-C DMR'!$AD$11,'DMR 001C NEW'!$A$2:$O$2,0)),"")</f>
        <v/>
      </c>
      <c r="AN14" s="262" t="str">
        <f t="array" ref="AN14">_xlfn.IFNA(INDEX('DMR 001C NEW'!$A$3:$O$999,MATCH(('001-C DMR'!$AB$6:$AJ$6&amp;'001-C DMR'!AN$10&amp;'001-C DMR'!$B14),('DMR 001C NEW'!$E$3:$E$1112&amp;'DMR 001C NEW'!$B$3:$B$1112&amp;'DMR 001C NEW'!$A$3:$A$1112),0),MATCH('001-C DMR'!$AD$11,'DMR 001C NEW'!$A$2:$O$2,0)),"")</f>
        <v/>
      </c>
      <c r="AO14" s="262" t="str">
        <f t="array" ref="AO14">_xlfn.IFNA(INDEX('DMR 001C NEW'!$A$3:$O$999,MATCH(('001-C DMR'!$AB$6:$AJ$6&amp;'001-C DMR'!AO$10&amp;'001-C DMR'!$B14),('DMR 001C NEW'!$E$3:$E$1112&amp;'DMR 001C NEW'!$B$3:$B$1112&amp;'DMR 001C NEW'!$A$3:$A$1112),0),MATCH('001-C DMR'!$AD$11,'DMR 001C NEW'!$A$2:$O$2,0)),"")</f>
        <v/>
      </c>
      <c r="AP14" s="262" t="str">
        <f t="array" ref="AP14">_xlfn.IFNA(INDEX('DMR 001C NEW'!$A$3:$O$999,MATCH(('001-C DMR'!$AB$6:$AJ$6&amp;'001-C DMR'!AP$10&amp;'001-C DMR'!$B14),('DMR 001C NEW'!$E$3:$E$1112&amp;'DMR 001C NEW'!$B$3:$B$1112&amp;'DMR 001C NEW'!$A$3:$A$1112),0),MATCH('001-C DMR'!$AD$11,'DMR 001C NEW'!$A$2:$O$2,0)),"")</f>
        <v/>
      </c>
      <c r="AQ14" s="61" t="str">
        <f t="array" ref="AQ14">IF(AS14&lt;AR14,"&lt;","")</f>
        <v/>
      </c>
      <c r="AR14" s="58" t="str">
        <f t="array" ref="AR14">_xlfn.IFNA((INDEX('DMR 001C NEW'!$A$3:$O$9999,MATCH(('001-C DMR'!$AQ$6:$AZ$6&amp;'001-C DMR'!$AQ$10:$AS$10&amp;'001-C DMR'!$B14),('DMR 001C NEW'!$E$3:$E$7246&amp;'DMR 001C NEW'!$B$3:$B$7246&amp;'DMR 001C NEW'!$A$3:$A$7246),0),MATCH('001-C DMR'!$AR$11,'DMR 001C NEW'!$A$2:$O$2,0))),"")</f>
        <v/>
      </c>
      <c r="AS14" s="58" t="str">
        <f t="array" ref="AS14">_xlfn.IFNA(INDEX('DMR 001C NEW'!$A$3:$O$9999,MATCH(('001-C DMR'!$AQ$6:$AZ$6&amp;'001-C DMR'!$AQ$10:$AS$10&amp;'001-C DMR'!$B14),('DMR 001C NEW'!$E$3:$E$7246&amp;'DMR 001C NEW'!$B$3:$B$7246&amp;'DMR 001C NEW'!$A$3:$A$7246),0),MATCH('001-C DMR'!$AS$11,'DMR 001C NEW'!$A$2:$O$2,0)),"")</f>
        <v/>
      </c>
      <c r="AT14" s="58" t="str">
        <f t="shared" ref="AT14:AT46" si="27">IF(AS14&lt;AR14,0,AS14)</f>
        <v/>
      </c>
      <c r="AU14" s="57" t="str">
        <f t="array" ref="AU14">IF(AW14&lt;AV14,"&lt;","")</f>
        <v/>
      </c>
      <c r="AV14" s="58" t="str">
        <f t="array" ref="AV14">_xlfn.IFNA((INDEX('DMR 001C NEW'!$A$3:$O$9999,MATCH(('001-C DMR'!$AQ$6:$AZ$6&amp;'001-C DMR'!$AU$10&amp;'001-C DMR'!$B14),('DMR 001C NEW'!$E$3:$E$7246&amp;'DMR 001C NEW'!$B$3:$B$7246&amp;'DMR 001C NEW'!$A$3:$A$7246),0),MATCH('001-C DMR'!$AR$11,'DMR 001C NEW'!$A$2:$O$2,0))),"")</f>
        <v/>
      </c>
      <c r="AW14" s="58" t="str">
        <f t="array" ref="AW14">_xlfn.IFNA(INDEX('DMR 001C NEW'!$A$3:$O$9999,MATCH(('001-C DMR'!$AQ$6:$AZ$6&amp;'001-C DMR'!$AU$10&amp;'001-C DMR'!$B14),('DMR 001C NEW'!$E$3:$E$7246&amp;'DMR 001C NEW'!$B$3:$B$7246&amp;'DMR 001C NEW'!$A$3:$A$7246),0),MATCH('001-C DMR'!$AW$11,'DMR 001C NEW'!$A$2:$O$2,0)),"")</f>
        <v/>
      </c>
      <c r="AX14" s="58" t="str">
        <f t="shared" si="6"/>
        <v/>
      </c>
      <c r="AY14" s="56" t="str">
        <f t="array" ref="AY14">IFERROR((($AT14*$EI14)+($AX14*$EJ14))/($EK14),"")</f>
        <v/>
      </c>
      <c r="AZ14" s="64" t="str">
        <f>IF($A14="Sat",COUNT(AW7:AW14),"")</f>
        <v/>
      </c>
      <c r="BA14" s="279" t="str">
        <f t="array" ref="BA14">_xlfn.IFNA(INDEX('DMR 001C NEW'!$A$3:$O$9999,MATCH(('001-C DMR'!$AQ$6:$AZ$6&amp;'001-C DMR'!BA$10&amp;'001-C DMR'!$B14),('DMR 001C NEW'!$E$3:$E$1112&amp;'DMR 001C NEW'!$B$3:$B$1112&amp;'DMR 001C NEW'!$A$3:$A$1112),0),MATCH('001-C DMR'!$BA$11,'DMR 001C NEW'!$A$2:$O$2,0)),"")</f>
        <v/>
      </c>
      <c r="BB14" s="280" t="str">
        <f t="array" ref="BB14">_xlfn.IFNA(INDEX('DMR 001C NEW'!$A$3:$O$9999,MATCH(('001-C DMR'!$AQ$6:$AZ$6&amp;'001-C DMR'!BB$10&amp;'001-C DMR'!$B14),('DMR 001C NEW'!$E$3:$E$1112&amp;'DMR 001C NEW'!$B$3:$B$1112&amp;'DMR 001C NEW'!$A$3:$A$1112),0),MATCH('001-C DMR'!$BA$11,'DMR 001C NEW'!$A$2:$O$2,0)),"")</f>
        <v/>
      </c>
      <c r="BC14" s="280" t="str">
        <f t="array" ref="BC14">_xlfn.IFNA(INDEX('DMR 001C NEW'!$A$3:$O$9999,MATCH(('001-C DMR'!$AQ$6:$AZ$6&amp;'001-C DMR'!BC$10&amp;'001-C DMR'!$B14),('DMR 001C NEW'!$E$3:$E$1112&amp;'DMR 001C NEW'!$B$3:$B$1112&amp;'DMR 001C NEW'!$A$3:$A$1112),0),MATCH('001-C DMR'!$BA$11,'DMR 001C NEW'!$A$2:$O$2,0)),"")</f>
        <v/>
      </c>
      <c r="BD14" s="280" t="str">
        <f t="array" ref="BD14">_xlfn.IFNA(INDEX('DMR 001C NEW'!$A$3:$O$9999,MATCH(('001-C DMR'!$AQ$6:$AZ$6&amp;'001-C DMR'!BD$10&amp;'001-C DMR'!$B14),('DMR 001C NEW'!$E$3:$E$1112&amp;'DMR 001C NEW'!$B$3:$B$1112&amp;'DMR 001C NEW'!$A$3:$A$1112),0),MATCH('001-C DMR'!$BA$11,'DMR 001C NEW'!$A$2:$O$2,0)),"")</f>
        <v/>
      </c>
      <c r="BE14" s="280" t="str">
        <f t="array" ref="BE14">_xlfn.IFNA(INDEX('DMR 001C NEW'!$A$3:$O$9999,MATCH(('001-C DMR'!$AQ$6:$AZ$6&amp;'001-C DMR'!BE$10&amp;'001-C DMR'!$B14),('DMR 001C NEW'!$E$3:$E$1112&amp;'DMR 001C NEW'!$B$3:$B$1112&amp;'DMR 001C NEW'!$A$3:$A$1112),0),MATCH('001-C DMR'!$BA$11,'DMR 001C NEW'!$A$2:$O$2,0)),"")</f>
        <v/>
      </c>
      <c r="BF14" s="281" t="str">
        <f t="array" ref="BF14">_xlfn.IFNA(INDEX('DMR 001C NEW'!$A$3:$O$9999,MATCH(('001-C DMR'!$AQ$6:$AZ$6&amp;'001-C DMR'!BF$10&amp;'001-C DMR'!$B14),('DMR 001C NEW'!$E$3:$E$1112&amp;'DMR 001C NEW'!$B$3:$B$1112&amp;'DMR 001C NEW'!$A$3:$A$1112),0),MATCH('001-C DMR'!$BA$11,'DMR 001C NEW'!$A$2:$O$2,0)),"")</f>
        <v/>
      </c>
      <c r="BG14" s="57"/>
      <c r="BH14" s="58" t="str">
        <f t="array" ref="BH14">_xlfn.IFNA((INDEX('DMR 001C NEW'!$A$3:$O$9999,MATCH(('001-C DMR'!$BG$6&amp;'001-C DMR'!$BG$10&amp;'001-C DMR'!$B14),('DMR 001C NEW'!$E$3:$E$7246&amp;'DMR 001C NEW'!$B$3:$B$7246&amp;'DMR 001C NEW'!$A$3:$A$7246),0),MATCH('001-C DMR'!$BH$11,'DMR 001C NEW'!$A$2:$O$2,0))),"")</f>
        <v/>
      </c>
      <c r="BI14" s="58" t="str">
        <f t="array" ref="BI14">_xlfn.IFNA(INDEX('DMR 001C NEW'!$A$3:$O$9999,MATCH(('001-C DMR'!$BG$6&amp;'001-C DMR'!$BG$10&amp;'001-C DMR'!$B14),('DMR 001C NEW'!$E$3:$E$7246&amp;'DMR 001C NEW'!$B$3:$B$7246&amp;'DMR 001C NEW'!$A$3:$A$7246),0),MATCH('001-C DMR'!$BI$11,'DMR 001C NEW'!$A$2:$O$2,0)),"")</f>
        <v/>
      </c>
      <c r="BJ14" s="58" t="str">
        <f t="shared" si="7"/>
        <v/>
      </c>
      <c r="BK14" s="57" t="str">
        <f t="shared" si="8"/>
        <v/>
      </c>
      <c r="BL14" s="58" t="str">
        <f t="array" ref="BL14">_xlfn.IFNA((INDEX('DMR 001C NEW'!$A$3:$O$9999,MATCH(('001-C DMR'!$BG$6&amp;'001-C DMR'!$BK$10&amp;'001-C DMR'!$B14),('DMR 001C NEW'!$E$3:$E$7246&amp;'DMR 001C NEW'!$B$3:$B$7246&amp;'DMR 001C NEW'!$A$3:$A$7246),0),MATCH('001-C DMR'!$BH$11,'DMR 001C NEW'!$A$2:$O$2,0))),"")</f>
        <v/>
      </c>
      <c r="BM14" s="58" t="str">
        <f t="array" ref="BM14">_xlfn.IFNA(INDEX('DMR 001C NEW'!$A$3:$O$9999,MATCH(('001-C DMR'!$BG$6&amp;'001-C DMR'!$BK$10&amp;'001-C DMR'!$B14),('DMR 001C NEW'!$E$3:$E$7246&amp;'DMR 001C NEW'!$B$3:$B$7246&amp;'DMR 001C NEW'!$A$3:$A$7246),0),MATCH('001-C DMR'!$BI$11,'DMR 001C NEW'!$A$2:$O$2,0)),"")</f>
        <v/>
      </c>
      <c r="BN14" s="58" t="str">
        <f t="shared" si="9"/>
        <v/>
      </c>
      <c r="BO14" s="56" t="str">
        <f t="array" ref="BO14">IFERROR((($BJ14*$EI14)+($BN14*$EJ14))/($EK14),"")</f>
        <v/>
      </c>
      <c r="BP14" s="64" t="str">
        <f>IF($A14="Sat",COUNT(BM7:BM14),"")</f>
        <v/>
      </c>
      <c r="BQ14" s="280" t="str">
        <f t="array" ref="BQ14">_xlfn.IFNA(INDEX('DMR 001C NEW'!$A$3:$O$999,MATCH(('001-C DMR'!$BG$6&amp;'001-C DMR'!BQ$10&amp;'001-C DMR'!$B14),('DMR 001C NEW'!$E$3:$E$1112&amp;'DMR 001C NEW'!$B$3:$B$1112&amp;'DMR 001C NEW'!$A$3:$A$1112),0),MATCH('001-C DMR'!$BQ$11,'DMR 001C NEW'!$A$2:$O$2,0)),"")</f>
        <v/>
      </c>
      <c r="BR14" s="280" t="str">
        <f t="array" ref="BR14">_xlfn.IFNA(INDEX('DMR 001C NEW'!$A$3:$O$999,MATCH(('001-C DMR'!$BG$6&amp;'001-C DMR'!BR$10&amp;'001-C DMR'!$B14),('DMR 001C NEW'!$E$3:$E$1112&amp;'DMR 001C NEW'!$B$3:$B$1112&amp;'DMR 001C NEW'!$A$3:$A$1112),0),MATCH('001-C DMR'!$BQ$11,'DMR 001C NEW'!$A$2:$O$2,0)),"")</f>
        <v/>
      </c>
      <c r="BS14" s="280" t="str">
        <f t="array" ref="BS14">_xlfn.IFNA(INDEX('DMR 001C NEW'!$A$3:$O$999,MATCH(('001-C DMR'!$BG$6&amp;'001-C DMR'!BS$10&amp;'001-C DMR'!$B14),('DMR 001C NEW'!$E$3:$E$1112&amp;'DMR 001C NEW'!$B$3:$B$1112&amp;'DMR 001C NEW'!$A$3:$A$1112),0),MATCH('001-C DMR'!$BQ$11,'DMR 001C NEW'!$A$2:$O$2,0)),"")</f>
        <v/>
      </c>
      <c r="BT14" s="280" t="str">
        <f t="array" ref="BT14">_xlfn.IFNA(INDEX('DMR 001C NEW'!$A$3:$O$999,MATCH(('001-C DMR'!$BG$6&amp;'001-C DMR'!BT$10&amp;'001-C DMR'!$B14),('DMR 001C NEW'!$E$3:$E$1112&amp;'DMR 001C NEW'!$B$3:$B$1112&amp;'DMR 001C NEW'!$A$3:$A$1112),0),MATCH('001-C DMR'!$BQ$11,'DMR 001C NEW'!$A$2:$O$2,0)),"")</f>
        <v/>
      </c>
      <c r="BU14" s="280" t="str">
        <f t="array" ref="BU14">_xlfn.IFNA(INDEX('DMR 001C NEW'!$A$3:$O$999,MATCH(('001-C DMR'!$BG$6&amp;'001-C DMR'!BU$10&amp;'001-C DMR'!$B14),('DMR 001C NEW'!$E$3:$E$1112&amp;'DMR 001C NEW'!$B$3:$B$1112&amp;'DMR 001C NEW'!$A$3:$A$1112),0),MATCH('001-C DMR'!$BQ$11,'DMR 001C NEW'!$A$2:$O$2,0)),"")</f>
        <v/>
      </c>
      <c r="BV14" s="280" t="str">
        <f t="array" ref="BV14">_xlfn.IFNA(INDEX('DMR 001C NEW'!$A$3:$O$999,MATCH(('001-C DMR'!$BG$6&amp;'001-C DMR'!BV$10&amp;'001-C DMR'!$B14),('DMR 001C NEW'!$E$3:$E$1112&amp;'DMR 001C NEW'!$B$3:$B$1112&amp;'DMR 001C NEW'!$A$3:$A$1112),0),MATCH('001-C DMR'!$BQ$11,'DMR 001C NEW'!$A$2:$O$2,0)),"")</f>
        <v/>
      </c>
      <c r="BW14" s="65"/>
      <c r="BX14" s="65"/>
      <c r="BY14" s="57" t="str">
        <f t="shared" si="10"/>
        <v/>
      </c>
      <c r="BZ14" s="58" t="str">
        <f t="array" ref="BZ14">_xlfn.IFNA((INDEX('DMR 001C NEW'!$A$3:$O$9999,MATCH(('001-C DMR'!$BY$6&amp;'001-C DMR'!$BY$10&amp;'001-C DMR'!$B14),('DMR 001C NEW'!$E$3:$E$7246&amp;'DMR 001C NEW'!$B$3:$B$7246&amp;'DMR 001C NEW'!$A$3:$A$7246),0),MATCH('001-C DMR'!$BZ$11,'DMR 001C NEW'!$A$2:$O$2,0))),"")</f>
        <v/>
      </c>
      <c r="CA14" s="138" t="str">
        <f t="array" ref="CA14">_xlfn.IFNA(INDEX('DMR 001C NEW'!$A$3:$O$9999,MATCH(('001-C DMR'!$BY$6&amp;'001-C DMR'!$BY$10&amp;'001-C DMR'!$B14),('DMR 001C NEW'!$E$3:$E$7246&amp;'DMR 001C NEW'!$B$3:$B$7246&amp;'DMR 001C NEW'!$A$3:$A$7246),0),MATCH('001-C DMR'!$CA$11,'DMR 001C NEW'!$A$2:$O$2,0)),"")</f>
        <v/>
      </c>
      <c r="CB14" s="57" t="str">
        <f t="shared" si="11"/>
        <v/>
      </c>
      <c r="CC14" s="58" t="str">
        <f t="array" ref="CC14">_xlfn.IFNA((INDEX('DMR 001C NEW'!$A$3:$O$9999,MATCH(('001-C DMR'!$BY$6&amp;'001-C DMR'!$CB$10&amp;'001-C DMR'!$B14),('DMR 001C NEW'!$E$3:$E$7246&amp;'DMR 001C NEW'!$B$3:$B$7246&amp;'DMR 001C NEW'!$A$3:$A$7246),0),MATCH('001-C DMR'!$BZ$11,'DMR 001C NEW'!$A$2:$O$2,0))),"")</f>
        <v/>
      </c>
      <c r="CD14" s="138" t="str">
        <f t="array" ref="CD14">_xlfn.IFNA(INDEX('DMR 001C NEW'!$A$3:$O$9999,MATCH(('001-C DMR'!$BY$6&amp;'001-C DMR'!$CB$10&amp;'001-C DMR'!$B14),('DMR 001C NEW'!$E$3:$E$7246&amp;'DMR 001C NEW'!$B$3:$B$7246&amp;'DMR 001C NEW'!$A$3:$A$7246),0),MATCH('001-C DMR'!$CA$11,'DMR 001C NEW'!$A$2:$O$2,0)),"")</f>
        <v/>
      </c>
      <c r="CE14" s="138" t="str">
        <f t="array" ref="CE14">IFERROR((($CA14*$EI14)+($CD14*$EJ14))/($EK14),"")</f>
        <v/>
      </c>
      <c r="CF14" s="64" t="str">
        <f>IF($A14="Sat",COUNT(CE7:CE14),"")</f>
        <v/>
      </c>
      <c r="CG14" s="280" t="str">
        <f t="array" ref="CG14">_xlfn.IFNA(INDEX('DMR 001C NEW'!$A$3:$O$999,MATCH(('001-C DMR'!$BY$6&amp;'001-C DMR'!CG$10&amp;'001-C DMR'!$B14),('DMR 001C NEW'!$E$3:$E$1112&amp;'DMR 001C NEW'!$B$3:$B$1112&amp;'DMR 001C NEW'!$A$3:$A$1112),0),MATCH('001-C DMR'!$CA$11,'DMR 001C NEW'!$A$2:$O$2,0)),"")</f>
        <v/>
      </c>
      <c r="CH14" s="280" t="str">
        <f t="array" ref="CH14">_xlfn.IFNA(INDEX('DMR 001C NEW'!$A$3:$O$999,MATCH(('001-C DMR'!$BY$6&amp;'001-C DMR'!CH$10&amp;'001-C DMR'!$B14),('DMR 001C NEW'!$E$3:$E$1112&amp;'DMR 001C NEW'!$B$3:$B$1112&amp;'DMR 001C NEW'!$A$3:$A$1112),0),MATCH('001-C DMR'!$CA$11,'DMR 001C NEW'!$A$2:$O$2,0)),"")</f>
        <v/>
      </c>
      <c r="CI14" s="280" t="str">
        <f t="array" ref="CI14">_xlfn.IFNA(INDEX('DMR 001C NEW'!$A$3:$O$999,MATCH(('001-C DMR'!$BY$6&amp;'001-C DMR'!CI$10&amp;'001-C DMR'!$B14),('DMR 001C NEW'!$E$3:$E$1112&amp;'DMR 001C NEW'!$B$3:$B$1112&amp;'DMR 001C NEW'!$A$3:$A$1112),0),MATCH('001-C DMR'!$CA$11,'DMR 001C NEW'!$A$2:$O$2,0)),"")</f>
        <v/>
      </c>
      <c r="CJ14" s="280" t="str">
        <f t="array" ref="CJ14">_xlfn.IFNA(INDEX('DMR 001C NEW'!$A$3:$O$999,MATCH(('001-C DMR'!$BY$6&amp;'001-C DMR'!CJ$10&amp;'001-C DMR'!$B14),('DMR 001C NEW'!$E$3:$E$1112&amp;'DMR 001C NEW'!$B$3:$B$1112&amp;'DMR 001C NEW'!$A$3:$A$1112),0),MATCH('001-C DMR'!$CA$11,'DMR 001C NEW'!$A$2:$O$2,0)),"")</f>
        <v/>
      </c>
      <c r="CK14" s="280" t="str">
        <f t="array" ref="CK14">_xlfn.IFNA(INDEX('DMR 001C NEW'!$A$3:$O$999,MATCH(('001-C DMR'!$BY$6&amp;'001-C DMR'!CK$10&amp;'001-C DMR'!$B14),('DMR 001C NEW'!$E$3:$E$1112&amp;'DMR 001C NEW'!$B$3:$B$1112&amp;'DMR 001C NEW'!$A$3:$A$1112),0),MATCH('001-C DMR'!$CA$11,'DMR 001C NEW'!$A$2:$O$2,0)),"")</f>
        <v/>
      </c>
      <c r="CL14" s="280" t="str">
        <f t="array" ref="CL14">_xlfn.IFNA(INDEX('DMR 001C NEW'!$A$3:$O$999,MATCH(('001-C DMR'!$BY$6&amp;'001-C DMR'!CL$10&amp;'001-C DMR'!$B14),('DMR 001C NEW'!$E$3:$E$1112&amp;'DMR 001C NEW'!$B$3:$B$1112&amp;'DMR 001C NEW'!$A$3:$A$1112),0),MATCH('001-C DMR'!$CA$11,'DMR 001C NEW'!$A$2:$O$2,0)),"")</f>
        <v/>
      </c>
      <c r="CM14" s="61" t="str">
        <f t="shared" si="12"/>
        <v/>
      </c>
      <c r="CN14" s="138" t="str">
        <f t="array" ref="CN14">_xlfn.IFNA((INDEX('DMR 001C NEW'!$A$3:$O$9999,MATCH(('001-C DMR'!$CM$6&amp;'001-C DMR'!$CM$10&amp;'001-C DMR'!$B14),('DMR 001C NEW'!$E$3:$E$9018&amp;'DMR 001C NEW'!$B$3:$B$9018&amp;'DMR 001C NEW'!$A$3:$A$9018),0),MATCH('001-C DMR'!$CN$11,'DMR 001C NEW'!$A$2:$O$2,0))*1000),"")</f>
        <v/>
      </c>
      <c r="CO14" s="138" t="str">
        <f t="array" ref="CO14">_xlfn.IFNA(INDEX('DMR 001C NEW'!$A$3:$O$9999,MATCH(('001-C DMR'!$CM$6&amp;'001-C DMR'!$CM$10&amp;'001-C DMR'!$B14),('DMR 001C NEW'!$E$3:$E$9018&amp;'DMR 001C NEW'!$B$3:$B$9018&amp;'DMR 001C NEW'!$A$3:$A$9018),0),MATCH('001-C DMR'!$CO$11,'DMR 001C NEW'!$A$2:$O$2,0))*1000,"")</f>
        <v/>
      </c>
      <c r="CP14" s="138" t="str">
        <f t="shared" si="13"/>
        <v/>
      </c>
      <c r="CQ14" s="64" t="str">
        <f>IF($A14="Sat",COUNT(CO7:CO14),"")</f>
        <v/>
      </c>
      <c r="CR14" s="280" t="str">
        <f t="array" ref="CR14">_xlfn.IFNA(INDEX('DMR 001C NEW'!$A$3:$O$999,MATCH(('001-C DMR'!$CM$6&amp;'001-C DMR'!CR$10&amp;'001-C DMR'!$B14),('DMR 001C NEW'!$E$3:$E$1112&amp;'DMR 001C NEW'!$B$3:$B$1112&amp;'DMR 001C NEW'!$A$3:$A$1112),0),MATCH('001-C DMR'!$CO$11,'DMR 001C NEW'!$A$2:$O$2,0)),"")</f>
        <v/>
      </c>
      <c r="CS14" s="280" t="str">
        <f t="array" ref="CS14">_xlfn.IFNA(INDEX('DMR 001C NEW'!$A$3:$O$999,MATCH(('001-C DMR'!$CM$6&amp;'001-C DMR'!CS$10&amp;'001-C DMR'!$B14),('DMR 001C NEW'!$E$3:$E$1112&amp;'DMR 001C NEW'!$B$3:$B$1112&amp;'DMR 001C NEW'!$A$3:$A$1112),0),MATCH('001-C DMR'!$CO$11,'DMR 001C NEW'!$A$2:$O$2,0)),"")</f>
        <v/>
      </c>
      <c r="CT14" s="280" t="str">
        <f t="array" ref="CT14">_xlfn.IFNA(INDEX('DMR 001C NEW'!$A$3:$O$999,MATCH(('001-C DMR'!$CM$6&amp;'001-C DMR'!CT$10&amp;'001-C DMR'!$B14),('DMR 001C NEW'!$E$3:$E$1112&amp;'DMR 001C NEW'!$B$3:$B$1112&amp;'DMR 001C NEW'!$A$3:$A$1112),0),MATCH('001-C DMR'!$CO$11,'DMR 001C NEW'!$A$2:$O$2,0)),"")</f>
        <v/>
      </c>
      <c r="CU14" s="280" t="str">
        <f t="array" ref="CU14">_xlfn.IFNA(INDEX('DMR 001C NEW'!$A$3:$O$999,MATCH(('001-C DMR'!$CM$6&amp;'001-C DMR'!CU$10&amp;'001-C DMR'!$B14),('DMR 001C NEW'!$E$3:$E$1112&amp;'DMR 001C NEW'!$B$3:$B$1112&amp;'DMR 001C NEW'!$A$3:$A$1112),0),MATCH('001-C DMR'!$CO$11,'DMR 001C NEW'!$A$2:$O$2,0)),"")</f>
        <v/>
      </c>
      <c r="CV14" s="280" t="str">
        <f t="array" ref="CV14">_xlfn.IFNA(INDEX('DMR 001C NEW'!$A$3:$O$999,MATCH(('001-C DMR'!$CM$6&amp;'001-C DMR'!CV$10&amp;'001-C DMR'!$B14),('DMR 001C NEW'!$E$3:$E$1112&amp;'DMR 001C NEW'!$B$3:$B$1112&amp;'DMR 001C NEW'!$A$3:$A$1112),0),MATCH('001-C DMR'!$CO$11,'DMR 001C NEW'!$A$2:$O$2,0)),"")</f>
        <v/>
      </c>
      <c r="CW14" s="280" t="str">
        <f t="array" ref="CW14">_xlfn.IFNA(INDEX('DMR 001C NEW'!$A$3:$O$999,MATCH(('001-C DMR'!$CM$6&amp;'001-C DMR'!CW$10&amp;'001-C DMR'!$B14),('DMR 001C NEW'!$E$3:$E$1112&amp;'DMR 001C NEW'!$B$3:$B$1112&amp;'DMR 001C NEW'!$A$3:$A$1112),0),MATCH('001-C DMR'!$CO$11,'DMR 001C NEW'!$A$2:$O$2,0)),"")</f>
        <v/>
      </c>
      <c r="CX14" s="280" t="str">
        <f t="array" ref="CX14">_xlfn.IFNA(INDEX('DMR 001C NEW'!$A$3:$O$999,MATCH(('001-C DMR'!$CM$6&amp;'001-C DMR'!CX$10&amp;'001-C DMR'!$B14),('DMR 001C NEW'!$E$3:$E$1112&amp;'DMR 001C NEW'!$B$3:$B$1112&amp;'DMR 001C NEW'!$A$3:$A$1112),0),MATCH('001-C DMR'!$CO$11,'DMR 001C NEW'!$A$2:$O$2,0)),"")</f>
        <v/>
      </c>
      <c r="CY14" s="61" t="str">
        <f t="shared" si="14"/>
        <v/>
      </c>
      <c r="CZ14" s="138" t="str">
        <f t="array" ref="CZ14">_xlfn.IFNA((INDEX('DMR 001C NEW'!$A$3:$O$9999,MATCH(('001-C DMR'!$CY$6&amp;'001-C DMR'!$CY$10&amp;'001-C DMR'!$B14),('DMR 001C NEW'!$E$3:$E$9018&amp;'DMR 001C NEW'!$B$3:$B$9018&amp;'DMR 001C NEW'!$A$3:$A$9018),0),MATCH('001-C DMR'!$CZ$11,'DMR 001C NEW'!$A$2:$O$2,0))*1000),"")</f>
        <v/>
      </c>
      <c r="DA14" s="138" t="str">
        <f t="array" ref="DA14">_xlfn.IFNA(INDEX('DMR 001C NEW'!$A$3:$O$9999,MATCH(('001-C DMR'!$CY$6&amp;'001-C DMR'!$CY$10&amp;'001-C DMR'!$B14),('DMR 001C NEW'!$E$3:$E$9018&amp;'DMR 001C NEW'!$B$3:$B$9018&amp;'DMR 001C NEW'!$A$3:$A$9018),0),MATCH('001-C DMR'!$DA$11,'DMR 001C NEW'!$A$2:$O$2,0))*1000,"")</f>
        <v/>
      </c>
      <c r="DB14" s="138" t="str">
        <f t="shared" si="15"/>
        <v/>
      </c>
      <c r="DC14" s="64" t="str">
        <f>IF($A14="Sat",COUNT(DA7:DA14),"")</f>
        <v/>
      </c>
      <c r="DD14" s="280" t="str">
        <f t="array" ref="DD14">_xlfn.IFNA(INDEX('DMR 001C NEW'!$A$3:$O$999,MATCH(('001-C DMR'!$CY$6&amp;'001-C DMR'!DD$10&amp;'001-C DMR'!$B14),('DMR 001C NEW'!$E$3:$E$1112&amp;'DMR 001C NEW'!$B$3:$B$1112&amp;'DMR 001C NEW'!$A$3:$A$1112),0),MATCH('001-C DMR'!$DA$11,'DMR 001C NEW'!$A$2:$O$2,0)),"")</f>
        <v/>
      </c>
      <c r="DE14" s="280" t="str">
        <f t="array" ref="DE14">_xlfn.IFNA(INDEX('DMR 001C NEW'!$A$3:$O$999,MATCH(('001-C DMR'!$CY$6&amp;'001-C DMR'!DE$10&amp;'001-C DMR'!$B14),('DMR 001C NEW'!$E$3:$E$1112&amp;'DMR 001C NEW'!$B$3:$B$1112&amp;'DMR 001C NEW'!$A$3:$A$1112),0),MATCH('001-C DMR'!$DA$11,'DMR 001C NEW'!$A$2:$O$2,0)),"")</f>
        <v/>
      </c>
      <c r="DF14" s="280" t="str">
        <f t="array" ref="DF14">_xlfn.IFNA(INDEX('DMR 001C NEW'!$A$3:$O$999,MATCH(('001-C DMR'!$CY$6&amp;'001-C DMR'!DF$10&amp;'001-C DMR'!$B14),('DMR 001C NEW'!$E$3:$E$1112&amp;'DMR 001C NEW'!$B$3:$B$1112&amp;'DMR 001C NEW'!$A$3:$A$1112),0),MATCH('001-C DMR'!$DA$11,'DMR 001C NEW'!$A$2:$O$2,0)),"")</f>
        <v/>
      </c>
      <c r="DG14" s="280" t="str">
        <f t="array" ref="DG14">_xlfn.IFNA(INDEX('DMR 001C NEW'!$A$3:$O$999,MATCH(('001-C DMR'!$CY$6&amp;'001-C DMR'!DG$10&amp;'001-C DMR'!$B14),('DMR 001C NEW'!$E$3:$E$1112&amp;'DMR 001C NEW'!$B$3:$B$1112&amp;'DMR 001C NEW'!$A$3:$A$1112),0),MATCH('001-C DMR'!$DA$11,'DMR 001C NEW'!$A$2:$O$2,0)),"")</f>
        <v/>
      </c>
      <c r="DH14" s="280" t="str">
        <f t="array" ref="DH14">_xlfn.IFNA(INDEX('DMR 001C NEW'!$A$3:$O$999,MATCH(('001-C DMR'!$CY$6&amp;'001-C DMR'!DH$10&amp;'001-C DMR'!$B14),('DMR 001C NEW'!$E$3:$E$1112&amp;'DMR 001C NEW'!$B$3:$B$1112&amp;'DMR 001C NEW'!$A$3:$A$1112),0),MATCH('001-C DMR'!$DA$11,'DMR 001C NEW'!$A$2:$O$2,0)),"")</f>
        <v/>
      </c>
      <c r="DI14" s="280" t="str">
        <f t="array" ref="DI14">_xlfn.IFNA(INDEX('DMR 001C NEW'!$A$3:$O$999,MATCH(('001-C DMR'!$CY$6&amp;'001-C DMR'!DI$10&amp;'001-C DMR'!$B14),('DMR 001C NEW'!$E$3:$E$1112&amp;'DMR 001C NEW'!$B$3:$B$1112&amp;'DMR 001C NEW'!$A$3:$A$1112),0),MATCH('001-C DMR'!$DA$11,'DMR 001C NEW'!$A$2:$O$2,0)),"")</f>
        <v/>
      </c>
      <c r="DJ14" s="280" t="str">
        <f t="array" ref="DJ14">_xlfn.IFNA(INDEX('DMR 001C NEW'!$A$3:$O$999,MATCH(('001-C DMR'!$CY$6&amp;'001-C DMR'!DJ$10&amp;'001-C DMR'!$B14),('DMR 001C NEW'!$E$3:$E$1112&amp;'DMR 001C NEW'!$B$3:$B$1112&amp;'DMR 001C NEW'!$A$3:$A$1112),0),MATCH('001-C DMR'!$DA$11,'DMR 001C NEW'!$A$2:$O$2,0)),"")</f>
        <v/>
      </c>
      <c r="DK14" s="61" t="str">
        <f t="shared" si="16"/>
        <v/>
      </c>
      <c r="DL14" s="58" t="str">
        <f t="array" ref="DL14">_xlfn.IFNA((INDEX('DMR 001C NEW'!$A$3:$O$9999,MATCH(('001-C DMR'!$DK$6&amp;'001-C DMR'!$DK$10&amp;'001-C DMR'!$B14),('DMR 001C NEW'!$E$3:$E$9018&amp;'DMR 001C NEW'!$B$3:$B$9018&amp;'DMR 001C NEW'!$A$3:$A$9018),0),MATCH('001-C DMR'!$DL$11,'DMR 001C NEW'!$A$2:$O$2,0))),"")</f>
        <v/>
      </c>
      <c r="DM14" s="58" t="str">
        <f t="array" ref="DM14">_xlfn.IFNA(INDEX('DMR 001C NEW'!$A$3:$O$9999,MATCH(('001-C DMR'!$DK$6&amp;'001-C DMR'!$DK$10&amp;'001-C DMR'!$B14),('DMR 001C NEW'!$E$3:$E$9018&amp;'DMR 001C NEW'!$B$3:$B$9018&amp;'DMR 001C NEW'!$A$3:$A$9018),0),MATCH('001-C DMR'!$DM$11,'DMR 001C NEW'!$A$2:$O$2,0)),"")</f>
        <v/>
      </c>
      <c r="DN14" s="58" t="str">
        <f t="shared" si="17"/>
        <v/>
      </c>
      <c r="DO14" s="223"/>
      <c r="DP14" s="224"/>
      <c r="DQ14" s="64" t="str">
        <f t="shared" si="18"/>
        <v/>
      </c>
      <c r="DR14" s="280" t="str">
        <f t="array" ref="DR14">_xlfn.IFNA(INDEX('DMR 001C NEW'!$A$3:$O$999,MATCH(('001-C DMR'!$DK$6&amp;'001-C DMR'!DR$10&amp;'001-C DMR'!$B14),('DMR 001C NEW'!$E$3:$E$1112&amp;'DMR 001C NEW'!$B$3:$B$1112&amp;'DMR 001C NEW'!$A$3:$A$1112),0),MATCH('001-C DMR'!$DR$11,'DMR 001C NEW'!$A$2:$O$2,0)),"")</f>
        <v/>
      </c>
      <c r="DS14" s="280" t="str">
        <f t="array" ref="DS14">_xlfn.IFNA(INDEX('DMR 001C NEW'!$A$3:$O$999,MATCH(('001-C DMR'!$DK$6&amp;'001-C DMR'!DS$10&amp;'001-C DMR'!$B14),('DMR 001C NEW'!$E$3:$E$1112&amp;'DMR 001C NEW'!$B$3:$B$1112&amp;'DMR 001C NEW'!$A$3:$A$1112),0),MATCH('001-C DMR'!$DR$11,'DMR 001C NEW'!$A$2:$O$2,0)),"")</f>
        <v/>
      </c>
      <c r="DT14" s="280" t="str">
        <f t="array" ref="DT14">_xlfn.IFNA(INDEX('DMR 001C NEW'!$A$3:$O$999,MATCH(('001-C DMR'!$DK$6&amp;'001-C DMR'!DT$10&amp;'001-C DMR'!$B14),('DMR 001C NEW'!$E$3:$E$1112&amp;'DMR 001C NEW'!$B$3:$B$1112&amp;'DMR 001C NEW'!$A$3:$A$1112),0),MATCH('001-C DMR'!$DR$11,'DMR 001C NEW'!$A$2:$O$2,0)),"")</f>
        <v/>
      </c>
      <c r="DU14" s="280" t="str">
        <f t="array" ref="DU14">_xlfn.IFNA(INDEX('DMR 001C NEW'!$A$3:$O$999,MATCH(('001-C DMR'!$DK$6&amp;'001-C DMR'!DU$10&amp;'001-C DMR'!$B14),('DMR 001C NEW'!$E$3:$E$1112&amp;'DMR 001C NEW'!$B$3:$B$1112&amp;'DMR 001C NEW'!$A$3:$A$1112),0),MATCH('001-C DMR'!$DR$11,'DMR 001C NEW'!$A$2:$O$2,0)),"")</f>
        <v/>
      </c>
      <c r="DV14" s="280" t="str">
        <f t="array" ref="DV14">_xlfn.IFNA(INDEX('DMR 001C NEW'!$A$3:$O$999,MATCH(('001-C DMR'!$DK$6&amp;'001-C DMR'!DV$10&amp;'001-C DMR'!$B14),('DMR 001C NEW'!$E$3:$E$1112&amp;'DMR 001C NEW'!$B$3:$B$1112&amp;'DMR 001C NEW'!$A$3:$A$1112),0),MATCH('001-C DMR'!$DR$11,'DMR 001C NEW'!$A$2:$O$2,0)),"")</f>
        <v/>
      </c>
      <c r="DW14" s="280" t="str">
        <f t="array" ref="DW14">_xlfn.IFNA(INDEX('DMR 001C NEW'!$A$3:$O$999,MATCH(('001-C DMR'!$DK$6&amp;'001-C DMR'!DW$10&amp;'001-C DMR'!$B14),('DMR 001C NEW'!$E$3:$E$1112&amp;'DMR 001C NEW'!$B$3:$B$1112&amp;'DMR 001C NEW'!$A$3:$A$1112),0),MATCH('001-C DMR'!$DR$11,'DMR 001C NEW'!$A$2:$O$2,0)),"")</f>
        <v/>
      </c>
      <c r="DX14" s="280" t="str">
        <f t="array" ref="DX14">_xlfn.IFNA(INDEX('DMR 001C NEW'!$A$3:$O$999,MATCH(('001-C DMR'!$DK$6&amp;'001-C DMR'!DX$10&amp;'001-C DMR'!$B14),('DMR 001C NEW'!$E$3:$E$1112&amp;'DMR 001C NEW'!$B$3:$B$1112&amp;'DMR 001C NEW'!$A$3:$A$1112),0),MATCH('001-C DMR'!$DR$11,'DMR 001C NEW'!$A$2:$O$2,0)),"")</f>
        <v/>
      </c>
      <c r="DY14" s="61" t="str">
        <f t="shared" ref="DY14:DY48" si="28">IF(EA14&lt;DZ14,"&lt;","")</f>
        <v/>
      </c>
      <c r="DZ14" s="249" t="str">
        <f t="array" ref="DZ14">_xlfn.IFNA((INDEX('DMR 001C NEW'!$A$3:$O$9999,MATCH(('001-C DMR'!$DY$6&amp;'001-C DMR'!$DY$10&amp;'001-C DMR'!$B14),('DMR 001C NEW'!$E$3:$E$9018&amp;'DMR 001C NEW'!$B$3:$B$9018&amp;'DMR 001C NEW'!$A$3:$A$9018),0),MATCH('001-C DMR'!$DZ$11,'DMR 001C NEW'!$A$2:$O$2,0))),"")</f>
        <v/>
      </c>
      <c r="EA14" s="249" t="str">
        <f t="array" ref="EA14">_xlfn.IFNA((INDEX('DMR 001C NEW'!$A$3:$O$9999,MATCH(('001-C DMR'!$DY$6&amp;'001-C DMR'!$DY$10&amp;'001-C DMR'!$B14),('DMR 001C NEW'!$E$3:$E$9018&amp;'DMR 001C NEW'!$B$3:$B$9018&amp;'DMR 001C NEW'!$A$3:$A$9018),0),MATCH('001-C DMR'!$EA$11,'DMR 001C NEW'!$A$2:$O$2,0))),"")</f>
        <v/>
      </c>
      <c r="EB14" s="249" t="str">
        <f t="array" ref="EB14">IF(EA14="SCRATCHED","",IF(EA14&lt;DZ14,0,EA14))</f>
        <v/>
      </c>
      <c r="EC14" s="249" t="str">
        <f t="shared" ref="EC14:EC48" si="29">IF(EE14&lt;ED14,"&lt;","")</f>
        <v/>
      </c>
      <c r="ED14" s="249" t="str">
        <f t="array" ref="ED14">_xlfn.IFNA((INDEX('DMR 001C NEW'!$A$3:$O$9999,MATCH(('001-C DMR'!$DY$6&amp;'001-C DMR'!$EC$10&amp;'001-C DMR'!$B14),('DMR 001C NEW'!$E$3:$E$9018&amp;'DMR 001C NEW'!$B$3:$B$9018&amp;'DMR 001C NEW'!$A$3:$A$9018),0),MATCH('001-C DMR'!$DZ$11,'DMR 001C NEW'!$A$2:$O$2,0))),"")</f>
        <v/>
      </c>
      <c r="EE14" s="249" t="str">
        <f t="array" ref="EE14">_xlfn.IFNA((INDEX('DMR 001C NEW'!$A$3:$O$9999,MATCH(('001-C DMR'!$DY$6&amp;'001-C DMR'!$EC$10&amp;'001-C DMR'!$B14),('DMR 001C NEW'!$E$3:$E$9018&amp;'DMR 001C NEW'!$B$3:$B$9018&amp;'DMR 001C NEW'!$A$3:$A$9018),0),MATCH('001-C DMR'!$EE$11,'DMR 001C NEW'!$A$2:$O$2,0))),"")</f>
        <v/>
      </c>
      <c r="EF14" s="249" t="str">
        <f t="array" ref="EF14">IF(EE14="SCRATCHED","",IF(EE14&lt;ED14,0,EE14))</f>
        <v/>
      </c>
      <c r="EG14" s="249"/>
      <c r="EH14" s="195"/>
      <c r="EI14" s="194">
        <f t="array" ref="EI14">_xlfn.IFNA(INDEX('DMR Flows-Effluent'!$A$3:$F$186,MATCH(($EI$10&amp;$B14),('DMR Flows-Effluent'!$B$3:$B$186&amp;'DMR Flows-Effluent'!$A$3:$A$186),0),MATCH($EI$8,'DMR Flows-Effluent'!$A$2:$F$2,0)),"")</f>
        <v>48.517600000000002</v>
      </c>
      <c r="EJ14" s="56">
        <f t="array" ref="EJ14">_xlfn.IFNA(INDEX('DMR Flows-Effluent'!$A$3:$F$186,MATCH(($EJ$10&amp;$B14),('DMR Flows-Effluent'!$B$3:$B$186&amp;'DMR Flows-Effluent'!$A$3:$A$186),0),MATCH($EI$8,'DMR Flows-Effluent'!$A$2:$F$2,0)),"")</f>
        <v>72.546800000000005</v>
      </c>
      <c r="EK14" s="168">
        <f t="shared" si="19"/>
        <v>121.06440000000001</v>
      </c>
      <c r="EL14" s="63"/>
      <c r="EM14" s="63"/>
      <c r="EN14" s="63"/>
      <c r="EO14" s="63"/>
      <c r="EP14" s="62"/>
      <c r="EQ14" s="157">
        <f>'E.Coli Calculations'!R8</f>
        <v>58.379441512940438</v>
      </c>
      <c r="ER14" s="56"/>
      <c r="ES14" s="64" t="str">
        <f>IF($A14="Sat",COUNT(EQ7:EQ14),"")</f>
        <v/>
      </c>
      <c r="ET14" s="61" t="str">
        <f t="shared" si="20"/>
        <v/>
      </c>
      <c r="EU14" s="58" t="str">
        <f t="array" ref="EU14">_xlfn.IFNA((INDEX('DMR 001C NEW'!$A$3:$O$9999,MATCH(('001-C DMR'!$ET$6&amp;'001-C DMR'!$ET$10&amp;'001-C DMR'!$B14),('DMR 001C NEW'!$E$3:$E$9018&amp;'DMR 001C NEW'!$B$3:$B$9018&amp;'DMR 001C NEW'!$A$3:$A$9018),0),MATCH('001-C DMR'!$EU$11,'DMR 001C NEW'!$A$2:$O$2,0))),"")</f>
        <v/>
      </c>
      <c r="EV14" s="58" t="str">
        <f t="array" ref="EV14">_xlfn.IFNA(INDEX('DMR 001C NEW'!$A$3:$O$9999,MATCH(('001-C DMR'!$ET$6&amp;'001-C DMR'!$ET$10&amp;'001-C DMR'!$B14),('DMR 001C NEW'!$E$3:$E$9018&amp;'DMR 001C NEW'!$B$3:$B$9018&amp;'DMR 001C NEW'!$A$3:$A$9018),0),MATCH('001-C DMR'!$EV$11,'DMR 001C NEW'!$A$2:$O$2,0)),"")</f>
        <v/>
      </c>
      <c r="EW14" s="56" t="str">
        <f t="shared" si="21"/>
        <v/>
      </c>
      <c r="EX14" s="64"/>
      <c r="EY14" s="279" t="str">
        <f t="array" ref="EY14">_xlfn.IFNA(INDEX('DMR 001C NEW'!$A$3:$O$999,MATCH(('001-C DMR'!$ET$6&amp;'001-C DMR'!EY$10&amp;'001-C DMR'!$B14),('DMR 001C NEW'!$E$3:$E$1112&amp;'DMR 001C NEW'!$B$3:$B$1112&amp;'DMR 001C NEW'!$A$3:$A$1112),0),MATCH('001-C DMR'!$EY$11,'DMR 001C NEW'!$A$2:$O$2,0)),"")</f>
        <v/>
      </c>
      <c r="EZ14" s="280" t="str">
        <f t="array" ref="EZ14">_xlfn.IFNA(INDEX('DMR 001C NEW'!$A$3:$O$999,MATCH(('001-C DMR'!$ET$6&amp;'001-C DMR'!EZ$10&amp;'001-C DMR'!$B14),('DMR 001C NEW'!$E$3:$E$1112&amp;'DMR 001C NEW'!$B$3:$B$1112&amp;'DMR 001C NEW'!$A$3:$A$1112),0),MATCH('001-C DMR'!$EY$11,'DMR 001C NEW'!$A$2:$O$2,0)),"")</f>
        <v/>
      </c>
      <c r="FA14" s="280" t="str">
        <f t="array" ref="FA14">_xlfn.IFNA(INDEX('DMR 001C NEW'!$A$3:$O$999,MATCH(('001-C DMR'!$ET$6&amp;'001-C DMR'!FA$10&amp;'001-C DMR'!$B14),('DMR 001C NEW'!$E$3:$E$1112&amp;'DMR 001C NEW'!$B$3:$B$1112&amp;'DMR 001C NEW'!$A$3:$A$1112),0),MATCH('001-C DMR'!$EY$11,'DMR 001C NEW'!$A$2:$O$2,0)),"")</f>
        <v/>
      </c>
      <c r="FB14" s="280" t="str">
        <f t="array" ref="FB14">_xlfn.IFNA(INDEX('DMR 001C NEW'!$A$3:$O$999,MATCH(('001-C DMR'!$ET$6&amp;'001-C DMR'!FB$10&amp;'001-C DMR'!$B14),('DMR 001C NEW'!$E$3:$E$1112&amp;'DMR 001C NEW'!$B$3:$B$1112&amp;'DMR 001C NEW'!$A$3:$A$1112),0),MATCH('001-C DMR'!$EY$11,'DMR 001C NEW'!$A$2:$O$2,0)),"")</f>
        <v/>
      </c>
      <c r="FC14" s="280" t="str">
        <f t="array" ref="FC14">_xlfn.IFNA(INDEX('DMR 001C NEW'!$A$3:$O$999,MATCH(('001-C DMR'!$ET$6&amp;'001-C DMR'!FC$10&amp;'001-C DMR'!$B14),('DMR 001C NEW'!$E$3:$E$1112&amp;'DMR 001C NEW'!$B$3:$B$1112&amp;'DMR 001C NEW'!$A$3:$A$1112),0),MATCH('001-C DMR'!$EY$11,'DMR 001C NEW'!$A$2:$O$2,0)),"")</f>
        <v/>
      </c>
      <c r="FD14" s="280" t="str">
        <f t="array" ref="FD14">_xlfn.IFNA(INDEX('DMR 001C NEW'!$A$3:$O$999,MATCH(('001-C DMR'!$ET$6&amp;'001-C DMR'!FD$10&amp;'001-C DMR'!$B14),('DMR 001C NEW'!$E$3:$E$1112&amp;'DMR 001C NEW'!$B$3:$B$1112&amp;'DMR 001C NEW'!$A$3:$A$1112),0),MATCH('001-C DMR'!$EY$11,'DMR 001C NEW'!$A$2:$O$2,0)),"")</f>
        <v/>
      </c>
      <c r="FE14" s="281" t="str">
        <f t="array" ref="FE14">_xlfn.IFNA(INDEX('DMR 001C NEW'!$A$3:$O$999,MATCH(('001-C DMR'!$ET$6&amp;'001-C DMR'!FE$10&amp;'001-C DMR'!$B14),('DMR 001C NEW'!$E$3:$E$1112&amp;'DMR 001C NEW'!$B$3:$B$1112&amp;'DMR 001C NEW'!$A$3:$A$1112),0),MATCH('001-C DMR'!$EY$11,'DMR 001C NEW'!$A$2:$O$2,0)),"")</f>
        <v/>
      </c>
      <c r="FF14" s="57" t="str">
        <f t="shared" si="22"/>
        <v/>
      </c>
      <c r="FG14" s="56">
        <f t="array" ref="FG14">_xlfn.IFNA(INDEX('DMR 001C NEW'!$A$3:$O$9999,MATCH(('001-C DMR'!$FF$6&amp;'001-C DMR'!$FF$10&amp;'001-C DMR'!$B14),('DMR 001C NEW'!$E$3:$E$7246&amp;'DMR 001C NEW'!$B$3:$B$7246&amp;'DMR 001C NEW'!$A$3:$A$7246),0),MATCH('001-C DMR'!$FG$11,'DMR 001C NEW'!$A$2:$O$2,0)),"")</f>
        <v>0</v>
      </c>
      <c r="FH14" s="56">
        <f t="array" ref="FH14">_xlfn.IFNA(INDEX('DMR 001C NEW'!$A$3:$O$9999,MATCH(('001-C DMR'!$FF$6&amp;'001-C DMR'!$FF$10&amp;'001-C DMR'!$B14),('DMR 001C NEW'!$E$3:$E$7246&amp;'DMR 001C NEW'!$B$3:$B$7246&amp;'DMR 001C NEW'!$A$3:$A$7246),0),MATCH('001-C DMR'!$FH$11,'DMR 001C NEW'!$A$2:$O$2,0)),"")</f>
        <v>4</v>
      </c>
      <c r="FI14" s="57" t="str">
        <f t="shared" si="23"/>
        <v/>
      </c>
      <c r="FJ14" s="56">
        <f t="array" ref="FJ14">_xlfn.IFNA(INDEX('DMR 001C NEW'!$A$3:$O$9999,MATCH(('001-C DMR'!$FF$6&amp;'001-C DMR'!$FI$10&amp;'001-C DMR'!$B14),('DMR 001C NEW'!$E$3:$E$7246&amp;'DMR 001C NEW'!$B$3:$B$7246&amp;'DMR 001C NEW'!$A$3:$A$7246),0),MATCH('001-C DMR'!$FG$11,'DMR 001C NEW'!$A$2:$O$2,0)),"")</f>
        <v>0</v>
      </c>
      <c r="FK14" s="56">
        <f t="array" ref="FK14">_xlfn.IFNA(INDEX('DMR 001C NEW'!$A$3:$O$9999,MATCH(('001-C DMR'!$FF$6&amp;'001-C DMR'!$FI$10&amp;'001-C DMR'!$B14),('DMR 001C NEW'!$E$3:$E$7246&amp;'DMR 001C NEW'!$B$3:$B$7246&amp;'DMR 001C NEW'!$A$3:$A$7246),0),MATCH('001-C DMR'!$FH$11,'DMR 001C NEW'!$A$2:$O$2,0)),"")</f>
        <v>4</v>
      </c>
      <c r="FL14" s="56">
        <f t="array" ref="FL14">IFERROR((($FH14*$EI14)+($FK14*$EJ14))/($EK14),"")</f>
        <v>4</v>
      </c>
      <c r="FM14" s="56" t="str">
        <f t="shared" si="3"/>
        <v/>
      </c>
      <c r="FN14" s="64" t="str">
        <f>IF($A14="Sat",COUNT(FL7:FL14),"")</f>
        <v/>
      </c>
      <c r="FO14" s="66"/>
      <c r="FP14" s="280" t="str">
        <f t="array" ref="FP14">_xlfn.IFNA(INDEX('DMR 001C NEW'!$A$3:$O$999,MATCH(('001-C DMR'!$FF$6&amp;'001-C DMR'!FP$10&amp;'001-C DMR'!$B14),('DMR 001C NEW'!$E$3:$E$1112&amp;'DMR 001C NEW'!$B$3:$B$1112&amp;'DMR 001C NEW'!$A$3:$A$1112),0),MATCH('001-C DMR'!$FH$11,'DMR 001C NEW'!$A$2:$O$2,0)),"")</f>
        <v/>
      </c>
      <c r="FQ14" s="280" t="str">
        <f t="array" ref="FQ14">_xlfn.IFNA(INDEX('DMR 001C NEW'!$A$3:$O$999,MATCH(('001-C DMR'!$FF$6&amp;'001-C DMR'!FQ$10&amp;'001-C DMR'!$B14),('DMR 001C NEW'!$E$3:$E$1112&amp;'DMR 001C NEW'!$B$3:$B$1112&amp;'DMR 001C NEW'!$A$3:$A$1112),0),MATCH('001-C DMR'!$FH$11,'DMR 001C NEW'!$A$2:$O$2,0)),"")</f>
        <v/>
      </c>
      <c r="FR14" s="280" t="str">
        <f t="array" ref="FR14">_xlfn.IFNA(INDEX('DMR 001C NEW'!$A$3:$O$999,MATCH(('001-C DMR'!$FF$6&amp;'001-C DMR'!FR$10&amp;'001-C DMR'!$B14),('DMR 001C NEW'!$E$3:$E$1112&amp;'DMR 001C NEW'!$B$3:$B$1112&amp;'DMR 001C NEW'!$A$3:$A$1112),0),MATCH('001-C DMR'!$FH$11,'DMR 001C NEW'!$A$2:$O$2,0)),"")</f>
        <v/>
      </c>
      <c r="FS14" s="280" t="str">
        <f t="array" ref="FS14">_xlfn.IFNA(INDEX('DMR 001C NEW'!$A$3:$O$999,MATCH(('001-C DMR'!$FF$6&amp;'001-C DMR'!FS$10&amp;'001-C DMR'!$B14),('DMR 001C NEW'!$E$3:$E$1112&amp;'DMR 001C NEW'!$B$3:$B$1112&amp;'DMR 001C NEW'!$A$3:$A$1112),0),MATCH('001-C DMR'!$FH$11,'DMR 001C NEW'!$A$2:$O$2,0)),"")</f>
        <v/>
      </c>
      <c r="FT14" s="280" t="str">
        <f t="array" ref="FT14">_xlfn.IFNA(INDEX('DMR 001C NEW'!$A$3:$O$999,MATCH(('001-C DMR'!$FF$6&amp;'001-C DMR'!FT$10&amp;'001-C DMR'!$B14),('DMR 001C NEW'!$E$3:$E$1112&amp;'DMR 001C NEW'!$B$3:$B$1112&amp;'DMR 001C NEW'!$A$3:$A$1112),0),MATCH('001-C DMR'!$FH$11,'DMR 001C NEW'!$A$2:$O$2,0)),"")</f>
        <v/>
      </c>
      <c r="FU14" s="280" t="str">
        <f t="array" ref="FU14">_xlfn.IFNA(INDEX('DMR 001C NEW'!$A$3:$O$999,MATCH(('001-C DMR'!$FF$6&amp;'001-C DMR'!FU$10&amp;'001-C DMR'!$B14),('DMR 001C NEW'!$E$3:$E$1112&amp;'DMR 001C NEW'!$B$3:$B$1112&amp;'DMR 001C NEW'!$A$3:$A$1112),0),MATCH('001-C DMR'!$FH$11,'DMR 001C NEW'!$A$2:$O$2,0)),"")</f>
        <v/>
      </c>
      <c r="FV14" s="66"/>
      <c r="FW14" s="61" t="str">
        <f t="shared" si="24"/>
        <v/>
      </c>
      <c r="FX14" s="58" t="str">
        <f t="array" ref="FX14">_xlfn.IFNA(INDEX('DMR 001C NEW'!$A$3:$O$9999,MATCH(('001-C DMR'!$FW$6&amp;'001-C DMR'!$FW$10&amp;'001-C DMR'!$B14),('DMR 001C NEW'!$E$3:$E$7246&amp;'DMR 001C NEW'!$B$3:$B$7246&amp;'DMR 001C NEW'!$A$3:$A$7246),0),MATCH('001-C DMR'!$FX$11,'DMR 001C NEW'!$A$2:$O$2,0)),"")</f>
        <v/>
      </c>
      <c r="FY14" s="58" t="str">
        <f t="array" ref="FY14">_xlfn.IFNA(INDEX('DMR 001C NEW'!$A$3:$O$9999,MATCH(('001-C DMR'!$FW$6&amp;'001-C DMR'!$FW$10&amp;'001-C DMR'!$B14),('DMR 001C NEW'!$E$3:$E$7246&amp;'DMR 001C NEW'!$B$3:$B$7246&amp;'DMR 001C NEW'!$A$3:$A$7246),0),MATCH('001-C DMR'!$FY$11,'DMR 001C NEW'!$A$2:$O$2,0)),"")</f>
        <v/>
      </c>
      <c r="FZ14" s="57" t="str">
        <f t="shared" si="25"/>
        <v/>
      </c>
      <c r="GA14" s="58" t="str">
        <f t="array" ref="GA14">_xlfn.IFNA(INDEX('DMR 001C NEW'!$A$3:$O$9999,MATCH(('001-C DMR'!$FW$6&amp;'001-C DMR'!$FZ$10&amp;'001-C DMR'!$B14),('DMR 001C NEW'!$E$3:$E$7246&amp;'DMR 001C NEW'!$B$3:$B$7246&amp;'DMR 001C NEW'!$A$3:$A$7246),0),MATCH('001-C DMR'!$FX$11,'DMR 001C NEW'!$A$2:$O$2,0)),"")</f>
        <v/>
      </c>
      <c r="GB14" s="58" t="str">
        <f t="array" ref="GB14">_xlfn.IFNA(INDEX('DMR 001C NEW'!$A$3:$O$9999,MATCH(('001-C DMR'!$FW$6&amp;'001-C DMR'!$FZ$10&amp;'001-C DMR'!$B14),('DMR 001C NEW'!$E$3:$E$7246&amp;'DMR 001C NEW'!$B$3:$B$7246&amp;'DMR 001C NEW'!$A$3:$A$7246),0),MATCH('001-C DMR'!$GB$11,'DMR 001C NEW'!$A$2:$O$2,0)),"")</f>
        <v/>
      </c>
      <c r="GC14" s="56" t="str">
        <f t="shared" si="4"/>
        <v/>
      </c>
      <c r="GD14" s="64" t="str">
        <f>IF($A14="Sat",COUNT(GB7:GB14),"")</f>
        <v/>
      </c>
      <c r="GE14" s="279" t="str">
        <f t="array" ref="GE14">_xlfn.IFNA(INDEX('DMR 001C NEW'!$A$3:$O$999,MATCH(('001-C DMR'!$FW$6&amp;'001-C DMR'!GE$10&amp;'001-C DMR'!$B14),('DMR 001C NEW'!$E$3:$E$1112&amp;'DMR 001C NEW'!$B$3:$B$1112&amp;'DMR 001C NEW'!$A$3:$A$1112),0),MATCH('001-C DMR'!$FY$11,'DMR 001C NEW'!$A$2:$O$2,0)),"")</f>
        <v/>
      </c>
      <c r="GF14" s="280" t="str">
        <f t="array" ref="GF14">_xlfn.IFNA(INDEX('DMR 001C NEW'!$A$3:$O$999,MATCH(('001-C DMR'!$FW$6&amp;'001-C DMR'!GF$10&amp;'001-C DMR'!$B14),('DMR 001C NEW'!$E$3:$E$1112&amp;'DMR 001C NEW'!$B$3:$B$1112&amp;'DMR 001C NEW'!$A$3:$A$1112),0),MATCH('001-C DMR'!$FY$11,'DMR 001C NEW'!$A$2:$O$2,0)),"")</f>
        <v/>
      </c>
      <c r="GG14" s="280" t="str">
        <f t="array" ref="GG14">_xlfn.IFNA(INDEX('DMR 001C NEW'!$A$3:$O$999,MATCH(('001-C DMR'!$FW$6&amp;'001-C DMR'!GG$10&amp;'001-C DMR'!$B14),('DMR 001C NEW'!$E$3:$E$1112&amp;'DMR 001C NEW'!$B$3:$B$1112&amp;'DMR 001C NEW'!$A$3:$A$1112),0),MATCH('001-C DMR'!$FY$11,'DMR 001C NEW'!$A$2:$O$2,0)),"")</f>
        <v/>
      </c>
      <c r="GH14" s="280" t="str">
        <f t="array" ref="GH14">_xlfn.IFNA(INDEX('DMR 001C NEW'!$A$3:$O$999,MATCH(('001-C DMR'!$FW$6&amp;'001-C DMR'!GH$10&amp;'001-C DMR'!$B14),('DMR 001C NEW'!$E$3:$E$1112&amp;'DMR 001C NEW'!$B$3:$B$1112&amp;'DMR 001C NEW'!$A$3:$A$1112),0),MATCH('001-C DMR'!$FY$11,'DMR 001C NEW'!$A$2:$O$2,0)),"")</f>
        <v/>
      </c>
      <c r="GI14" s="280" t="str">
        <f t="array" ref="GI14">_xlfn.IFNA(INDEX('DMR 001C NEW'!$A$3:$O$999,MATCH(('001-C DMR'!$FW$6&amp;'001-C DMR'!GI$10&amp;'001-C DMR'!$B14),('DMR 001C NEW'!$E$3:$E$1112&amp;'DMR 001C NEW'!$B$3:$B$1112&amp;'DMR 001C NEW'!$A$3:$A$1112),0),MATCH('001-C DMR'!$FY$11,'DMR 001C NEW'!$A$2:$O$2,0)),"")</f>
        <v/>
      </c>
      <c r="GJ14" s="281" t="str">
        <f t="array" ref="GJ14">_xlfn.IFNA(INDEX('DMR 001C NEW'!$A$3:$O$999,MATCH(('001-C DMR'!$FW$6&amp;'001-C DMR'!GJ$10&amp;'001-C DMR'!$B14),('DMR 001C NEW'!$E$3:$E$1112&amp;'DMR 001C NEW'!$B$3:$B$1112&amp;'DMR 001C NEW'!$A$3:$A$1112),0),MATCH('001-C DMR'!$FY$11,'DMR 001C NEW'!$A$2:$O$2,0)),"")</f>
        <v/>
      </c>
      <c r="GK14" s="58" t="str">
        <f t="array" ref="GK14">_xlfn.IFNA(INDEX('DMR 001C NEW'!$A$3:$O$9999,MATCH(('001-C DMR'!$GK$6&amp;'001-C DMR'!$GK$10&amp;'001-C DMR'!$B14),('DMR 001C NEW'!$E$3:$E$9018&amp;'DMR 001C NEW'!$B$3:$B$9018&amp;'DMR 001C NEW'!$A$3:$A$9018),0),MATCH('001-C DMR'!$GK$11,'DMR 001C NEW'!$A$2:$O$2,0)),"")</f>
        <v>n</v>
      </c>
      <c r="GL14" s="58" t="str">
        <f t="array" ref="GL14">_xlfn.IFNA(INDEX('DMR 001C NEW'!$A$3:$O$9999,MATCH(('001-C DMR'!$GK$6&amp;'001-C DMR'!$GL$10&amp;'001-C DMR'!$B14),('DMR 001C NEW'!$E$3:$E$9018&amp;'DMR 001C NEW'!$B$3:$B$9018&amp;'DMR 001C NEW'!$A$3:$A$9018),0),MATCH('001-C DMR'!$GK$11,'DMR 001C NEW'!$A$2:$O$2,0)),"")</f>
        <v>n</v>
      </c>
      <c r="GM14" s="134"/>
      <c r="GN14" s="64" t="str">
        <f>IF($A14="Sat",COUNT(GL7:GL14),"")</f>
        <v/>
      </c>
      <c r="GO14" s="134"/>
      <c r="GP14" s="134"/>
      <c r="GQ14" s="134"/>
      <c r="GR14" s="134"/>
      <c r="GS14" s="134"/>
      <c r="GT14" s="134"/>
      <c r="GU14" s="134"/>
      <c r="GV14" s="134"/>
      <c r="GW14" s="134"/>
      <c r="GX14" s="134"/>
      <c r="GY14" s="134"/>
      <c r="GZ14" s="134"/>
      <c r="HA14" s="134"/>
      <c r="HB14" s="134"/>
      <c r="HC14" s="134"/>
      <c r="HD14" s="134"/>
      <c r="HE14" s="134"/>
      <c r="HF14" s="134"/>
      <c r="HG14" s="134"/>
      <c r="HH14" s="134"/>
      <c r="HI14" s="134"/>
      <c r="HJ14" s="134"/>
      <c r="HK14" s="134"/>
      <c r="HL14" s="134"/>
      <c r="HM14" s="134"/>
      <c r="HN14" s="134"/>
      <c r="HO14" s="134"/>
      <c r="HP14" s="134"/>
      <c r="HQ14" s="134"/>
      <c r="HR14" s="134"/>
      <c r="HS14" s="134"/>
      <c r="HT14" s="134"/>
      <c r="HU14" s="134"/>
      <c r="HV14" s="134"/>
      <c r="HW14" s="134"/>
      <c r="HX14" s="134"/>
      <c r="HY14" s="134"/>
      <c r="HZ14" s="134"/>
      <c r="IA14" s="134"/>
      <c r="IB14" s="134"/>
      <c r="IC14" s="134"/>
      <c r="ID14" s="134"/>
      <c r="IE14" s="134"/>
      <c r="IF14" s="134"/>
      <c r="IG14" s="134"/>
      <c r="IH14" s="134"/>
      <c r="II14" s="134"/>
      <c r="IJ14" s="134"/>
      <c r="IK14" s="134"/>
      <c r="IL14" s="134"/>
      <c r="IM14" s="134"/>
      <c r="IN14" s="134"/>
      <c r="IO14" s="134"/>
      <c r="IP14" s="134"/>
      <c r="IQ14" s="134"/>
      <c r="IR14" s="134"/>
      <c r="IS14" s="134"/>
      <c r="IT14" s="134"/>
      <c r="IU14" s="134"/>
      <c r="IV14" s="134"/>
      <c r="IW14" s="134"/>
      <c r="IX14" s="134"/>
      <c r="IY14" s="134"/>
      <c r="IZ14" s="134"/>
      <c r="JA14" s="134"/>
      <c r="JB14" s="134"/>
      <c r="JC14" s="134"/>
      <c r="JD14" s="134"/>
      <c r="JE14" s="134"/>
      <c r="JF14" s="134"/>
      <c r="JG14" s="134"/>
      <c r="JH14" s="134"/>
      <c r="JI14" s="134"/>
      <c r="JJ14" s="134"/>
      <c r="JK14" s="134"/>
      <c r="JL14" s="134"/>
      <c r="JM14" s="134"/>
      <c r="JN14" s="134"/>
      <c r="JO14" s="134"/>
      <c r="JP14" s="134"/>
      <c r="JQ14" s="134"/>
      <c r="JR14" s="134"/>
      <c r="JS14" s="134"/>
      <c r="JT14" s="134"/>
      <c r="JU14" s="134"/>
      <c r="JV14" s="134"/>
    </row>
    <row r="15" spans="1:282" s="51" customFormat="1" x14ac:dyDescent="0.25">
      <c r="A15" s="67" t="str">
        <f t="shared" si="5"/>
        <v>Wed</v>
      </c>
      <c r="B15" s="216">
        <f t="shared" si="26"/>
        <v>43677</v>
      </c>
      <c r="C15" s="93">
        <f t="array" ref="C15">INDEX('DMR 001C NEW'!$A$3:$N$10020,MATCH(('001-C DMR'!$C$6:$K$6&amp;'001-C DMR'!$C$10:$E$10&amp;'001-C DMR'!$B15),('DMR 001C NEW'!$E$3:$E$7246&amp;'DMR 001C NEW'!$B$3:$B$7246&amp;'DMR 001C NEW'!$A$3:$A$7246),0),MATCH('001-C DMR'!$C$11,'DMR 001C NEW'!$A$2:$O$2,0))</f>
        <v>5.7</v>
      </c>
      <c r="D15" s="56" t="str">
        <f t="array" ref="D15">INDEX('DMR 001C NEW'!$A$3:$N$11771,MATCH(('001-C DMR'!$C$6:$K$6&amp;'001-C DMR'!$C$10:$E$10&amp;'001-C DMR'!$B15),('DMR 001C NEW'!$E$3:$E$9018&amp;'DMR 001C NEW'!$B$3:$B$9018&amp;'DMR 001C NEW'!$A$3:$A$9018),0),MATCH('001-C DMR'!$D$11,'DMR 001C NEW'!$A$2:$O$2,0))</f>
        <v>AE67737</v>
      </c>
      <c r="E15" s="56">
        <f t="array" ref="E15">INDEX('DMR 001C NEW'!$A$3:$N$9999,MATCH(('001-C DMR'!$E$11&amp;'001-C DMR'!$C$10:$E$10&amp;'001-C DMR'!$B15&amp;$D15),('DMR 001C NEW'!$E$3:$E$7246&amp;'DMR 001C NEW'!$B$3:$B$7246&amp;'DMR 001C NEW'!$A$3:$A$7246&amp;'DMR 001C NEW'!$M$3:$M$7188),0),MATCH($C$11,'DMR 001C NEW'!$A$2:$O$2,0))</f>
        <v>53.69</v>
      </c>
      <c r="F15" s="56">
        <f t="array" ref="F15">INDEX('DMR 001C NEW'!$A$3:$N$9999,MATCH('001-C DMR'!$C$6:$K$6&amp;'001-C DMR'!$F$10&amp;'001-C DMR'!$B15,('DMR 001C NEW'!$E$3:$E$7246&amp;'DMR 001C NEW'!$B$3:$B$7246&amp;'DMR 001C NEW'!$A$3:$A$7246),0),MATCH('001-C DMR'!$C$11,'DMR 001C NEW'!$A$2:$O$2,0))</f>
        <v>6.4</v>
      </c>
      <c r="G15" s="56" t="str">
        <f t="array" ref="G15">INDEX('DMR 001C NEW'!$A$3:$N$3865,MATCH(('001-C DMR'!$C$6:$K$6&amp;'001-C DMR'!$F$10&amp;'001-C DMR'!$B15),('DMR 001C NEW'!$E$3:$E$1112&amp;'DMR 001C NEW'!$B$3:$B$1112&amp;'DMR 001C NEW'!$A$3:$A$1112),0),MATCH('001-C DMR'!$D$11,'DMR 001C NEW'!$A$2:$O$2,0))</f>
        <v>AE67738</v>
      </c>
      <c r="H15" s="56">
        <f t="array" ref="H15">INDEX('DMR 001C NEW'!$A$3:$N$9999,MATCH(('001-C DMR'!$E$11&amp;'001-C DMR'!$F$10&amp;'001-C DMR'!$B15&amp;$G15),('DMR 001C NEW'!$E$3:$E$7246&amp;'DMR 001C NEW'!$B$3:$B$7246&amp;'DMR 001C NEW'!$A$3:$A$7246&amp;'DMR 001C NEW'!$M$3:$M$7188),0),MATCH($C$11,'DMR 001C NEW'!$A$2:$O$2,0))</f>
        <v>82.32</v>
      </c>
      <c r="I15" s="56">
        <f t="shared" si="0"/>
        <v>6.12367472979928</v>
      </c>
      <c r="J15" s="58" t="str">
        <f t="shared" si="1"/>
        <v/>
      </c>
      <c r="K15" s="64" t="str">
        <f>IF($A15="Sat",COUNT(I8:I15),"")</f>
        <v/>
      </c>
      <c r="L15" s="262" t="str">
        <f t="array" ref="L15">_xlfn.IFNA(INDEX('DMR 001C NEW'!$A$3:$N$3865,MATCH(('001-C DMR'!$C$6:$K$6&amp;'001-C DMR'!L$10&amp;'001-C DMR'!$B15),('DMR 001C NEW'!$E$3:$E$1112&amp;'DMR 001C NEW'!$B$3:$B$1112&amp;'DMR 001C NEW'!$A$3:$A$1112),0),MATCH('001-C DMR'!$C$11,'DMR 001C NEW'!$A$2:$O$2,0)),"")</f>
        <v/>
      </c>
      <c r="M15" s="262" t="str">
        <f t="array" ref="M15">_xlfn.IFNA(INDEX('DMR 001C NEW'!$A$3:$N$3865,MATCH(('001-C DMR'!$C$6:$K$6&amp;'001-C DMR'!M$10&amp;'001-C DMR'!$B15),('DMR 001C NEW'!$E$3:$E$1112&amp;'DMR 001C NEW'!$B$3:$B$1112&amp;'DMR 001C NEW'!$A$3:$A$1112),0),MATCH('001-C DMR'!$C$11,'DMR 001C NEW'!$A$2:$O$2,0)),"")</f>
        <v/>
      </c>
      <c r="N15" s="262" t="str">
        <f t="array" ref="N15">_xlfn.IFNA(INDEX('DMR 001C NEW'!$A$3:$N$3865,MATCH(('001-C DMR'!$C$6:$K$6&amp;'001-C DMR'!N$10&amp;'001-C DMR'!$B15),('DMR 001C NEW'!$E$3:$E$1112&amp;'DMR 001C NEW'!$B$3:$B$1112&amp;'DMR 001C NEW'!$A$3:$A$1112),0),MATCH('001-C DMR'!$C$11,'DMR 001C NEW'!$A$2:$O$2,0)),"")</f>
        <v/>
      </c>
      <c r="O15" s="262" t="str">
        <f t="array" ref="O15">_xlfn.IFNA(INDEX('DMR 001C NEW'!$A$3:$N$3865,MATCH(('001-C DMR'!$C$6:$K$6&amp;'001-C DMR'!O$10&amp;'001-C DMR'!$B15),('DMR 001C NEW'!$E$3:$E$1112&amp;'DMR 001C NEW'!$B$3:$B$1112&amp;'DMR 001C NEW'!$A$3:$A$1112),0),MATCH('001-C DMR'!$C$11,'DMR 001C NEW'!$A$2:$O$2,0)),"")</f>
        <v/>
      </c>
      <c r="P15" s="262" t="str">
        <f t="array" ref="P15">_xlfn.IFNA(INDEX('DMR 001C NEW'!$A$3:$N$3865,MATCH(('001-C DMR'!$C$6:$K$6&amp;'001-C DMR'!P$10&amp;'001-C DMR'!$B15),('DMR 001C NEW'!$E$3:$E$1112&amp;'DMR 001C NEW'!$B$3:$B$1112&amp;'DMR 001C NEW'!$A$3:$A$1112),0),MATCH('001-C DMR'!$C$11,'DMR 001C NEW'!$A$2:$O$2,0)),"")</f>
        <v/>
      </c>
      <c r="Q15" s="120" t="e">
        <f t="array" ref="Q15">INDEX('DMR 001C NEW'!$A$3:$N$3865,MATCH(('001-C DMR'!$C$6:$K$6&amp;'001-C DMR'!Q$10&amp;'001-C DMR'!$B15),('DMR 001C NEW'!$E$3:$E$1112&amp;'DMR 001C NEW'!$B$3:$B$1112&amp;'DMR 001C NEW'!$A$3:$A$1112),0),MATCH('001-C DMR'!$C$11,'DMR 001C NEW'!$A$2:$O$2,0))</f>
        <v>#N/A</v>
      </c>
      <c r="R15" s="61"/>
      <c r="S15" s="56">
        <f t="array" ref="S15">_xlfn.IFNA(INDEX('DMR 001C NEW'!$A$3:$N$11771,MATCH(('001-C DMR'!$R$6:$T$6&amp;'001-C DMR'!$R$10&amp;'001-C DMR'!$B15),('DMR 001C NEW'!$E$3:$E$9018&amp;'DMR 001C NEW'!$B$3:$B$9018&amp;'DMR 001C NEW'!$A$3:$A$9018),0),MATCH('001-C DMR'!$S$11,'DMR 001C NEW'!$A$2:$O$2,0)),"")</f>
        <v>7.1</v>
      </c>
      <c r="T15" s="55"/>
      <c r="U15" s="262" t="str">
        <f t="array" ref="U15">_xlfn.IFNA(INDEX('DMR 001C NEW'!$A$3:$O$591,MATCH('001-C DMR'!$R$6:$T$6&amp;'001-C DMR'!U$10&amp;'001-C DMR'!$B15,('DMR 001C NEW'!$E$3:$E$704&amp;'DMR 001C NEW'!$B$3:$B$704&amp;'DMR 001C NEW'!$A$3:$A$704),0),MATCH('001-C DMR'!$U$11,'DMR 001C NEW'!$A$2:$O$2,0)),"")</f>
        <v/>
      </c>
      <c r="V15" s="262" t="str">
        <f t="array" ref="V15">_xlfn.IFNA(INDEX('DMR 001C NEW'!$A$3:$O$591,MATCH('001-C DMR'!$R$6:$T$6&amp;'001-C DMR'!V$10&amp;'001-C DMR'!$B15,('DMR 001C NEW'!$E$3:$E$704&amp;'DMR 001C NEW'!$B$3:$B$704&amp;'DMR 001C NEW'!$A$3:$A$704),0),MATCH('001-C DMR'!$U$11,'DMR 001C NEW'!$A$2:$O$2,0)),"")</f>
        <v/>
      </c>
      <c r="W15" s="262" t="str">
        <f t="array" ref="W15">_xlfn.IFNA(INDEX('DMR 001C NEW'!$A$3:$O$591,MATCH('001-C DMR'!$R$6:$T$6&amp;'001-C DMR'!W$10&amp;'001-C DMR'!$B15,('DMR 001C NEW'!$E$3:$E$704&amp;'DMR 001C NEW'!$B$3:$B$704&amp;'DMR 001C NEW'!$A$3:$A$704),0),MATCH('001-C DMR'!$U$11,'DMR 001C NEW'!$A$2:$O$2,0)),"")</f>
        <v/>
      </c>
      <c r="X15" s="262" t="str">
        <f t="array" ref="X15">_xlfn.IFNA(INDEX('DMR 001C NEW'!$A$3:$O$591,MATCH('001-C DMR'!$R$6:$T$6&amp;'001-C DMR'!X$10&amp;'001-C DMR'!$B15,('DMR 001C NEW'!$E$3:$E$704&amp;'DMR 001C NEW'!$B$3:$B$704&amp;'DMR 001C NEW'!$A$3:$A$704),0),MATCH('001-C DMR'!$U$11,'DMR 001C NEW'!$A$2:$O$2,0)),"")</f>
        <v/>
      </c>
      <c r="Y15" s="262" t="str">
        <f t="array" ref="Y15">_xlfn.IFNA(INDEX('DMR 001C NEW'!$A$3:$O$591,MATCH('001-C DMR'!$R$6:$T$6&amp;'001-C DMR'!Y$10&amp;'001-C DMR'!$B15,('DMR 001C NEW'!$E$3:$E$704&amp;'DMR 001C NEW'!$B$3:$B$704&amp;'DMR 001C NEW'!$A$3:$A$704),0),MATCH('001-C DMR'!$U$11,'DMR 001C NEW'!$A$2:$O$2,0)),"")</f>
        <v/>
      </c>
      <c r="Z15" s="262" t="str">
        <f t="array" ref="Z15">_xlfn.IFNA(INDEX('DMR 001C NEW'!$A$3:$O$591,MATCH('001-C DMR'!$R$6:$T$6&amp;'001-C DMR'!Z$10&amp;'001-C DMR'!$B15,('DMR 001C NEW'!$E$3:$E$704&amp;'DMR 001C NEW'!$B$3:$B$704&amp;'DMR 001C NEW'!$A$3:$A$704),0),MATCH('001-C DMR'!$U$11,'DMR 001C NEW'!$A$2:$O$2,0)),"")</f>
        <v/>
      </c>
      <c r="AA15" s="262" t="str">
        <f t="array" ref="AA15">_xlfn.IFNA(INDEX('DMR 001C NEW'!$A$3:$O$591,MATCH('001-C DMR'!$R$6:$T$6&amp;'001-C DMR'!AA$10&amp;'001-C DMR'!$B15,('DMR 001C NEW'!$E$3:$E$704&amp;'DMR 001C NEW'!$B$3:$B$704&amp;'DMR 001C NEW'!$A$3:$A$704),0),MATCH('001-C DMR'!$U$11,'DMR 001C NEW'!$A$2:$O$2,0)),"")</f>
        <v/>
      </c>
      <c r="AB15" s="61" t="str">
        <f t="array" ref="AB15">IF(AD15&lt;AC15,"&lt;","")</f>
        <v/>
      </c>
      <c r="AC15" s="56">
        <f t="array" ref="AC15">_xlfn.IFNA(INDEX('DMR 001C NEW'!$A$3:$O$9999,MATCH(('001-C DMR'!$AB$6:$AJ$6&amp;'001-C DMR'!$AB$10:$AD$10&amp;'001-C DMR'!$B15),('DMR 001C NEW'!$E$3:$E$7246&amp;'DMR 001C NEW'!$B$3:$B$7246&amp;'DMR 001C NEW'!$A$3:$A$7246),0),MATCH('001-C DMR'!$AC$11,'DMR 001C NEW'!$A$2:$O$2,0)),"")</f>
        <v>3</v>
      </c>
      <c r="AD15" s="56">
        <f t="array" ref="AD15">_xlfn.IFNA(INDEX('DMR 001C NEW'!$A$3:$O$9999,MATCH(('001-C DMR'!$AB$6:$AJ$6&amp;'001-C DMR'!$AB$10:$AD$10&amp;'001-C DMR'!$B15),('DMR 001C NEW'!$E$3:$E$7246&amp;'DMR 001C NEW'!$B$3:$B$7246&amp;'DMR 001C NEW'!$A$3:$A$7246),0),MATCH('001-C DMR'!$AD$11,'DMR 001C NEW'!$A$2:$O$2,0)),"")</f>
        <v>11</v>
      </c>
      <c r="AE15" s="57" t="str">
        <f t="array" ref="AE15">IF(AG15&lt;AF15,"&lt;","")</f>
        <v/>
      </c>
      <c r="AF15" s="56">
        <f t="array" ref="AF15">_xlfn.IFNA(INDEX('DMR 001C NEW'!$A$3:$O$9999,MATCH(('001-C DMR'!$AB$6:$AJ$6&amp;'001-C DMR'!$AE$10&amp;'001-C DMR'!$B15),('DMR 001C NEW'!$E$3:$E$9018&amp;'DMR 001C NEW'!$B$3:$B$9018&amp;'DMR 001C NEW'!$A$3:$A$9018),0),MATCH('001-C DMR'!$AF$11,'DMR 001C NEW'!$A$2:$O$2,0)),"")</f>
        <v>3</v>
      </c>
      <c r="AG15" s="56">
        <f t="array" ref="AG15">_xlfn.IFNA(INDEX('DMR 001C NEW'!$A$3:$O$9999,MATCH(('001-C DMR'!$AB$6:$AJ$6&amp;'001-C DMR'!$AE$10&amp;'001-C DMR'!$B15),('DMR 001C NEW'!$E$3:$E$9018&amp;'DMR 001C NEW'!$B$3:$B$9018&amp;'DMR 001C NEW'!$A$3:$A$9018),0),MATCH('001-C DMR'!$AG$11,'DMR 001C NEW'!$A$2:$O$2,0)),"")</f>
        <v>12</v>
      </c>
      <c r="AH15" s="56">
        <f t="array" ref="AH15">IFERROR((($AD15*$EI15)+($AG15*$EJ15))/($EK15),"")</f>
        <v>11.602331102679676</v>
      </c>
      <c r="AI15" s="56" t="str">
        <f t="shared" si="2"/>
        <v/>
      </c>
      <c r="AJ15" s="64" t="str">
        <f>IF($A15="Sat",COUNT(AH8:AH15),"")</f>
        <v/>
      </c>
      <c r="AK15" s="262" t="str">
        <f t="array" ref="AK15">_xlfn.IFNA(INDEX('DMR 001C NEW'!$A$3:$O$999,MATCH(('001-C DMR'!$AB$6:$AJ$6&amp;'001-C DMR'!AK$10&amp;'001-C DMR'!$B15),('DMR 001C NEW'!$E$3:$E$1112&amp;'DMR 001C NEW'!$B$3:$B$1112&amp;'DMR 001C NEW'!$A$3:$A$1112),0),MATCH('001-C DMR'!$AD$11,'DMR 001C NEW'!$A$2:$O$2,0)),"")</f>
        <v/>
      </c>
      <c r="AL15" s="262" t="str">
        <f t="array" ref="AL15">_xlfn.IFNA(INDEX('DMR 001C NEW'!$A$3:$O$999,MATCH(('001-C DMR'!$AB$6:$AJ$6&amp;'001-C DMR'!AL$10&amp;'001-C DMR'!$B15),('DMR 001C NEW'!$E$3:$E$1112&amp;'DMR 001C NEW'!$B$3:$B$1112&amp;'DMR 001C NEW'!$A$3:$A$1112),0),MATCH('001-C DMR'!$AD$11,'DMR 001C NEW'!$A$2:$O$2,0)),"")</f>
        <v/>
      </c>
      <c r="AM15" s="262" t="str">
        <f t="array" ref="AM15">_xlfn.IFNA(INDEX('DMR 001C NEW'!$A$3:$O$999,MATCH(('001-C DMR'!$AB$6:$AJ$6&amp;'001-C DMR'!AM$10&amp;'001-C DMR'!$B15),('DMR 001C NEW'!$E$3:$E$1112&amp;'DMR 001C NEW'!$B$3:$B$1112&amp;'DMR 001C NEW'!$A$3:$A$1112),0),MATCH('001-C DMR'!$AD$11,'DMR 001C NEW'!$A$2:$O$2,0)),"")</f>
        <v/>
      </c>
      <c r="AN15" s="262" t="str">
        <f t="array" ref="AN15">_xlfn.IFNA(INDEX('DMR 001C NEW'!$A$3:$O$999,MATCH(('001-C DMR'!$AB$6:$AJ$6&amp;'001-C DMR'!AN$10&amp;'001-C DMR'!$B15),('DMR 001C NEW'!$E$3:$E$1112&amp;'DMR 001C NEW'!$B$3:$B$1112&amp;'DMR 001C NEW'!$A$3:$A$1112),0),MATCH('001-C DMR'!$AD$11,'DMR 001C NEW'!$A$2:$O$2,0)),"")</f>
        <v/>
      </c>
      <c r="AO15" s="262" t="str">
        <f t="array" ref="AO15">_xlfn.IFNA(INDEX('DMR 001C NEW'!$A$3:$O$999,MATCH(('001-C DMR'!$AB$6:$AJ$6&amp;'001-C DMR'!AO$10&amp;'001-C DMR'!$B15),('DMR 001C NEW'!$E$3:$E$1112&amp;'DMR 001C NEW'!$B$3:$B$1112&amp;'DMR 001C NEW'!$A$3:$A$1112),0),MATCH('001-C DMR'!$AD$11,'DMR 001C NEW'!$A$2:$O$2,0)),"")</f>
        <v/>
      </c>
      <c r="AP15" s="262" t="str">
        <f t="array" ref="AP15">_xlfn.IFNA(INDEX('DMR 001C NEW'!$A$3:$O$999,MATCH(('001-C DMR'!$AB$6:$AJ$6&amp;'001-C DMR'!AP$10&amp;'001-C DMR'!$B15),('DMR 001C NEW'!$E$3:$E$1112&amp;'DMR 001C NEW'!$B$3:$B$1112&amp;'DMR 001C NEW'!$A$3:$A$1112),0),MATCH('001-C DMR'!$AD$11,'DMR 001C NEW'!$A$2:$O$2,0)),"")</f>
        <v/>
      </c>
      <c r="AQ15" s="61" t="str">
        <f t="array" ref="AQ15">IF(AS15&lt;AR15,"&lt;","")</f>
        <v/>
      </c>
      <c r="AR15" s="58">
        <f t="array" ref="AR15">_xlfn.IFNA((INDEX('DMR 001C NEW'!$A$3:$O$9999,MATCH(('001-C DMR'!$AQ$6:$AZ$6&amp;'001-C DMR'!$AQ$10:$AS$10&amp;'001-C DMR'!$B15),('DMR 001C NEW'!$E$3:$E$7246&amp;'DMR 001C NEW'!$B$3:$B$7246&amp;'DMR 001C NEW'!$A$3:$A$7246),0),MATCH('001-C DMR'!$AR$11,'DMR 001C NEW'!$A$2:$O$2,0))),"")</f>
        <v>0.15</v>
      </c>
      <c r="AS15" s="58">
        <f t="array" ref="AS15">_xlfn.IFNA(INDEX('DMR 001C NEW'!$A$3:$O$9999,MATCH(('001-C DMR'!$AQ$6:$AZ$6&amp;'001-C DMR'!$AQ$10:$AS$10&amp;'001-C DMR'!$B15),('DMR 001C NEW'!$E$3:$E$7246&amp;'DMR 001C NEW'!$B$3:$B$7246&amp;'DMR 001C NEW'!$A$3:$A$7246),0),MATCH('001-C DMR'!$AS$11,'DMR 001C NEW'!$A$2:$O$2,0)),"")</f>
        <v>0.41</v>
      </c>
      <c r="AT15" s="58">
        <f t="shared" si="27"/>
        <v>0.41</v>
      </c>
      <c r="AU15" s="57" t="str">
        <f t="array" ref="AU15">IF(AW15&lt;AV15,"&lt;","")</f>
        <v/>
      </c>
      <c r="AV15" s="58">
        <f t="array" ref="AV15">_xlfn.IFNA((INDEX('DMR 001C NEW'!$A$3:$O$9999,MATCH(('001-C DMR'!$AQ$6:$AZ$6&amp;'001-C DMR'!$AU$10&amp;'001-C DMR'!$B15),('DMR 001C NEW'!$E$3:$E$7246&amp;'DMR 001C NEW'!$B$3:$B$7246&amp;'DMR 001C NEW'!$A$3:$A$7246),0),MATCH('001-C DMR'!$AR$11,'DMR 001C NEW'!$A$2:$O$2,0))),"")</f>
        <v>0.15</v>
      </c>
      <c r="AW15" s="58">
        <f t="array" ref="AW15">_xlfn.IFNA(INDEX('DMR 001C NEW'!$A$3:$O$9999,MATCH(('001-C DMR'!$AQ$6:$AZ$6&amp;'001-C DMR'!$AU$10&amp;'001-C DMR'!$B15),('DMR 001C NEW'!$E$3:$E$7246&amp;'DMR 001C NEW'!$B$3:$B$7246&amp;'DMR 001C NEW'!$A$3:$A$7246),0),MATCH('001-C DMR'!$AW$11,'DMR 001C NEW'!$A$2:$O$2,0)),"")</f>
        <v>0.36</v>
      </c>
      <c r="AX15" s="58">
        <f t="shared" si="6"/>
        <v>0.36</v>
      </c>
      <c r="AY15" s="56">
        <f t="array" ref="AY15">IFERROR((($AT15*$EI15)+($AX15*$EJ15))/($EK15),"")</f>
        <v>0.37988344486601622</v>
      </c>
      <c r="AZ15" s="64" t="str">
        <f>IF($A15="Sat",COUNT(AW8:AW15),"")</f>
        <v/>
      </c>
      <c r="BA15" s="279" t="str">
        <f t="array" ref="BA15">_xlfn.IFNA(INDEX('DMR 001C NEW'!$A$3:$O$9999,MATCH(('001-C DMR'!$AQ$6:$AZ$6&amp;'001-C DMR'!BA$10&amp;'001-C DMR'!$B15),('DMR 001C NEW'!$E$3:$E$1112&amp;'DMR 001C NEW'!$B$3:$B$1112&amp;'DMR 001C NEW'!$A$3:$A$1112),0),MATCH('001-C DMR'!$BA$11,'DMR 001C NEW'!$A$2:$O$2,0)),"")</f>
        <v/>
      </c>
      <c r="BB15" s="280" t="str">
        <f t="array" ref="BB15">_xlfn.IFNA(INDEX('DMR 001C NEW'!$A$3:$O$9999,MATCH(('001-C DMR'!$AQ$6:$AZ$6&amp;'001-C DMR'!BB$10&amp;'001-C DMR'!$B15),('DMR 001C NEW'!$E$3:$E$1112&amp;'DMR 001C NEW'!$B$3:$B$1112&amp;'DMR 001C NEW'!$A$3:$A$1112),0),MATCH('001-C DMR'!$BA$11,'DMR 001C NEW'!$A$2:$O$2,0)),"")</f>
        <v/>
      </c>
      <c r="BC15" s="280" t="str">
        <f t="array" ref="BC15">_xlfn.IFNA(INDEX('DMR 001C NEW'!$A$3:$O$9999,MATCH(('001-C DMR'!$AQ$6:$AZ$6&amp;'001-C DMR'!BC$10&amp;'001-C DMR'!$B15),('DMR 001C NEW'!$E$3:$E$1112&amp;'DMR 001C NEW'!$B$3:$B$1112&amp;'DMR 001C NEW'!$A$3:$A$1112),0),MATCH('001-C DMR'!$BA$11,'DMR 001C NEW'!$A$2:$O$2,0)),"")</f>
        <v/>
      </c>
      <c r="BD15" s="280" t="str">
        <f t="array" ref="BD15">_xlfn.IFNA(INDEX('DMR 001C NEW'!$A$3:$O$9999,MATCH(('001-C DMR'!$AQ$6:$AZ$6&amp;'001-C DMR'!BD$10&amp;'001-C DMR'!$B15),('DMR 001C NEW'!$E$3:$E$1112&amp;'DMR 001C NEW'!$B$3:$B$1112&amp;'DMR 001C NEW'!$A$3:$A$1112),0),MATCH('001-C DMR'!$BA$11,'DMR 001C NEW'!$A$2:$O$2,0)),"")</f>
        <v/>
      </c>
      <c r="BE15" s="280" t="str">
        <f t="array" ref="BE15">_xlfn.IFNA(INDEX('DMR 001C NEW'!$A$3:$O$9999,MATCH(('001-C DMR'!$AQ$6:$AZ$6&amp;'001-C DMR'!BE$10&amp;'001-C DMR'!$B15),('DMR 001C NEW'!$E$3:$E$1112&amp;'DMR 001C NEW'!$B$3:$B$1112&amp;'DMR 001C NEW'!$A$3:$A$1112),0),MATCH('001-C DMR'!$BA$11,'DMR 001C NEW'!$A$2:$O$2,0)),"")</f>
        <v/>
      </c>
      <c r="BF15" s="281" t="str">
        <f t="array" ref="BF15">_xlfn.IFNA(INDEX('DMR 001C NEW'!$A$3:$O$9999,MATCH(('001-C DMR'!$AQ$6:$AZ$6&amp;'001-C DMR'!BF$10&amp;'001-C DMR'!$B15),('DMR 001C NEW'!$E$3:$E$1112&amp;'DMR 001C NEW'!$B$3:$B$1112&amp;'DMR 001C NEW'!$A$3:$A$1112),0),MATCH('001-C DMR'!$BA$11,'DMR 001C NEW'!$A$2:$O$2,0)),"")</f>
        <v/>
      </c>
      <c r="BG15" s="57"/>
      <c r="BH15" s="58">
        <f t="array" ref="BH15">_xlfn.IFNA((INDEX('DMR 001C NEW'!$A$3:$O$9999,MATCH(('001-C DMR'!$BG$6&amp;'001-C DMR'!$BG$10&amp;'001-C DMR'!$B15),('DMR 001C NEW'!$E$3:$E$7246&amp;'DMR 001C NEW'!$B$3:$B$7246&amp;'DMR 001C NEW'!$A$3:$A$7246),0),MATCH('001-C DMR'!$BH$11,'DMR 001C NEW'!$A$2:$O$2,0))),"")</f>
        <v>0.06</v>
      </c>
      <c r="BI15" s="58">
        <f t="array" ref="BI15">_xlfn.IFNA(INDEX('DMR 001C NEW'!$A$3:$O$9999,MATCH(('001-C DMR'!$BG$6&amp;'001-C DMR'!$BG$10&amp;'001-C DMR'!$B15),('DMR 001C NEW'!$E$3:$E$7246&amp;'DMR 001C NEW'!$B$3:$B$7246&amp;'DMR 001C NEW'!$A$3:$A$7246),0),MATCH('001-C DMR'!$BI$11,'DMR 001C NEW'!$A$2:$O$2,0)),"")</f>
        <v>4.49</v>
      </c>
      <c r="BJ15" s="58">
        <f t="shared" si="7"/>
        <v>4.49</v>
      </c>
      <c r="BK15" s="57" t="str">
        <f t="shared" si="8"/>
        <v/>
      </c>
      <c r="BL15" s="58">
        <f t="array" ref="BL15">_xlfn.IFNA((INDEX('DMR 001C NEW'!$A$3:$O$9999,MATCH(('001-C DMR'!$BG$6&amp;'001-C DMR'!$BK$10&amp;'001-C DMR'!$B15),('DMR 001C NEW'!$E$3:$E$7246&amp;'DMR 001C NEW'!$B$3:$B$7246&amp;'DMR 001C NEW'!$A$3:$A$7246),0),MATCH('001-C DMR'!$BH$11,'DMR 001C NEW'!$A$2:$O$2,0))),"")</f>
        <v>0.06</v>
      </c>
      <c r="BM15" s="58">
        <f t="array" ref="BM15">_xlfn.IFNA(INDEX('DMR 001C NEW'!$A$3:$O$9999,MATCH(('001-C DMR'!$BG$6&amp;'001-C DMR'!$BK$10&amp;'001-C DMR'!$B15),('DMR 001C NEW'!$E$3:$E$7246&amp;'DMR 001C NEW'!$B$3:$B$7246&amp;'DMR 001C NEW'!$A$3:$A$7246),0),MATCH('001-C DMR'!$BI$11,'DMR 001C NEW'!$A$2:$O$2,0)),"")</f>
        <v>4.63</v>
      </c>
      <c r="BN15" s="58">
        <f t="shared" si="9"/>
        <v>4.63</v>
      </c>
      <c r="BO15" s="56">
        <f t="array" ref="BO15">IFERROR((($BJ15*$EI15)+($BN15*$EJ15))/($EK15),"")</f>
        <v>4.5743263543751542</v>
      </c>
      <c r="BP15" s="64" t="str">
        <f>IF($A15="Sat",COUNT(BM8:BM15),"")</f>
        <v/>
      </c>
      <c r="BQ15" s="280" t="str">
        <f t="array" ref="BQ15">_xlfn.IFNA(INDEX('DMR 001C NEW'!$A$3:$O$999,MATCH(('001-C DMR'!$BG$6&amp;'001-C DMR'!BQ$10&amp;'001-C DMR'!$B15),('DMR 001C NEW'!$E$3:$E$1112&amp;'DMR 001C NEW'!$B$3:$B$1112&amp;'DMR 001C NEW'!$A$3:$A$1112),0),MATCH('001-C DMR'!$BQ$11,'DMR 001C NEW'!$A$2:$O$2,0)),"")</f>
        <v/>
      </c>
      <c r="BR15" s="280" t="str">
        <f t="array" ref="BR15">_xlfn.IFNA(INDEX('DMR 001C NEW'!$A$3:$O$999,MATCH(('001-C DMR'!$BG$6&amp;'001-C DMR'!BR$10&amp;'001-C DMR'!$B15),('DMR 001C NEW'!$E$3:$E$1112&amp;'DMR 001C NEW'!$B$3:$B$1112&amp;'DMR 001C NEW'!$A$3:$A$1112),0),MATCH('001-C DMR'!$BQ$11,'DMR 001C NEW'!$A$2:$O$2,0)),"")</f>
        <v/>
      </c>
      <c r="BS15" s="280" t="str">
        <f t="array" ref="BS15">_xlfn.IFNA(INDEX('DMR 001C NEW'!$A$3:$O$999,MATCH(('001-C DMR'!$BG$6&amp;'001-C DMR'!BS$10&amp;'001-C DMR'!$B15),('DMR 001C NEW'!$E$3:$E$1112&amp;'DMR 001C NEW'!$B$3:$B$1112&amp;'DMR 001C NEW'!$A$3:$A$1112),0),MATCH('001-C DMR'!$BQ$11,'DMR 001C NEW'!$A$2:$O$2,0)),"")</f>
        <v/>
      </c>
      <c r="BT15" s="280" t="str">
        <f t="array" ref="BT15">_xlfn.IFNA(INDEX('DMR 001C NEW'!$A$3:$O$999,MATCH(('001-C DMR'!$BG$6&amp;'001-C DMR'!BT$10&amp;'001-C DMR'!$B15),('DMR 001C NEW'!$E$3:$E$1112&amp;'DMR 001C NEW'!$B$3:$B$1112&amp;'DMR 001C NEW'!$A$3:$A$1112),0),MATCH('001-C DMR'!$BQ$11,'DMR 001C NEW'!$A$2:$O$2,0)),"")</f>
        <v/>
      </c>
      <c r="BU15" s="280" t="str">
        <f t="array" ref="BU15">_xlfn.IFNA(INDEX('DMR 001C NEW'!$A$3:$O$999,MATCH(('001-C DMR'!$BG$6&amp;'001-C DMR'!BU$10&amp;'001-C DMR'!$B15),('DMR 001C NEW'!$E$3:$E$1112&amp;'DMR 001C NEW'!$B$3:$B$1112&amp;'DMR 001C NEW'!$A$3:$A$1112),0),MATCH('001-C DMR'!$BQ$11,'DMR 001C NEW'!$A$2:$O$2,0)),"")</f>
        <v/>
      </c>
      <c r="BV15" s="280" t="str">
        <f t="array" ref="BV15">_xlfn.IFNA(INDEX('DMR 001C NEW'!$A$3:$O$999,MATCH(('001-C DMR'!$BG$6&amp;'001-C DMR'!BV$10&amp;'001-C DMR'!$B15),('DMR 001C NEW'!$E$3:$E$1112&amp;'DMR 001C NEW'!$B$3:$B$1112&amp;'DMR 001C NEW'!$A$3:$A$1112),0),MATCH('001-C DMR'!$BQ$11,'DMR 001C NEW'!$A$2:$O$2,0)),"")</f>
        <v/>
      </c>
      <c r="BW15" s="65"/>
      <c r="BX15" s="65"/>
      <c r="BY15" s="57" t="str">
        <f t="shared" si="10"/>
        <v/>
      </c>
      <c r="BZ15" s="58" t="str">
        <f t="array" ref="BZ15">_xlfn.IFNA((INDEX('DMR 001C NEW'!$A$3:$O$9999,MATCH(('001-C DMR'!$BY$6&amp;'001-C DMR'!$BY$10&amp;'001-C DMR'!$B15),('DMR 001C NEW'!$E$3:$E$7246&amp;'DMR 001C NEW'!$B$3:$B$7246&amp;'DMR 001C NEW'!$A$3:$A$7246),0),MATCH('001-C DMR'!$BZ$11,'DMR 001C NEW'!$A$2:$O$2,0))),"")</f>
        <v/>
      </c>
      <c r="CA15" s="138" t="str">
        <f t="array" ref="CA15">_xlfn.IFNA(INDEX('DMR 001C NEW'!$A$3:$O$9999,MATCH(('001-C DMR'!$BY$6&amp;'001-C DMR'!$BY$10&amp;'001-C DMR'!$B15),('DMR 001C NEW'!$E$3:$E$7246&amp;'DMR 001C NEW'!$B$3:$B$7246&amp;'DMR 001C NEW'!$A$3:$A$7246),0),MATCH('001-C DMR'!$CA$11,'DMR 001C NEW'!$A$2:$O$2,0)),"")</f>
        <v/>
      </c>
      <c r="CB15" s="57" t="str">
        <f t="shared" si="11"/>
        <v/>
      </c>
      <c r="CC15" s="58" t="str">
        <f t="array" ref="CC15">_xlfn.IFNA((INDEX('DMR 001C NEW'!$A$3:$O$9999,MATCH(('001-C DMR'!$BY$6&amp;'001-C DMR'!$CB$10&amp;'001-C DMR'!$B15),('DMR 001C NEW'!$E$3:$E$7246&amp;'DMR 001C NEW'!$B$3:$B$7246&amp;'DMR 001C NEW'!$A$3:$A$7246),0),MATCH('001-C DMR'!$BZ$11,'DMR 001C NEW'!$A$2:$O$2,0))),"")</f>
        <v/>
      </c>
      <c r="CD15" s="138" t="str">
        <f t="array" ref="CD15">_xlfn.IFNA(INDEX('DMR 001C NEW'!$A$3:$O$9999,MATCH(('001-C DMR'!$BY$6&amp;'001-C DMR'!$CB$10&amp;'001-C DMR'!$B15),('DMR 001C NEW'!$E$3:$E$7246&amp;'DMR 001C NEW'!$B$3:$B$7246&amp;'DMR 001C NEW'!$A$3:$A$7246),0),MATCH('001-C DMR'!$CA$11,'DMR 001C NEW'!$A$2:$O$2,0)),"")</f>
        <v/>
      </c>
      <c r="CE15" s="138" t="str">
        <f t="array" ref="CE15">IFERROR((($CA15*$EI15)+($CD15*$EJ15))/($EK15),"")</f>
        <v/>
      </c>
      <c r="CF15" s="64" t="str">
        <f>IF($A15="Sat",COUNT(CE8:CE15),"")</f>
        <v/>
      </c>
      <c r="CG15" s="280" t="str">
        <f t="array" ref="CG15">_xlfn.IFNA(INDEX('DMR 001C NEW'!$A$3:$O$999,MATCH(('001-C DMR'!$BY$6&amp;'001-C DMR'!CG$10&amp;'001-C DMR'!$B15),('DMR 001C NEW'!$E$3:$E$1112&amp;'DMR 001C NEW'!$B$3:$B$1112&amp;'DMR 001C NEW'!$A$3:$A$1112),0),MATCH('001-C DMR'!$CA$11,'DMR 001C NEW'!$A$2:$O$2,0)),"")</f>
        <v/>
      </c>
      <c r="CH15" s="280" t="str">
        <f t="array" ref="CH15">_xlfn.IFNA(INDEX('DMR 001C NEW'!$A$3:$O$999,MATCH(('001-C DMR'!$BY$6&amp;'001-C DMR'!CH$10&amp;'001-C DMR'!$B15),('DMR 001C NEW'!$E$3:$E$1112&amp;'DMR 001C NEW'!$B$3:$B$1112&amp;'DMR 001C NEW'!$A$3:$A$1112),0),MATCH('001-C DMR'!$CA$11,'DMR 001C NEW'!$A$2:$O$2,0)),"")</f>
        <v/>
      </c>
      <c r="CI15" s="280" t="str">
        <f t="array" ref="CI15">_xlfn.IFNA(INDEX('DMR 001C NEW'!$A$3:$O$999,MATCH(('001-C DMR'!$BY$6&amp;'001-C DMR'!CI$10&amp;'001-C DMR'!$B15),('DMR 001C NEW'!$E$3:$E$1112&amp;'DMR 001C NEW'!$B$3:$B$1112&amp;'DMR 001C NEW'!$A$3:$A$1112),0),MATCH('001-C DMR'!$CA$11,'DMR 001C NEW'!$A$2:$O$2,0)),"")</f>
        <v/>
      </c>
      <c r="CJ15" s="280" t="str">
        <f t="array" ref="CJ15">_xlfn.IFNA(INDEX('DMR 001C NEW'!$A$3:$O$999,MATCH(('001-C DMR'!$BY$6&amp;'001-C DMR'!CJ$10&amp;'001-C DMR'!$B15),('DMR 001C NEW'!$E$3:$E$1112&amp;'DMR 001C NEW'!$B$3:$B$1112&amp;'DMR 001C NEW'!$A$3:$A$1112),0),MATCH('001-C DMR'!$CA$11,'DMR 001C NEW'!$A$2:$O$2,0)),"")</f>
        <v/>
      </c>
      <c r="CK15" s="280" t="str">
        <f t="array" ref="CK15">_xlfn.IFNA(INDEX('DMR 001C NEW'!$A$3:$O$999,MATCH(('001-C DMR'!$BY$6&amp;'001-C DMR'!CK$10&amp;'001-C DMR'!$B15),('DMR 001C NEW'!$E$3:$E$1112&amp;'DMR 001C NEW'!$B$3:$B$1112&amp;'DMR 001C NEW'!$A$3:$A$1112),0),MATCH('001-C DMR'!$CA$11,'DMR 001C NEW'!$A$2:$O$2,0)),"")</f>
        <v/>
      </c>
      <c r="CL15" s="280" t="str">
        <f t="array" ref="CL15">_xlfn.IFNA(INDEX('DMR 001C NEW'!$A$3:$O$999,MATCH(('001-C DMR'!$BY$6&amp;'001-C DMR'!CL$10&amp;'001-C DMR'!$B15),('DMR 001C NEW'!$E$3:$E$1112&amp;'DMR 001C NEW'!$B$3:$B$1112&amp;'DMR 001C NEW'!$A$3:$A$1112),0),MATCH('001-C DMR'!$CA$11,'DMR 001C NEW'!$A$2:$O$2,0)),"")</f>
        <v/>
      </c>
      <c r="CM15" s="61" t="str">
        <f t="shared" si="12"/>
        <v/>
      </c>
      <c r="CN15" s="138" t="str">
        <f t="array" ref="CN15">_xlfn.IFNA((INDEX('DMR 001C NEW'!$A$3:$O$9999,MATCH(('001-C DMR'!$CM$6&amp;'001-C DMR'!$CM$10&amp;'001-C DMR'!$B15),('DMR 001C NEW'!$E$3:$E$9018&amp;'DMR 001C NEW'!$B$3:$B$9018&amp;'DMR 001C NEW'!$A$3:$A$9018),0),MATCH('001-C DMR'!$CN$11,'DMR 001C NEW'!$A$2:$O$2,0))*1000),"")</f>
        <v/>
      </c>
      <c r="CO15" s="138" t="str">
        <f t="array" ref="CO15">_xlfn.IFNA(INDEX('DMR 001C NEW'!$A$3:$O$9999,MATCH(('001-C DMR'!$CM$6&amp;'001-C DMR'!$CM$10&amp;'001-C DMR'!$B15),('DMR 001C NEW'!$E$3:$E$9018&amp;'DMR 001C NEW'!$B$3:$B$9018&amp;'DMR 001C NEW'!$A$3:$A$9018),0),MATCH('001-C DMR'!$CO$11,'DMR 001C NEW'!$A$2:$O$2,0))*1000,"")</f>
        <v/>
      </c>
      <c r="CP15" s="138" t="str">
        <f t="shared" si="13"/>
        <v/>
      </c>
      <c r="CQ15" s="64" t="str">
        <f>IF($A15="Sat",COUNT(CO8:CO15),"")</f>
        <v/>
      </c>
      <c r="CR15" s="280" t="str">
        <f t="array" ref="CR15">_xlfn.IFNA(INDEX('DMR 001C NEW'!$A$3:$O$999,MATCH(('001-C DMR'!$CM$6&amp;'001-C DMR'!CR$10&amp;'001-C DMR'!$B15),('DMR 001C NEW'!$E$3:$E$1112&amp;'DMR 001C NEW'!$B$3:$B$1112&amp;'DMR 001C NEW'!$A$3:$A$1112),0),MATCH('001-C DMR'!$CO$11,'DMR 001C NEW'!$A$2:$O$2,0)),"")</f>
        <v/>
      </c>
      <c r="CS15" s="280" t="str">
        <f t="array" ref="CS15">_xlfn.IFNA(INDEX('DMR 001C NEW'!$A$3:$O$999,MATCH(('001-C DMR'!$CM$6&amp;'001-C DMR'!CS$10&amp;'001-C DMR'!$B15),('DMR 001C NEW'!$E$3:$E$1112&amp;'DMR 001C NEW'!$B$3:$B$1112&amp;'DMR 001C NEW'!$A$3:$A$1112),0),MATCH('001-C DMR'!$CO$11,'DMR 001C NEW'!$A$2:$O$2,0)),"")</f>
        <v/>
      </c>
      <c r="CT15" s="280" t="str">
        <f t="array" ref="CT15">_xlfn.IFNA(INDEX('DMR 001C NEW'!$A$3:$O$999,MATCH(('001-C DMR'!$CM$6&amp;'001-C DMR'!CT$10&amp;'001-C DMR'!$B15),('DMR 001C NEW'!$E$3:$E$1112&amp;'DMR 001C NEW'!$B$3:$B$1112&amp;'DMR 001C NEW'!$A$3:$A$1112),0),MATCH('001-C DMR'!$CO$11,'DMR 001C NEW'!$A$2:$O$2,0)),"")</f>
        <v/>
      </c>
      <c r="CU15" s="280" t="str">
        <f t="array" ref="CU15">_xlfn.IFNA(INDEX('DMR 001C NEW'!$A$3:$O$999,MATCH(('001-C DMR'!$CM$6&amp;'001-C DMR'!CU$10&amp;'001-C DMR'!$B15),('DMR 001C NEW'!$E$3:$E$1112&amp;'DMR 001C NEW'!$B$3:$B$1112&amp;'DMR 001C NEW'!$A$3:$A$1112),0),MATCH('001-C DMR'!$CO$11,'DMR 001C NEW'!$A$2:$O$2,0)),"")</f>
        <v/>
      </c>
      <c r="CV15" s="280" t="str">
        <f t="array" ref="CV15">_xlfn.IFNA(INDEX('DMR 001C NEW'!$A$3:$O$999,MATCH(('001-C DMR'!$CM$6&amp;'001-C DMR'!CV$10&amp;'001-C DMR'!$B15),('DMR 001C NEW'!$E$3:$E$1112&amp;'DMR 001C NEW'!$B$3:$B$1112&amp;'DMR 001C NEW'!$A$3:$A$1112),0),MATCH('001-C DMR'!$CO$11,'DMR 001C NEW'!$A$2:$O$2,0)),"")</f>
        <v/>
      </c>
      <c r="CW15" s="280" t="str">
        <f t="array" ref="CW15">_xlfn.IFNA(INDEX('DMR 001C NEW'!$A$3:$O$999,MATCH(('001-C DMR'!$CM$6&amp;'001-C DMR'!CW$10&amp;'001-C DMR'!$B15),('DMR 001C NEW'!$E$3:$E$1112&amp;'DMR 001C NEW'!$B$3:$B$1112&amp;'DMR 001C NEW'!$A$3:$A$1112),0),MATCH('001-C DMR'!$CO$11,'DMR 001C NEW'!$A$2:$O$2,0)),"")</f>
        <v/>
      </c>
      <c r="CX15" s="280" t="str">
        <f t="array" ref="CX15">_xlfn.IFNA(INDEX('DMR 001C NEW'!$A$3:$O$999,MATCH(('001-C DMR'!$CM$6&amp;'001-C DMR'!CX$10&amp;'001-C DMR'!$B15),('DMR 001C NEW'!$E$3:$E$1112&amp;'DMR 001C NEW'!$B$3:$B$1112&amp;'DMR 001C NEW'!$A$3:$A$1112),0),MATCH('001-C DMR'!$CO$11,'DMR 001C NEW'!$A$2:$O$2,0)),"")</f>
        <v/>
      </c>
      <c r="CY15" s="61" t="str">
        <f t="shared" si="14"/>
        <v/>
      </c>
      <c r="CZ15" s="138" t="str">
        <f t="array" ref="CZ15">_xlfn.IFNA((INDEX('DMR 001C NEW'!$A$3:$O$9999,MATCH(('001-C DMR'!$CY$6&amp;'001-C DMR'!$CY$10&amp;'001-C DMR'!$B15),('DMR 001C NEW'!$E$3:$E$9018&amp;'DMR 001C NEW'!$B$3:$B$9018&amp;'DMR 001C NEW'!$A$3:$A$9018),0),MATCH('001-C DMR'!$CZ$11,'DMR 001C NEW'!$A$2:$O$2,0))*1000),"")</f>
        <v/>
      </c>
      <c r="DA15" s="138" t="str">
        <f t="array" ref="DA15">_xlfn.IFNA(INDEX('DMR 001C NEW'!$A$3:$O$9999,MATCH(('001-C DMR'!$CY$6&amp;'001-C DMR'!$CY$10&amp;'001-C DMR'!$B15),('DMR 001C NEW'!$E$3:$E$9018&amp;'DMR 001C NEW'!$B$3:$B$9018&amp;'DMR 001C NEW'!$A$3:$A$9018),0),MATCH('001-C DMR'!$DA$11,'DMR 001C NEW'!$A$2:$O$2,0))*1000,"")</f>
        <v/>
      </c>
      <c r="DB15" s="138" t="str">
        <f t="shared" si="15"/>
        <v/>
      </c>
      <c r="DC15" s="64" t="str">
        <f>IF($A15="Sat",COUNT(DA8:DA15),"")</f>
        <v/>
      </c>
      <c r="DD15" s="280" t="str">
        <f t="array" ref="DD15">_xlfn.IFNA(INDEX('DMR 001C NEW'!$A$3:$O$999,MATCH(('001-C DMR'!$CY$6&amp;'001-C DMR'!DD$10&amp;'001-C DMR'!$B15),('DMR 001C NEW'!$E$3:$E$1112&amp;'DMR 001C NEW'!$B$3:$B$1112&amp;'DMR 001C NEW'!$A$3:$A$1112),0),MATCH('001-C DMR'!$DA$11,'DMR 001C NEW'!$A$2:$O$2,0)),"")</f>
        <v/>
      </c>
      <c r="DE15" s="280" t="str">
        <f t="array" ref="DE15">_xlfn.IFNA(INDEX('DMR 001C NEW'!$A$3:$O$999,MATCH(('001-C DMR'!$CY$6&amp;'001-C DMR'!DE$10&amp;'001-C DMR'!$B15),('DMR 001C NEW'!$E$3:$E$1112&amp;'DMR 001C NEW'!$B$3:$B$1112&amp;'DMR 001C NEW'!$A$3:$A$1112),0),MATCH('001-C DMR'!$DA$11,'DMR 001C NEW'!$A$2:$O$2,0)),"")</f>
        <v/>
      </c>
      <c r="DF15" s="280" t="str">
        <f t="array" ref="DF15">_xlfn.IFNA(INDEX('DMR 001C NEW'!$A$3:$O$999,MATCH(('001-C DMR'!$CY$6&amp;'001-C DMR'!DF$10&amp;'001-C DMR'!$B15),('DMR 001C NEW'!$E$3:$E$1112&amp;'DMR 001C NEW'!$B$3:$B$1112&amp;'DMR 001C NEW'!$A$3:$A$1112),0),MATCH('001-C DMR'!$DA$11,'DMR 001C NEW'!$A$2:$O$2,0)),"")</f>
        <v/>
      </c>
      <c r="DG15" s="280" t="str">
        <f t="array" ref="DG15">_xlfn.IFNA(INDEX('DMR 001C NEW'!$A$3:$O$999,MATCH(('001-C DMR'!$CY$6&amp;'001-C DMR'!DG$10&amp;'001-C DMR'!$B15),('DMR 001C NEW'!$E$3:$E$1112&amp;'DMR 001C NEW'!$B$3:$B$1112&amp;'DMR 001C NEW'!$A$3:$A$1112),0),MATCH('001-C DMR'!$DA$11,'DMR 001C NEW'!$A$2:$O$2,0)),"")</f>
        <v/>
      </c>
      <c r="DH15" s="280" t="str">
        <f t="array" ref="DH15">_xlfn.IFNA(INDEX('DMR 001C NEW'!$A$3:$O$999,MATCH(('001-C DMR'!$CY$6&amp;'001-C DMR'!DH$10&amp;'001-C DMR'!$B15),('DMR 001C NEW'!$E$3:$E$1112&amp;'DMR 001C NEW'!$B$3:$B$1112&amp;'DMR 001C NEW'!$A$3:$A$1112),0),MATCH('001-C DMR'!$DA$11,'DMR 001C NEW'!$A$2:$O$2,0)),"")</f>
        <v/>
      </c>
      <c r="DI15" s="280" t="str">
        <f t="array" ref="DI15">_xlfn.IFNA(INDEX('DMR 001C NEW'!$A$3:$O$999,MATCH(('001-C DMR'!$CY$6&amp;'001-C DMR'!DI$10&amp;'001-C DMR'!$B15),('DMR 001C NEW'!$E$3:$E$1112&amp;'DMR 001C NEW'!$B$3:$B$1112&amp;'DMR 001C NEW'!$A$3:$A$1112),0),MATCH('001-C DMR'!$DA$11,'DMR 001C NEW'!$A$2:$O$2,0)),"")</f>
        <v/>
      </c>
      <c r="DJ15" s="280" t="str">
        <f t="array" ref="DJ15">_xlfn.IFNA(INDEX('DMR 001C NEW'!$A$3:$O$999,MATCH(('001-C DMR'!$CY$6&amp;'001-C DMR'!DJ$10&amp;'001-C DMR'!$B15),('DMR 001C NEW'!$E$3:$E$1112&amp;'DMR 001C NEW'!$B$3:$B$1112&amp;'DMR 001C NEW'!$A$3:$A$1112),0),MATCH('001-C DMR'!$DA$11,'DMR 001C NEW'!$A$2:$O$2,0)),"")</f>
        <v/>
      </c>
      <c r="DK15" s="61" t="str">
        <f t="shared" si="16"/>
        <v/>
      </c>
      <c r="DL15" s="58" t="str">
        <f t="array" ref="DL15">_xlfn.IFNA((INDEX('DMR 001C NEW'!$A$3:$O$9999,MATCH(('001-C DMR'!$DK$6&amp;'001-C DMR'!$DK$10&amp;'001-C DMR'!$B15),('DMR 001C NEW'!$E$3:$E$9018&amp;'DMR 001C NEW'!$B$3:$B$9018&amp;'DMR 001C NEW'!$A$3:$A$9018),0),MATCH('001-C DMR'!$DL$11,'DMR 001C NEW'!$A$2:$O$2,0))),"")</f>
        <v/>
      </c>
      <c r="DM15" s="58" t="str">
        <f t="array" ref="DM15">_xlfn.IFNA(INDEX('DMR 001C NEW'!$A$3:$O$9999,MATCH(('001-C DMR'!$DK$6&amp;'001-C DMR'!$DK$10&amp;'001-C DMR'!$B15),('DMR 001C NEW'!$E$3:$E$9018&amp;'DMR 001C NEW'!$B$3:$B$9018&amp;'DMR 001C NEW'!$A$3:$A$9018),0),MATCH('001-C DMR'!$DM$11,'DMR 001C NEW'!$A$2:$O$2,0)),"")</f>
        <v/>
      </c>
      <c r="DN15" s="58" t="str">
        <f t="shared" si="17"/>
        <v/>
      </c>
      <c r="DO15" s="223"/>
      <c r="DP15" s="224"/>
      <c r="DQ15" s="64" t="str">
        <f t="shared" si="18"/>
        <v/>
      </c>
      <c r="DR15" s="280" t="str">
        <f t="array" ref="DR15">_xlfn.IFNA(INDEX('DMR 001C NEW'!$A$3:$O$999,MATCH(('001-C DMR'!$DK$6&amp;'001-C DMR'!DR$10&amp;'001-C DMR'!$B15),('DMR 001C NEW'!$E$3:$E$1112&amp;'DMR 001C NEW'!$B$3:$B$1112&amp;'DMR 001C NEW'!$A$3:$A$1112),0),MATCH('001-C DMR'!$DR$11,'DMR 001C NEW'!$A$2:$O$2,0)),"")</f>
        <v/>
      </c>
      <c r="DS15" s="280" t="str">
        <f t="array" ref="DS15">_xlfn.IFNA(INDEX('DMR 001C NEW'!$A$3:$O$999,MATCH(('001-C DMR'!$DK$6&amp;'001-C DMR'!DS$10&amp;'001-C DMR'!$B15),('DMR 001C NEW'!$E$3:$E$1112&amp;'DMR 001C NEW'!$B$3:$B$1112&amp;'DMR 001C NEW'!$A$3:$A$1112),0),MATCH('001-C DMR'!$DR$11,'DMR 001C NEW'!$A$2:$O$2,0)),"")</f>
        <v/>
      </c>
      <c r="DT15" s="280" t="str">
        <f t="array" ref="DT15">_xlfn.IFNA(INDEX('DMR 001C NEW'!$A$3:$O$999,MATCH(('001-C DMR'!$DK$6&amp;'001-C DMR'!DT$10&amp;'001-C DMR'!$B15),('DMR 001C NEW'!$E$3:$E$1112&amp;'DMR 001C NEW'!$B$3:$B$1112&amp;'DMR 001C NEW'!$A$3:$A$1112),0),MATCH('001-C DMR'!$DR$11,'DMR 001C NEW'!$A$2:$O$2,0)),"")</f>
        <v/>
      </c>
      <c r="DU15" s="280" t="str">
        <f t="array" ref="DU15">_xlfn.IFNA(INDEX('DMR 001C NEW'!$A$3:$O$999,MATCH(('001-C DMR'!$DK$6&amp;'001-C DMR'!DU$10&amp;'001-C DMR'!$B15),('DMR 001C NEW'!$E$3:$E$1112&amp;'DMR 001C NEW'!$B$3:$B$1112&amp;'DMR 001C NEW'!$A$3:$A$1112),0),MATCH('001-C DMR'!$DR$11,'DMR 001C NEW'!$A$2:$O$2,0)),"")</f>
        <v/>
      </c>
      <c r="DV15" s="280" t="str">
        <f t="array" ref="DV15">_xlfn.IFNA(INDEX('DMR 001C NEW'!$A$3:$O$999,MATCH(('001-C DMR'!$DK$6&amp;'001-C DMR'!DV$10&amp;'001-C DMR'!$B15),('DMR 001C NEW'!$E$3:$E$1112&amp;'DMR 001C NEW'!$B$3:$B$1112&amp;'DMR 001C NEW'!$A$3:$A$1112),0),MATCH('001-C DMR'!$DR$11,'DMR 001C NEW'!$A$2:$O$2,0)),"")</f>
        <v/>
      </c>
      <c r="DW15" s="280" t="str">
        <f t="array" ref="DW15">_xlfn.IFNA(INDEX('DMR 001C NEW'!$A$3:$O$999,MATCH(('001-C DMR'!$DK$6&amp;'001-C DMR'!DW$10&amp;'001-C DMR'!$B15),('DMR 001C NEW'!$E$3:$E$1112&amp;'DMR 001C NEW'!$B$3:$B$1112&amp;'DMR 001C NEW'!$A$3:$A$1112),0),MATCH('001-C DMR'!$DR$11,'DMR 001C NEW'!$A$2:$O$2,0)),"")</f>
        <v/>
      </c>
      <c r="DX15" s="280" t="str">
        <f t="array" ref="DX15">_xlfn.IFNA(INDEX('DMR 001C NEW'!$A$3:$O$999,MATCH(('001-C DMR'!$DK$6&amp;'001-C DMR'!DX$10&amp;'001-C DMR'!$B15),('DMR 001C NEW'!$E$3:$E$1112&amp;'DMR 001C NEW'!$B$3:$B$1112&amp;'DMR 001C NEW'!$A$3:$A$1112),0),MATCH('001-C DMR'!$DR$11,'DMR 001C NEW'!$A$2:$O$2,0)),"")</f>
        <v/>
      </c>
      <c r="DY15" s="61" t="str">
        <f t="shared" si="28"/>
        <v/>
      </c>
      <c r="DZ15" s="249" t="str">
        <f t="array" ref="DZ15">_xlfn.IFNA((INDEX('DMR 001C NEW'!$A$3:$O$9999,MATCH(('001-C DMR'!$DY$6&amp;'001-C DMR'!$DY$10&amp;'001-C DMR'!$B15),('DMR 001C NEW'!$E$3:$E$9018&amp;'DMR 001C NEW'!$B$3:$B$9018&amp;'DMR 001C NEW'!$A$3:$A$9018),0),MATCH('001-C DMR'!$DZ$11,'DMR 001C NEW'!$A$2:$O$2,0))),"")</f>
        <v/>
      </c>
      <c r="EA15" s="249" t="str">
        <f t="array" ref="EA15">_xlfn.IFNA((INDEX('DMR 001C NEW'!$A$3:$O$9999,MATCH(('001-C DMR'!$DY$6&amp;'001-C DMR'!$DY$10&amp;'001-C DMR'!$B15),('DMR 001C NEW'!$E$3:$E$9018&amp;'DMR 001C NEW'!$B$3:$B$9018&amp;'DMR 001C NEW'!$A$3:$A$9018),0),MATCH('001-C DMR'!$EA$11,'DMR 001C NEW'!$A$2:$O$2,0))),"")</f>
        <v/>
      </c>
      <c r="EB15" s="249" t="str">
        <f t="array" ref="EB15">IF(EA15="SCRATCHED","",IF(EA15&lt;DZ15,0,EA15))</f>
        <v/>
      </c>
      <c r="EC15" s="249" t="str">
        <f t="shared" si="29"/>
        <v/>
      </c>
      <c r="ED15" s="249" t="str">
        <f t="array" ref="ED15">_xlfn.IFNA((INDEX('DMR 001C NEW'!$A$3:$O$9999,MATCH(('001-C DMR'!$DY$6&amp;'001-C DMR'!$EC$10&amp;'001-C DMR'!$B15),('DMR 001C NEW'!$E$3:$E$9018&amp;'DMR 001C NEW'!$B$3:$B$9018&amp;'DMR 001C NEW'!$A$3:$A$9018),0),MATCH('001-C DMR'!$DZ$11,'DMR 001C NEW'!$A$2:$O$2,0))),"")</f>
        <v/>
      </c>
      <c r="EE15" s="249" t="str">
        <f t="array" ref="EE15">_xlfn.IFNA((INDEX('DMR 001C NEW'!$A$3:$O$9999,MATCH(('001-C DMR'!$DY$6&amp;'001-C DMR'!$EC$10&amp;'001-C DMR'!$B15),('DMR 001C NEW'!$E$3:$E$9018&amp;'DMR 001C NEW'!$B$3:$B$9018&amp;'DMR 001C NEW'!$A$3:$A$9018),0),MATCH('001-C DMR'!$EE$11,'DMR 001C NEW'!$A$2:$O$2,0))),"")</f>
        <v/>
      </c>
      <c r="EF15" s="249" t="str">
        <f t="array" ref="EF15">IF(EE15="SCRATCHED","",IF(EE15&lt;ED15,0,EE15))</f>
        <v/>
      </c>
      <c r="EG15" s="249"/>
      <c r="EH15" s="195"/>
      <c r="EI15" s="194">
        <f t="array" ref="EI15">_xlfn.IFNA(INDEX('DMR Flows-Effluent'!$A$3:$F$186,MATCH(($EI$10&amp;$B15),('DMR Flows-Effluent'!$B$3:$B$186&amp;'DMR Flows-Effluent'!$A$3:$A$186),0),MATCH($EI$8,'DMR Flows-Effluent'!$A$2:$F$2,0)),"")</f>
        <v>49.512799999999999</v>
      </c>
      <c r="EJ15" s="56">
        <f t="array" ref="EJ15">_xlfn.IFNA(INDEX('DMR Flows-Effluent'!$A$3:$F$186,MATCH(($EJ$10&amp;$B15),('DMR Flows-Effluent'!$B$3:$B$186&amp;'DMR Flows-Effluent'!$A$3:$A$186),0),MATCH($EI$8,'DMR Flows-Effluent'!$A$2:$F$2,0)),"")</f>
        <v>74.994799999999998</v>
      </c>
      <c r="EK15" s="168">
        <f t="shared" si="19"/>
        <v>124.5076</v>
      </c>
      <c r="EL15" s="63"/>
      <c r="EM15" s="63"/>
      <c r="EN15" s="63"/>
      <c r="EO15" s="63"/>
      <c r="EP15" s="62"/>
      <c r="EQ15" s="157">
        <f>'E.Coli Calculations'!R9</f>
        <v>142.1923235469539</v>
      </c>
      <c r="ER15" s="56"/>
      <c r="ES15" s="64" t="str">
        <f>IF($A15="Sat",COUNT(EQ8:EQ15),"")</f>
        <v/>
      </c>
      <c r="ET15" s="61" t="str">
        <f t="shared" si="20"/>
        <v/>
      </c>
      <c r="EU15" s="58" t="str">
        <f t="array" ref="EU15">_xlfn.IFNA((INDEX('DMR 001C NEW'!$A$3:$O$9999,MATCH(('001-C DMR'!$ET$6&amp;'001-C DMR'!$ET$10&amp;'001-C DMR'!$B15),('DMR 001C NEW'!$E$3:$E$9018&amp;'DMR 001C NEW'!$B$3:$B$9018&amp;'DMR 001C NEW'!$A$3:$A$9018),0),MATCH('001-C DMR'!$EU$11,'DMR 001C NEW'!$A$2:$O$2,0))),"")</f>
        <v/>
      </c>
      <c r="EV15" s="58" t="str">
        <f t="array" ref="EV15">_xlfn.IFNA(INDEX('DMR 001C NEW'!$A$3:$O$9999,MATCH(('001-C DMR'!$ET$6&amp;'001-C DMR'!$ET$10&amp;'001-C DMR'!$B15),('DMR 001C NEW'!$E$3:$E$9018&amp;'DMR 001C NEW'!$B$3:$B$9018&amp;'DMR 001C NEW'!$A$3:$A$9018),0),MATCH('001-C DMR'!$EV$11,'DMR 001C NEW'!$A$2:$O$2,0)),"")</f>
        <v/>
      </c>
      <c r="EW15" s="56" t="str">
        <f t="shared" si="21"/>
        <v/>
      </c>
      <c r="EX15" s="64"/>
      <c r="EY15" s="279" t="str">
        <f t="array" ref="EY15">_xlfn.IFNA(INDEX('DMR 001C NEW'!$A$3:$O$999,MATCH(('001-C DMR'!$ET$6&amp;'001-C DMR'!EY$10&amp;'001-C DMR'!$B15),('DMR 001C NEW'!$E$3:$E$1112&amp;'DMR 001C NEW'!$B$3:$B$1112&amp;'DMR 001C NEW'!$A$3:$A$1112),0),MATCH('001-C DMR'!$EY$11,'DMR 001C NEW'!$A$2:$O$2,0)),"")</f>
        <v/>
      </c>
      <c r="EZ15" s="280" t="str">
        <f t="array" ref="EZ15">_xlfn.IFNA(INDEX('DMR 001C NEW'!$A$3:$O$999,MATCH(('001-C DMR'!$ET$6&amp;'001-C DMR'!EZ$10&amp;'001-C DMR'!$B15),('DMR 001C NEW'!$E$3:$E$1112&amp;'DMR 001C NEW'!$B$3:$B$1112&amp;'DMR 001C NEW'!$A$3:$A$1112),0),MATCH('001-C DMR'!$EY$11,'DMR 001C NEW'!$A$2:$O$2,0)),"")</f>
        <v/>
      </c>
      <c r="FA15" s="280" t="str">
        <f t="array" ref="FA15">_xlfn.IFNA(INDEX('DMR 001C NEW'!$A$3:$O$999,MATCH(('001-C DMR'!$ET$6&amp;'001-C DMR'!FA$10&amp;'001-C DMR'!$B15),('DMR 001C NEW'!$E$3:$E$1112&amp;'DMR 001C NEW'!$B$3:$B$1112&amp;'DMR 001C NEW'!$A$3:$A$1112),0),MATCH('001-C DMR'!$EY$11,'DMR 001C NEW'!$A$2:$O$2,0)),"")</f>
        <v/>
      </c>
      <c r="FB15" s="280" t="str">
        <f t="array" ref="FB15">_xlfn.IFNA(INDEX('DMR 001C NEW'!$A$3:$O$999,MATCH(('001-C DMR'!$ET$6&amp;'001-C DMR'!FB$10&amp;'001-C DMR'!$B15),('DMR 001C NEW'!$E$3:$E$1112&amp;'DMR 001C NEW'!$B$3:$B$1112&amp;'DMR 001C NEW'!$A$3:$A$1112),0),MATCH('001-C DMR'!$EY$11,'DMR 001C NEW'!$A$2:$O$2,0)),"")</f>
        <v/>
      </c>
      <c r="FC15" s="280" t="str">
        <f t="array" ref="FC15">_xlfn.IFNA(INDEX('DMR 001C NEW'!$A$3:$O$999,MATCH(('001-C DMR'!$ET$6&amp;'001-C DMR'!FC$10&amp;'001-C DMR'!$B15),('DMR 001C NEW'!$E$3:$E$1112&amp;'DMR 001C NEW'!$B$3:$B$1112&amp;'DMR 001C NEW'!$A$3:$A$1112),0),MATCH('001-C DMR'!$EY$11,'DMR 001C NEW'!$A$2:$O$2,0)),"")</f>
        <v/>
      </c>
      <c r="FD15" s="280" t="str">
        <f t="array" ref="FD15">_xlfn.IFNA(INDEX('DMR 001C NEW'!$A$3:$O$999,MATCH(('001-C DMR'!$ET$6&amp;'001-C DMR'!FD$10&amp;'001-C DMR'!$B15),('DMR 001C NEW'!$E$3:$E$1112&amp;'DMR 001C NEW'!$B$3:$B$1112&amp;'DMR 001C NEW'!$A$3:$A$1112),0),MATCH('001-C DMR'!$EY$11,'DMR 001C NEW'!$A$2:$O$2,0)),"")</f>
        <v/>
      </c>
      <c r="FE15" s="281" t="str">
        <f t="array" ref="FE15">_xlfn.IFNA(INDEX('DMR 001C NEW'!$A$3:$O$999,MATCH(('001-C DMR'!$ET$6&amp;'001-C DMR'!FE$10&amp;'001-C DMR'!$B15),('DMR 001C NEW'!$E$3:$E$1112&amp;'DMR 001C NEW'!$B$3:$B$1112&amp;'DMR 001C NEW'!$A$3:$A$1112),0),MATCH('001-C DMR'!$EY$11,'DMR 001C NEW'!$A$2:$O$2,0)),"")</f>
        <v/>
      </c>
      <c r="FF15" s="57" t="str">
        <f t="shared" si="22"/>
        <v/>
      </c>
      <c r="FG15" s="56">
        <f t="array" ref="FG15">_xlfn.IFNA(INDEX('DMR 001C NEW'!$A$3:$O$9999,MATCH(('001-C DMR'!$FF$6&amp;'001-C DMR'!$FF$10&amp;'001-C DMR'!$B15),('DMR 001C NEW'!$E$3:$E$7246&amp;'DMR 001C NEW'!$B$3:$B$7246&amp;'DMR 001C NEW'!$A$3:$A$7246),0),MATCH('001-C DMR'!$FG$11,'DMR 001C NEW'!$A$2:$O$2,0)),"")</f>
        <v>0</v>
      </c>
      <c r="FH15" s="56">
        <f t="array" ref="FH15">_xlfn.IFNA(INDEX('DMR 001C NEW'!$A$3:$O$9999,MATCH(('001-C DMR'!$FF$6&amp;'001-C DMR'!$FF$10&amp;'001-C DMR'!$B15),('DMR 001C NEW'!$E$3:$E$7246&amp;'DMR 001C NEW'!$B$3:$B$7246&amp;'DMR 001C NEW'!$A$3:$A$7246),0),MATCH('001-C DMR'!$FH$11,'DMR 001C NEW'!$A$2:$O$2,0)),"")</f>
        <v>4</v>
      </c>
      <c r="FI15" s="57" t="str">
        <f t="shared" si="23"/>
        <v/>
      </c>
      <c r="FJ15" s="56">
        <f t="array" ref="FJ15">_xlfn.IFNA(INDEX('DMR 001C NEW'!$A$3:$O$9999,MATCH(('001-C DMR'!$FF$6&amp;'001-C DMR'!$FI$10&amp;'001-C DMR'!$B15),('DMR 001C NEW'!$E$3:$E$7246&amp;'DMR 001C NEW'!$B$3:$B$7246&amp;'DMR 001C NEW'!$A$3:$A$7246),0),MATCH('001-C DMR'!$FG$11,'DMR 001C NEW'!$A$2:$O$2,0)),"")</f>
        <v>0</v>
      </c>
      <c r="FK15" s="56">
        <f t="array" ref="FK15">_xlfn.IFNA(INDEX('DMR 001C NEW'!$A$3:$O$9999,MATCH(('001-C DMR'!$FF$6&amp;'001-C DMR'!$FI$10&amp;'001-C DMR'!$B15),('DMR 001C NEW'!$E$3:$E$7246&amp;'DMR 001C NEW'!$B$3:$B$7246&amp;'DMR 001C NEW'!$A$3:$A$7246),0),MATCH('001-C DMR'!$FH$11,'DMR 001C NEW'!$A$2:$O$2,0)),"")</f>
        <v>4</v>
      </c>
      <c r="FL15" s="56">
        <f t="array" ref="FL15">IFERROR((($FH15*$EI15)+($FK15*$EJ15))/($EK15),"")</f>
        <v>4</v>
      </c>
      <c r="FM15" s="56" t="str">
        <f t="shared" si="3"/>
        <v/>
      </c>
      <c r="FN15" s="64" t="str">
        <f>IF($A15="Sat",COUNT(FL8:FL15),"")</f>
        <v/>
      </c>
      <c r="FO15" s="66"/>
      <c r="FP15" s="280" t="str">
        <f t="array" ref="FP15">_xlfn.IFNA(INDEX('DMR 001C NEW'!$A$3:$O$999,MATCH(('001-C DMR'!$FF$6&amp;'001-C DMR'!FP$10&amp;'001-C DMR'!$B15),('DMR 001C NEW'!$E$3:$E$1112&amp;'DMR 001C NEW'!$B$3:$B$1112&amp;'DMR 001C NEW'!$A$3:$A$1112),0),MATCH('001-C DMR'!$FH$11,'DMR 001C NEW'!$A$2:$O$2,0)),"")</f>
        <v/>
      </c>
      <c r="FQ15" s="280" t="str">
        <f t="array" ref="FQ15">_xlfn.IFNA(INDEX('DMR 001C NEW'!$A$3:$O$999,MATCH(('001-C DMR'!$FF$6&amp;'001-C DMR'!FQ$10&amp;'001-C DMR'!$B15),('DMR 001C NEW'!$E$3:$E$1112&amp;'DMR 001C NEW'!$B$3:$B$1112&amp;'DMR 001C NEW'!$A$3:$A$1112),0),MATCH('001-C DMR'!$FH$11,'DMR 001C NEW'!$A$2:$O$2,0)),"")</f>
        <v/>
      </c>
      <c r="FR15" s="280" t="str">
        <f t="array" ref="FR15">_xlfn.IFNA(INDEX('DMR 001C NEW'!$A$3:$O$999,MATCH(('001-C DMR'!$FF$6&amp;'001-C DMR'!FR$10&amp;'001-C DMR'!$B15),('DMR 001C NEW'!$E$3:$E$1112&amp;'DMR 001C NEW'!$B$3:$B$1112&amp;'DMR 001C NEW'!$A$3:$A$1112),0),MATCH('001-C DMR'!$FH$11,'DMR 001C NEW'!$A$2:$O$2,0)),"")</f>
        <v/>
      </c>
      <c r="FS15" s="280" t="str">
        <f t="array" ref="FS15">_xlfn.IFNA(INDEX('DMR 001C NEW'!$A$3:$O$999,MATCH(('001-C DMR'!$FF$6&amp;'001-C DMR'!FS$10&amp;'001-C DMR'!$B15),('DMR 001C NEW'!$E$3:$E$1112&amp;'DMR 001C NEW'!$B$3:$B$1112&amp;'DMR 001C NEW'!$A$3:$A$1112),0),MATCH('001-C DMR'!$FH$11,'DMR 001C NEW'!$A$2:$O$2,0)),"")</f>
        <v/>
      </c>
      <c r="FT15" s="280" t="str">
        <f t="array" ref="FT15">_xlfn.IFNA(INDEX('DMR 001C NEW'!$A$3:$O$999,MATCH(('001-C DMR'!$FF$6&amp;'001-C DMR'!FT$10&amp;'001-C DMR'!$B15),('DMR 001C NEW'!$E$3:$E$1112&amp;'DMR 001C NEW'!$B$3:$B$1112&amp;'DMR 001C NEW'!$A$3:$A$1112),0),MATCH('001-C DMR'!$FH$11,'DMR 001C NEW'!$A$2:$O$2,0)),"")</f>
        <v/>
      </c>
      <c r="FU15" s="280" t="str">
        <f t="array" ref="FU15">_xlfn.IFNA(INDEX('DMR 001C NEW'!$A$3:$O$999,MATCH(('001-C DMR'!$FF$6&amp;'001-C DMR'!FU$10&amp;'001-C DMR'!$B15),('DMR 001C NEW'!$E$3:$E$1112&amp;'DMR 001C NEW'!$B$3:$B$1112&amp;'DMR 001C NEW'!$A$3:$A$1112),0),MATCH('001-C DMR'!$FH$11,'DMR 001C NEW'!$A$2:$O$2,0)),"")</f>
        <v/>
      </c>
      <c r="FV15" s="66"/>
      <c r="FW15" s="61" t="str">
        <f t="shared" si="24"/>
        <v/>
      </c>
      <c r="FX15" s="58" t="str">
        <f t="array" ref="FX15">_xlfn.IFNA(INDEX('DMR 001C NEW'!$A$3:$O$9999,MATCH(('001-C DMR'!$FW$6&amp;'001-C DMR'!$FW$10&amp;'001-C DMR'!$B15),('DMR 001C NEW'!$E$3:$E$7246&amp;'DMR 001C NEW'!$B$3:$B$7246&amp;'DMR 001C NEW'!$A$3:$A$7246),0),MATCH('001-C DMR'!$FX$11,'DMR 001C NEW'!$A$2:$O$2,0)),"")</f>
        <v/>
      </c>
      <c r="FY15" s="58" t="str">
        <f t="array" ref="FY15">_xlfn.IFNA(INDEX('DMR 001C NEW'!$A$3:$O$9999,MATCH(('001-C DMR'!$FW$6&amp;'001-C DMR'!$FW$10&amp;'001-C DMR'!$B15),('DMR 001C NEW'!$E$3:$E$7246&amp;'DMR 001C NEW'!$B$3:$B$7246&amp;'DMR 001C NEW'!$A$3:$A$7246),0),MATCH('001-C DMR'!$FY$11,'DMR 001C NEW'!$A$2:$O$2,0)),"")</f>
        <v/>
      </c>
      <c r="FZ15" s="57" t="str">
        <f t="shared" si="25"/>
        <v/>
      </c>
      <c r="GA15" s="58" t="str">
        <f t="array" ref="GA15">_xlfn.IFNA(INDEX('DMR 001C NEW'!$A$3:$O$9999,MATCH(('001-C DMR'!$FW$6&amp;'001-C DMR'!$FZ$10&amp;'001-C DMR'!$B15),('DMR 001C NEW'!$E$3:$E$7246&amp;'DMR 001C NEW'!$B$3:$B$7246&amp;'DMR 001C NEW'!$A$3:$A$7246),0),MATCH('001-C DMR'!$FX$11,'DMR 001C NEW'!$A$2:$O$2,0)),"")</f>
        <v/>
      </c>
      <c r="GB15" s="58" t="str">
        <f t="array" ref="GB15">_xlfn.IFNA(INDEX('DMR 001C NEW'!$A$3:$O$9999,MATCH(('001-C DMR'!$FW$6&amp;'001-C DMR'!$FZ$10&amp;'001-C DMR'!$B15),('DMR 001C NEW'!$E$3:$E$7246&amp;'DMR 001C NEW'!$B$3:$B$7246&amp;'DMR 001C NEW'!$A$3:$A$7246),0),MATCH('001-C DMR'!$GB$11,'DMR 001C NEW'!$A$2:$O$2,0)),"")</f>
        <v/>
      </c>
      <c r="GC15" s="56" t="str">
        <f t="shared" si="4"/>
        <v/>
      </c>
      <c r="GD15" s="64" t="str">
        <f>IF($A15="Sat",COUNT(GB8:GB15),"")</f>
        <v/>
      </c>
      <c r="GE15" s="279" t="str">
        <f t="array" ref="GE15">_xlfn.IFNA(INDEX('DMR 001C NEW'!$A$3:$O$999,MATCH(('001-C DMR'!$FW$6&amp;'001-C DMR'!GE$10&amp;'001-C DMR'!$B15),('DMR 001C NEW'!$E$3:$E$1112&amp;'DMR 001C NEW'!$B$3:$B$1112&amp;'DMR 001C NEW'!$A$3:$A$1112),0),MATCH('001-C DMR'!$FY$11,'DMR 001C NEW'!$A$2:$O$2,0)),"")</f>
        <v/>
      </c>
      <c r="GF15" s="280" t="str">
        <f t="array" ref="GF15">_xlfn.IFNA(INDEX('DMR 001C NEW'!$A$3:$O$999,MATCH(('001-C DMR'!$FW$6&amp;'001-C DMR'!GF$10&amp;'001-C DMR'!$B15),('DMR 001C NEW'!$E$3:$E$1112&amp;'DMR 001C NEW'!$B$3:$B$1112&amp;'DMR 001C NEW'!$A$3:$A$1112),0),MATCH('001-C DMR'!$FY$11,'DMR 001C NEW'!$A$2:$O$2,0)),"")</f>
        <v/>
      </c>
      <c r="GG15" s="280" t="str">
        <f t="array" ref="GG15">_xlfn.IFNA(INDEX('DMR 001C NEW'!$A$3:$O$999,MATCH(('001-C DMR'!$FW$6&amp;'001-C DMR'!GG$10&amp;'001-C DMR'!$B15),('DMR 001C NEW'!$E$3:$E$1112&amp;'DMR 001C NEW'!$B$3:$B$1112&amp;'DMR 001C NEW'!$A$3:$A$1112),0),MATCH('001-C DMR'!$FY$11,'DMR 001C NEW'!$A$2:$O$2,0)),"")</f>
        <v/>
      </c>
      <c r="GH15" s="280" t="str">
        <f t="array" ref="GH15">_xlfn.IFNA(INDEX('DMR 001C NEW'!$A$3:$O$999,MATCH(('001-C DMR'!$FW$6&amp;'001-C DMR'!GH$10&amp;'001-C DMR'!$B15),('DMR 001C NEW'!$E$3:$E$1112&amp;'DMR 001C NEW'!$B$3:$B$1112&amp;'DMR 001C NEW'!$A$3:$A$1112),0),MATCH('001-C DMR'!$FY$11,'DMR 001C NEW'!$A$2:$O$2,0)),"")</f>
        <v/>
      </c>
      <c r="GI15" s="280" t="str">
        <f t="array" ref="GI15">_xlfn.IFNA(INDEX('DMR 001C NEW'!$A$3:$O$999,MATCH(('001-C DMR'!$FW$6&amp;'001-C DMR'!GI$10&amp;'001-C DMR'!$B15),('DMR 001C NEW'!$E$3:$E$1112&amp;'DMR 001C NEW'!$B$3:$B$1112&amp;'DMR 001C NEW'!$A$3:$A$1112),0),MATCH('001-C DMR'!$FY$11,'DMR 001C NEW'!$A$2:$O$2,0)),"")</f>
        <v/>
      </c>
      <c r="GJ15" s="281" t="str">
        <f t="array" ref="GJ15">_xlfn.IFNA(INDEX('DMR 001C NEW'!$A$3:$O$999,MATCH(('001-C DMR'!$FW$6&amp;'001-C DMR'!GJ$10&amp;'001-C DMR'!$B15),('DMR 001C NEW'!$E$3:$E$1112&amp;'DMR 001C NEW'!$B$3:$B$1112&amp;'DMR 001C NEW'!$A$3:$A$1112),0),MATCH('001-C DMR'!$FY$11,'DMR 001C NEW'!$A$2:$O$2,0)),"")</f>
        <v/>
      </c>
      <c r="GK15" s="58" t="str">
        <f t="array" ref="GK15">_xlfn.IFNA(INDEX('DMR 001C NEW'!$A$3:$O$9999,MATCH(('001-C DMR'!$GK$6&amp;'001-C DMR'!$GK$10&amp;'001-C DMR'!$B15),('DMR 001C NEW'!$E$3:$E$9018&amp;'DMR 001C NEW'!$B$3:$B$9018&amp;'DMR 001C NEW'!$A$3:$A$9018),0),MATCH('001-C DMR'!$GK$11,'DMR 001C NEW'!$A$2:$O$2,0)),"")</f>
        <v>n</v>
      </c>
      <c r="GL15" s="58" t="str">
        <f t="array" ref="GL15">_xlfn.IFNA(INDEX('DMR 001C NEW'!$A$3:$O$9999,MATCH(('001-C DMR'!$GK$6&amp;'001-C DMR'!$GL$10&amp;'001-C DMR'!$B15),('DMR 001C NEW'!$E$3:$E$9018&amp;'DMR 001C NEW'!$B$3:$B$9018&amp;'DMR 001C NEW'!$A$3:$A$9018),0),MATCH('001-C DMR'!$GK$11,'DMR 001C NEW'!$A$2:$O$2,0)),"")</f>
        <v>n</v>
      </c>
      <c r="GM15" s="134"/>
      <c r="GN15" s="64" t="str">
        <f>IF($A15="Sat",COUNT(GL8:GL15),"")</f>
        <v/>
      </c>
      <c r="GO15" s="134"/>
      <c r="GP15" s="134"/>
      <c r="GQ15" s="134"/>
      <c r="GR15" s="134"/>
      <c r="GS15" s="134"/>
      <c r="GT15" s="134"/>
      <c r="GU15" s="134"/>
      <c r="GV15" s="134"/>
      <c r="GW15" s="134"/>
      <c r="GX15" s="134"/>
      <c r="GY15" s="134"/>
      <c r="GZ15" s="134"/>
      <c r="HA15" s="134"/>
      <c r="HB15" s="134"/>
      <c r="HC15" s="134"/>
      <c r="HD15" s="134"/>
      <c r="HE15" s="134"/>
      <c r="HF15" s="134"/>
      <c r="HG15" s="134"/>
      <c r="HH15" s="134"/>
      <c r="HI15" s="134"/>
      <c r="HJ15" s="134"/>
      <c r="HK15" s="134"/>
      <c r="HL15" s="134"/>
      <c r="HM15" s="134"/>
      <c r="HN15" s="134"/>
      <c r="HO15" s="134"/>
      <c r="HP15" s="134"/>
      <c r="HQ15" s="134"/>
      <c r="HR15" s="134"/>
      <c r="HS15" s="134"/>
      <c r="HT15" s="134"/>
      <c r="HU15" s="134"/>
      <c r="HV15" s="134"/>
      <c r="HW15" s="134"/>
      <c r="HX15" s="134"/>
      <c r="HY15" s="134"/>
      <c r="HZ15" s="134"/>
      <c r="IA15" s="134"/>
      <c r="IB15" s="134"/>
      <c r="IC15" s="134"/>
      <c r="ID15" s="134"/>
      <c r="IE15" s="134"/>
      <c r="IF15" s="134"/>
      <c r="IG15" s="134"/>
      <c r="IH15" s="134"/>
      <c r="II15" s="134"/>
      <c r="IJ15" s="134"/>
      <c r="IK15" s="134"/>
      <c r="IL15" s="134"/>
      <c r="IM15" s="134"/>
      <c r="IN15" s="134"/>
      <c r="IO15" s="134"/>
      <c r="IP15" s="134"/>
      <c r="IQ15" s="134"/>
      <c r="IR15" s="134"/>
      <c r="IS15" s="134"/>
      <c r="IT15" s="134"/>
      <c r="IU15" s="134"/>
      <c r="IV15" s="134"/>
      <c r="IW15" s="134"/>
      <c r="IX15" s="134"/>
      <c r="IY15" s="134"/>
      <c r="IZ15" s="134"/>
      <c r="JA15" s="134"/>
      <c r="JB15" s="134"/>
      <c r="JC15" s="134"/>
      <c r="JD15" s="134"/>
      <c r="JE15" s="134"/>
      <c r="JF15" s="134"/>
      <c r="JG15" s="134"/>
      <c r="JH15" s="134"/>
      <c r="JI15" s="134"/>
      <c r="JJ15" s="134"/>
      <c r="JK15" s="134"/>
      <c r="JL15" s="134"/>
      <c r="JM15" s="134"/>
      <c r="JN15" s="134"/>
      <c r="JO15" s="134"/>
      <c r="JP15" s="134"/>
      <c r="JQ15" s="134"/>
      <c r="JR15" s="134"/>
      <c r="JS15" s="134"/>
      <c r="JT15" s="134"/>
      <c r="JU15" s="134"/>
      <c r="JV15" s="134"/>
    </row>
    <row r="16" spans="1:282" s="51" customFormat="1" x14ac:dyDescent="0.25">
      <c r="A16" s="67" t="str">
        <f t="shared" si="5"/>
        <v>Thu</v>
      </c>
      <c r="B16" s="216">
        <f t="shared" si="26"/>
        <v>43678</v>
      </c>
      <c r="C16" s="93">
        <f t="array" ref="C16">INDEX('DMR 001C NEW'!$A$3:$N$10020,MATCH(('001-C DMR'!$C$6:$K$6&amp;'001-C DMR'!$C$10:$E$10&amp;'001-C DMR'!$B16),('DMR 001C NEW'!$E$3:$E$7246&amp;'DMR 001C NEW'!$B$3:$B$7246&amp;'DMR 001C NEW'!$A$3:$A$7246),0),MATCH('001-C DMR'!$C$11,'DMR 001C NEW'!$A$2:$O$2,0))</f>
        <v>5.7</v>
      </c>
      <c r="D16" s="56" t="str">
        <f t="array" ref="D16">INDEX('DMR 001C NEW'!$A$3:$N$11771,MATCH(('001-C DMR'!$C$6:$K$6&amp;'001-C DMR'!$C$10:$E$10&amp;'001-C DMR'!$B16),('DMR 001C NEW'!$E$3:$E$9018&amp;'DMR 001C NEW'!$B$3:$B$9018&amp;'DMR 001C NEW'!$A$3:$A$9018),0),MATCH('001-C DMR'!$D$11,'DMR 001C NEW'!$A$2:$O$2,0))</f>
        <v>AE67874</v>
      </c>
      <c r="E16" s="56">
        <f t="array" ref="E16">INDEX('DMR 001C NEW'!$A$3:$N$9999,MATCH(('001-C DMR'!$E$11&amp;'001-C DMR'!$C$10:$E$10&amp;'001-C DMR'!$B16&amp;$D16),('DMR 001C NEW'!$E$3:$E$7246&amp;'DMR 001C NEW'!$B$3:$B$7246&amp;'DMR 001C NEW'!$A$3:$A$7246&amp;'DMR 001C NEW'!$M$3:$M$7188),0),MATCH($C$11,'DMR 001C NEW'!$A$2:$O$2,0))</f>
        <v>70.97</v>
      </c>
      <c r="F16" s="56">
        <f t="array" ref="F16">INDEX('DMR 001C NEW'!$A$3:$N$9999,MATCH('001-C DMR'!$C$6:$K$6&amp;'001-C DMR'!$F$10&amp;'001-C DMR'!$B16,('DMR 001C NEW'!$E$3:$E$7246&amp;'DMR 001C NEW'!$B$3:$B$7246&amp;'DMR 001C NEW'!$A$3:$A$7246),0),MATCH('001-C DMR'!$C$11,'DMR 001C NEW'!$A$2:$O$2,0))</f>
        <v>6.7</v>
      </c>
      <c r="G16" s="56" t="str">
        <f t="array" ref="G16">INDEX('DMR 001C NEW'!$A$3:$N$3865,MATCH(('001-C DMR'!$C$6:$K$6&amp;'001-C DMR'!$F$10&amp;'001-C DMR'!$B16),('DMR 001C NEW'!$E$3:$E$1112&amp;'DMR 001C NEW'!$B$3:$B$1112&amp;'DMR 001C NEW'!$A$3:$A$1112),0),MATCH('001-C DMR'!$D$11,'DMR 001C NEW'!$A$2:$O$2,0))</f>
        <v>AE67875</v>
      </c>
      <c r="H16" s="56">
        <f t="array" ref="H16">INDEX('DMR 001C NEW'!$A$3:$N$9999,MATCH(('001-C DMR'!$E$11&amp;'001-C DMR'!$F$10&amp;'001-C DMR'!$B16&amp;$G16),('DMR 001C NEW'!$E$3:$E$7246&amp;'DMR 001C NEW'!$B$3:$B$7246&amp;'DMR 001C NEW'!$A$3:$A$7246&amp;'DMR 001C NEW'!$M$3:$M$7188),0),MATCH($C$11,'DMR 001C NEW'!$A$2:$O$2,0))</f>
        <v>65.69</v>
      </c>
      <c r="I16" s="56">
        <f t="shared" si="0"/>
        <v>6.1806819844870482</v>
      </c>
      <c r="J16" s="58" t="str">
        <f t="shared" si="1"/>
        <v/>
      </c>
      <c r="K16" s="64" t="str">
        <f>IF($A16="Sat",COUNT(I10:I16),"")</f>
        <v/>
      </c>
      <c r="L16" s="262" t="str">
        <f t="array" ref="L16">_xlfn.IFNA(INDEX('DMR 001C NEW'!$A$3:$N$3865,MATCH(('001-C DMR'!$C$6:$K$6&amp;'001-C DMR'!L$10&amp;'001-C DMR'!$B16),('DMR 001C NEW'!$E$3:$E$1112&amp;'DMR 001C NEW'!$B$3:$B$1112&amp;'DMR 001C NEW'!$A$3:$A$1112),0),MATCH('001-C DMR'!$C$11,'DMR 001C NEW'!$A$2:$O$2,0)),"")</f>
        <v/>
      </c>
      <c r="M16" s="262" t="str">
        <f t="array" ref="M16">_xlfn.IFNA(INDEX('DMR 001C NEW'!$A$3:$N$3865,MATCH(('001-C DMR'!$C$6:$K$6&amp;'001-C DMR'!M$10&amp;'001-C DMR'!$B16),('DMR 001C NEW'!$E$3:$E$1112&amp;'DMR 001C NEW'!$B$3:$B$1112&amp;'DMR 001C NEW'!$A$3:$A$1112),0),MATCH('001-C DMR'!$C$11,'DMR 001C NEW'!$A$2:$O$2,0)),"")</f>
        <v/>
      </c>
      <c r="N16" s="262" t="str">
        <f t="array" ref="N16">_xlfn.IFNA(INDEX('DMR 001C NEW'!$A$3:$N$3865,MATCH(('001-C DMR'!$C$6:$K$6&amp;'001-C DMR'!N$10&amp;'001-C DMR'!$B16),('DMR 001C NEW'!$E$3:$E$1112&amp;'DMR 001C NEW'!$B$3:$B$1112&amp;'DMR 001C NEW'!$A$3:$A$1112),0),MATCH('001-C DMR'!$C$11,'DMR 001C NEW'!$A$2:$O$2,0)),"")</f>
        <v/>
      </c>
      <c r="O16" s="262" t="str">
        <f t="array" ref="O16">_xlfn.IFNA(INDEX('DMR 001C NEW'!$A$3:$N$3865,MATCH(('001-C DMR'!$C$6:$K$6&amp;'001-C DMR'!O$10&amp;'001-C DMR'!$B16),('DMR 001C NEW'!$E$3:$E$1112&amp;'DMR 001C NEW'!$B$3:$B$1112&amp;'DMR 001C NEW'!$A$3:$A$1112),0),MATCH('001-C DMR'!$C$11,'DMR 001C NEW'!$A$2:$O$2,0)),"")</f>
        <v/>
      </c>
      <c r="P16" s="262" t="str">
        <f t="array" ref="P16">_xlfn.IFNA(INDEX('DMR 001C NEW'!$A$3:$N$3865,MATCH(('001-C DMR'!$C$6:$K$6&amp;'001-C DMR'!P$10&amp;'001-C DMR'!$B16),('DMR 001C NEW'!$E$3:$E$1112&amp;'DMR 001C NEW'!$B$3:$B$1112&amp;'DMR 001C NEW'!$A$3:$A$1112),0),MATCH('001-C DMR'!$C$11,'DMR 001C NEW'!$A$2:$O$2,0)),"")</f>
        <v/>
      </c>
      <c r="Q16" s="120" t="e">
        <f t="array" ref="Q16">INDEX('DMR 001C NEW'!$A$3:$N$3865,MATCH(('001-C DMR'!$C$6:$K$6&amp;'001-C DMR'!Q$10&amp;'001-C DMR'!$B16),('DMR 001C NEW'!$E$3:$E$1112&amp;'DMR 001C NEW'!$B$3:$B$1112&amp;'DMR 001C NEW'!$A$3:$A$1112),0),MATCH('001-C DMR'!$C$11,'DMR 001C NEW'!$A$2:$O$2,0))</f>
        <v>#N/A</v>
      </c>
      <c r="R16" s="61"/>
      <c r="S16" s="56">
        <f t="array" ref="S16">_xlfn.IFNA(INDEX('DMR 001C NEW'!$A$3:$N$11771,MATCH(('001-C DMR'!$R$6:$T$6&amp;'001-C DMR'!$R$10&amp;'001-C DMR'!$B16),('DMR 001C NEW'!$E$3:$E$9018&amp;'DMR 001C NEW'!$B$3:$B$9018&amp;'DMR 001C NEW'!$A$3:$A$9018),0),MATCH('001-C DMR'!$S$11,'DMR 001C NEW'!$A$2:$O$2,0)),"")</f>
        <v>7</v>
      </c>
      <c r="T16" s="55"/>
      <c r="U16" s="262" t="str">
        <f t="array" ref="U16">_xlfn.IFNA(INDEX('DMR 001C NEW'!$A$3:$O$591,MATCH('001-C DMR'!$R$6:$T$6&amp;'001-C DMR'!U$10&amp;'001-C DMR'!$B16,('DMR 001C NEW'!$E$3:$E$704&amp;'DMR 001C NEW'!$B$3:$B$704&amp;'DMR 001C NEW'!$A$3:$A$704),0),MATCH('001-C DMR'!$U$11,'DMR 001C NEW'!$A$2:$O$2,0)),"")</f>
        <v/>
      </c>
      <c r="V16" s="262" t="str">
        <f t="array" ref="V16">_xlfn.IFNA(INDEX('DMR 001C NEW'!$A$3:$O$591,MATCH('001-C DMR'!$R$6:$T$6&amp;'001-C DMR'!V$10&amp;'001-C DMR'!$B16,('DMR 001C NEW'!$E$3:$E$704&amp;'DMR 001C NEW'!$B$3:$B$704&amp;'DMR 001C NEW'!$A$3:$A$704),0),MATCH('001-C DMR'!$U$11,'DMR 001C NEW'!$A$2:$O$2,0)),"")</f>
        <v/>
      </c>
      <c r="W16" s="262" t="str">
        <f t="array" ref="W16">_xlfn.IFNA(INDEX('DMR 001C NEW'!$A$3:$O$591,MATCH('001-C DMR'!$R$6:$T$6&amp;'001-C DMR'!W$10&amp;'001-C DMR'!$B16,('DMR 001C NEW'!$E$3:$E$704&amp;'DMR 001C NEW'!$B$3:$B$704&amp;'DMR 001C NEW'!$A$3:$A$704),0),MATCH('001-C DMR'!$U$11,'DMR 001C NEW'!$A$2:$O$2,0)),"")</f>
        <v/>
      </c>
      <c r="X16" s="262" t="str">
        <f t="array" ref="X16">_xlfn.IFNA(INDEX('DMR 001C NEW'!$A$3:$O$591,MATCH('001-C DMR'!$R$6:$T$6&amp;'001-C DMR'!X$10&amp;'001-C DMR'!$B16,('DMR 001C NEW'!$E$3:$E$704&amp;'DMR 001C NEW'!$B$3:$B$704&amp;'DMR 001C NEW'!$A$3:$A$704),0),MATCH('001-C DMR'!$U$11,'DMR 001C NEW'!$A$2:$O$2,0)),"")</f>
        <v/>
      </c>
      <c r="Y16" s="262" t="str">
        <f t="array" ref="Y16">_xlfn.IFNA(INDEX('DMR 001C NEW'!$A$3:$O$591,MATCH('001-C DMR'!$R$6:$T$6&amp;'001-C DMR'!Y$10&amp;'001-C DMR'!$B16,('DMR 001C NEW'!$E$3:$E$704&amp;'DMR 001C NEW'!$B$3:$B$704&amp;'DMR 001C NEW'!$A$3:$A$704),0),MATCH('001-C DMR'!$U$11,'DMR 001C NEW'!$A$2:$O$2,0)),"")</f>
        <v/>
      </c>
      <c r="Z16" s="262" t="str">
        <f t="array" ref="Z16">_xlfn.IFNA(INDEX('DMR 001C NEW'!$A$3:$O$591,MATCH('001-C DMR'!$R$6:$T$6&amp;'001-C DMR'!Z$10&amp;'001-C DMR'!$B16,('DMR 001C NEW'!$E$3:$E$704&amp;'DMR 001C NEW'!$B$3:$B$704&amp;'DMR 001C NEW'!$A$3:$A$704),0),MATCH('001-C DMR'!$U$11,'DMR 001C NEW'!$A$2:$O$2,0)),"")</f>
        <v/>
      </c>
      <c r="AA16" s="262" t="str">
        <f t="array" ref="AA16">_xlfn.IFNA(INDEX('DMR 001C NEW'!$A$3:$O$591,MATCH('001-C DMR'!$R$6:$T$6&amp;'001-C DMR'!AA$10&amp;'001-C DMR'!$B16,('DMR 001C NEW'!$E$3:$E$704&amp;'DMR 001C NEW'!$B$3:$B$704&amp;'DMR 001C NEW'!$A$3:$A$704),0),MATCH('001-C DMR'!$U$11,'DMR 001C NEW'!$A$2:$O$2,0)),"")</f>
        <v/>
      </c>
      <c r="AB16" s="61" t="str">
        <f t="array" ref="AB16">IF(AD16&lt;AC16,"&lt;","")</f>
        <v/>
      </c>
      <c r="AC16" s="56">
        <f t="array" ref="AC16">_xlfn.IFNA(INDEX('DMR 001C NEW'!$A$3:$O$9999,MATCH(('001-C DMR'!$AB$6:$AJ$6&amp;'001-C DMR'!$AB$10:$AD$10&amp;'001-C DMR'!$B16),('DMR 001C NEW'!$E$3:$E$7246&amp;'DMR 001C NEW'!$B$3:$B$7246&amp;'DMR 001C NEW'!$A$3:$A$7246),0),MATCH('001-C DMR'!$AC$11,'DMR 001C NEW'!$A$2:$O$2,0)),"")</f>
        <v>3</v>
      </c>
      <c r="AD16" s="56">
        <f t="array" ref="AD16">_xlfn.IFNA(INDEX('DMR 001C NEW'!$A$3:$O$9999,MATCH(('001-C DMR'!$AB$6:$AJ$6&amp;'001-C DMR'!$AB$10:$AD$10&amp;'001-C DMR'!$B16),('DMR 001C NEW'!$E$3:$E$7246&amp;'DMR 001C NEW'!$B$3:$B$7246&amp;'DMR 001C NEW'!$A$3:$A$7246),0),MATCH('001-C DMR'!$AD$11,'DMR 001C NEW'!$A$2:$O$2,0)),"")</f>
        <v>13</v>
      </c>
      <c r="AE16" s="57" t="str">
        <f t="array" ref="AE16">IF(AG16&lt;AF16,"&lt;","")</f>
        <v/>
      </c>
      <c r="AF16" s="56">
        <f t="array" ref="AF16">_xlfn.IFNA(INDEX('DMR 001C NEW'!$A$3:$O$9999,MATCH(('001-C DMR'!$AB$6:$AJ$6&amp;'001-C DMR'!$AE$10&amp;'001-C DMR'!$B16),('DMR 001C NEW'!$E$3:$E$9018&amp;'DMR 001C NEW'!$B$3:$B$9018&amp;'DMR 001C NEW'!$A$3:$A$9018),0),MATCH('001-C DMR'!$AF$11,'DMR 001C NEW'!$A$2:$O$2,0)),"")</f>
        <v>3</v>
      </c>
      <c r="AG16" s="56">
        <f t="array" ref="AG16">_xlfn.IFNA(INDEX('DMR 001C NEW'!$A$3:$O$9999,MATCH(('001-C DMR'!$AB$6:$AJ$6&amp;'001-C DMR'!$AE$10&amp;'001-C DMR'!$B16),('DMR 001C NEW'!$E$3:$E$9018&amp;'DMR 001C NEW'!$B$3:$B$9018&amp;'DMR 001C NEW'!$A$3:$A$9018),0),MATCH('001-C DMR'!$AG$11,'DMR 001C NEW'!$A$2:$O$2,0)),"")</f>
        <v>10</v>
      </c>
      <c r="AH16" s="56">
        <f t="array" ref="AH16">IFERROR((($AD16*$EI16)+($AG16*$EJ16))/($EK16),"")</f>
        <v>11.313497589716123</v>
      </c>
      <c r="AI16" s="56" t="str">
        <f t="shared" si="2"/>
        <v/>
      </c>
      <c r="AJ16" s="64" t="str">
        <f t="shared" ref="AJ16:AJ46" si="30">IF($A16="Sat",COUNT(AH10:AH16),"")</f>
        <v/>
      </c>
      <c r="AK16" s="262" t="str">
        <f t="array" ref="AK16">_xlfn.IFNA(INDEX('DMR 001C NEW'!$A$3:$O$999,MATCH(('001-C DMR'!$AB$6:$AJ$6&amp;'001-C DMR'!AK$10&amp;'001-C DMR'!$B16),('DMR 001C NEW'!$E$3:$E$1112&amp;'DMR 001C NEW'!$B$3:$B$1112&amp;'DMR 001C NEW'!$A$3:$A$1112),0),MATCH('001-C DMR'!$AD$11,'DMR 001C NEW'!$A$2:$O$2,0)),"")</f>
        <v/>
      </c>
      <c r="AL16" s="262" t="str">
        <f t="array" ref="AL16">_xlfn.IFNA(INDEX('DMR 001C NEW'!$A$3:$O$999,MATCH(('001-C DMR'!$AB$6:$AJ$6&amp;'001-C DMR'!AL$10&amp;'001-C DMR'!$B16),('DMR 001C NEW'!$E$3:$E$1112&amp;'DMR 001C NEW'!$B$3:$B$1112&amp;'DMR 001C NEW'!$A$3:$A$1112),0),MATCH('001-C DMR'!$AD$11,'DMR 001C NEW'!$A$2:$O$2,0)),"")</f>
        <v/>
      </c>
      <c r="AM16" s="262" t="str">
        <f t="array" ref="AM16">_xlfn.IFNA(INDEX('DMR 001C NEW'!$A$3:$O$999,MATCH(('001-C DMR'!$AB$6:$AJ$6&amp;'001-C DMR'!AM$10&amp;'001-C DMR'!$B16),('DMR 001C NEW'!$E$3:$E$1112&amp;'DMR 001C NEW'!$B$3:$B$1112&amp;'DMR 001C NEW'!$A$3:$A$1112),0),MATCH('001-C DMR'!$AD$11,'DMR 001C NEW'!$A$2:$O$2,0)),"")</f>
        <v/>
      </c>
      <c r="AN16" s="262" t="str">
        <f t="array" ref="AN16">_xlfn.IFNA(INDEX('DMR 001C NEW'!$A$3:$O$999,MATCH(('001-C DMR'!$AB$6:$AJ$6&amp;'001-C DMR'!AN$10&amp;'001-C DMR'!$B16),('DMR 001C NEW'!$E$3:$E$1112&amp;'DMR 001C NEW'!$B$3:$B$1112&amp;'DMR 001C NEW'!$A$3:$A$1112),0),MATCH('001-C DMR'!$AD$11,'DMR 001C NEW'!$A$2:$O$2,0)),"")</f>
        <v/>
      </c>
      <c r="AO16" s="262" t="str">
        <f t="array" ref="AO16">_xlfn.IFNA(INDEX('DMR 001C NEW'!$A$3:$O$999,MATCH(('001-C DMR'!$AB$6:$AJ$6&amp;'001-C DMR'!AO$10&amp;'001-C DMR'!$B16),('DMR 001C NEW'!$E$3:$E$1112&amp;'DMR 001C NEW'!$B$3:$B$1112&amp;'DMR 001C NEW'!$A$3:$A$1112),0),MATCH('001-C DMR'!$AD$11,'DMR 001C NEW'!$A$2:$O$2,0)),"")</f>
        <v/>
      </c>
      <c r="AP16" s="262" t="str">
        <f t="array" ref="AP16">_xlfn.IFNA(INDEX('DMR 001C NEW'!$A$3:$O$999,MATCH(('001-C DMR'!$AB$6:$AJ$6&amp;'001-C DMR'!AP$10&amp;'001-C DMR'!$B16),('DMR 001C NEW'!$E$3:$E$1112&amp;'DMR 001C NEW'!$B$3:$B$1112&amp;'DMR 001C NEW'!$A$3:$A$1112),0),MATCH('001-C DMR'!$AD$11,'DMR 001C NEW'!$A$2:$O$2,0)),"")</f>
        <v/>
      </c>
      <c r="AQ16" s="61" t="str">
        <f t="array" ref="AQ16">IF(AS16&lt;AR16,"&lt;","")</f>
        <v/>
      </c>
      <c r="AR16" s="58" t="str">
        <f t="array" ref="AR16">_xlfn.IFNA((INDEX('DMR 001C NEW'!$A$3:$O$9999,MATCH(('001-C DMR'!$AQ$6:$AZ$6&amp;'001-C DMR'!$AQ$10:$AS$10&amp;'001-C DMR'!$B16),('DMR 001C NEW'!$E$3:$E$7246&amp;'DMR 001C NEW'!$B$3:$B$7246&amp;'DMR 001C NEW'!$A$3:$A$7246),0),MATCH('001-C DMR'!$AR$11,'DMR 001C NEW'!$A$2:$O$2,0))),"")</f>
        <v/>
      </c>
      <c r="AS16" s="58" t="str">
        <f t="array" ref="AS16">_xlfn.IFNA(INDEX('DMR 001C NEW'!$A$3:$O$9999,MATCH(('001-C DMR'!$AQ$6:$AZ$6&amp;'001-C DMR'!$AQ$10:$AS$10&amp;'001-C DMR'!$B16),('DMR 001C NEW'!$E$3:$E$7246&amp;'DMR 001C NEW'!$B$3:$B$7246&amp;'DMR 001C NEW'!$A$3:$A$7246),0),MATCH('001-C DMR'!$AS$11,'DMR 001C NEW'!$A$2:$O$2,0)),"")</f>
        <v/>
      </c>
      <c r="AT16" s="58" t="str">
        <f t="shared" si="27"/>
        <v/>
      </c>
      <c r="AU16" s="57" t="str">
        <f t="array" ref="AU16">IF(AW16&lt;AV16,"&lt;","")</f>
        <v/>
      </c>
      <c r="AV16" s="58" t="str">
        <f t="array" ref="AV16">_xlfn.IFNA((INDEX('DMR 001C NEW'!$A$3:$O$9999,MATCH(('001-C DMR'!$AQ$6:$AZ$6&amp;'001-C DMR'!$AU$10&amp;'001-C DMR'!$B16),('DMR 001C NEW'!$E$3:$E$7246&amp;'DMR 001C NEW'!$B$3:$B$7246&amp;'DMR 001C NEW'!$A$3:$A$7246),0),MATCH('001-C DMR'!$AR$11,'DMR 001C NEW'!$A$2:$O$2,0))),"")</f>
        <v/>
      </c>
      <c r="AW16" s="58" t="str">
        <f t="array" ref="AW16">_xlfn.IFNA(INDEX('DMR 001C NEW'!$A$3:$O$9999,MATCH(('001-C DMR'!$AQ$6:$AZ$6&amp;'001-C DMR'!$AU$10&amp;'001-C DMR'!$B16),('DMR 001C NEW'!$E$3:$E$7246&amp;'DMR 001C NEW'!$B$3:$B$7246&amp;'DMR 001C NEW'!$A$3:$A$7246),0),MATCH('001-C DMR'!$AW$11,'DMR 001C NEW'!$A$2:$O$2,0)),"")</f>
        <v/>
      </c>
      <c r="AX16" s="58" t="str">
        <f t="shared" si="6"/>
        <v/>
      </c>
      <c r="AY16" s="56" t="str">
        <f t="array" ref="AY16">IFERROR((($AT16*$EI16)+($AX16*$EJ16))/($EK16),"")</f>
        <v/>
      </c>
      <c r="AZ16" s="64" t="str">
        <f t="shared" ref="AZ16:AZ46" si="31">IF($A16="Sat",COUNT(AW10:AW16),"")</f>
        <v/>
      </c>
      <c r="BA16" s="279" t="str">
        <f t="array" ref="BA16">_xlfn.IFNA(INDEX('DMR 001C NEW'!$A$3:$O$9999,MATCH(('001-C DMR'!$AQ$6:$AZ$6&amp;'001-C DMR'!BA$10&amp;'001-C DMR'!$B16),('DMR 001C NEW'!$E$3:$E$1112&amp;'DMR 001C NEW'!$B$3:$B$1112&amp;'DMR 001C NEW'!$A$3:$A$1112),0),MATCH('001-C DMR'!$BA$11,'DMR 001C NEW'!$A$2:$O$2,0)),"")</f>
        <v/>
      </c>
      <c r="BB16" s="280" t="str">
        <f t="array" ref="BB16">_xlfn.IFNA(INDEX('DMR 001C NEW'!$A$3:$O$9999,MATCH(('001-C DMR'!$AQ$6:$AZ$6&amp;'001-C DMR'!BB$10&amp;'001-C DMR'!$B16),('DMR 001C NEW'!$E$3:$E$1112&amp;'DMR 001C NEW'!$B$3:$B$1112&amp;'DMR 001C NEW'!$A$3:$A$1112),0),MATCH('001-C DMR'!$BA$11,'DMR 001C NEW'!$A$2:$O$2,0)),"")</f>
        <v/>
      </c>
      <c r="BC16" s="280" t="str">
        <f t="array" ref="BC16">_xlfn.IFNA(INDEX('DMR 001C NEW'!$A$3:$O$9999,MATCH(('001-C DMR'!$AQ$6:$AZ$6&amp;'001-C DMR'!BC$10&amp;'001-C DMR'!$B16),('DMR 001C NEW'!$E$3:$E$1112&amp;'DMR 001C NEW'!$B$3:$B$1112&amp;'DMR 001C NEW'!$A$3:$A$1112),0),MATCH('001-C DMR'!$BA$11,'DMR 001C NEW'!$A$2:$O$2,0)),"")</f>
        <v/>
      </c>
      <c r="BD16" s="280" t="str">
        <f t="array" ref="BD16">_xlfn.IFNA(INDEX('DMR 001C NEW'!$A$3:$O$9999,MATCH(('001-C DMR'!$AQ$6:$AZ$6&amp;'001-C DMR'!BD$10&amp;'001-C DMR'!$B16),('DMR 001C NEW'!$E$3:$E$1112&amp;'DMR 001C NEW'!$B$3:$B$1112&amp;'DMR 001C NEW'!$A$3:$A$1112),0),MATCH('001-C DMR'!$BA$11,'DMR 001C NEW'!$A$2:$O$2,0)),"")</f>
        <v/>
      </c>
      <c r="BE16" s="280" t="str">
        <f t="array" ref="BE16">_xlfn.IFNA(INDEX('DMR 001C NEW'!$A$3:$O$9999,MATCH(('001-C DMR'!$AQ$6:$AZ$6&amp;'001-C DMR'!BE$10&amp;'001-C DMR'!$B16),('DMR 001C NEW'!$E$3:$E$1112&amp;'DMR 001C NEW'!$B$3:$B$1112&amp;'DMR 001C NEW'!$A$3:$A$1112),0),MATCH('001-C DMR'!$BA$11,'DMR 001C NEW'!$A$2:$O$2,0)),"")</f>
        <v/>
      </c>
      <c r="BF16" s="281" t="str">
        <f t="array" ref="BF16">_xlfn.IFNA(INDEX('DMR 001C NEW'!$A$3:$O$9999,MATCH(('001-C DMR'!$AQ$6:$AZ$6&amp;'001-C DMR'!BF$10&amp;'001-C DMR'!$B16),('DMR 001C NEW'!$E$3:$E$1112&amp;'DMR 001C NEW'!$B$3:$B$1112&amp;'DMR 001C NEW'!$A$3:$A$1112),0),MATCH('001-C DMR'!$BA$11,'DMR 001C NEW'!$A$2:$O$2,0)),"")</f>
        <v/>
      </c>
      <c r="BG16" s="57"/>
      <c r="BH16" s="58" t="str">
        <f t="array" ref="BH16">_xlfn.IFNA((INDEX('DMR 001C NEW'!$A$3:$O$9999,MATCH(('001-C DMR'!$BG$6&amp;'001-C DMR'!$BG$10&amp;'001-C DMR'!$B16),('DMR 001C NEW'!$E$3:$E$7246&amp;'DMR 001C NEW'!$B$3:$B$7246&amp;'DMR 001C NEW'!$A$3:$A$7246),0),MATCH('001-C DMR'!$BH$11,'DMR 001C NEW'!$A$2:$O$2,0))),"")</f>
        <v/>
      </c>
      <c r="BI16" s="58" t="str">
        <f t="array" ref="BI16">_xlfn.IFNA(INDEX('DMR 001C NEW'!$A$3:$O$9999,MATCH(('001-C DMR'!$BG$6&amp;'001-C DMR'!$BG$10&amp;'001-C DMR'!$B16),('DMR 001C NEW'!$E$3:$E$7246&amp;'DMR 001C NEW'!$B$3:$B$7246&amp;'DMR 001C NEW'!$A$3:$A$7246),0),MATCH('001-C DMR'!$BI$11,'DMR 001C NEW'!$A$2:$O$2,0)),"")</f>
        <v/>
      </c>
      <c r="BJ16" s="58" t="str">
        <f t="shared" si="7"/>
        <v/>
      </c>
      <c r="BK16" s="57" t="str">
        <f t="shared" si="8"/>
        <v/>
      </c>
      <c r="BL16" s="58" t="str">
        <f t="array" ref="BL16">_xlfn.IFNA((INDEX('DMR 001C NEW'!$A$3:$O$9999,MATCH(('001-C DMR'!$BG$6&amp;'001-C DMR'!$BK$10&amp;'001-C DMR'!$B16),('DMR 001C NEW'!$E$3:$E$7246&amp;'DMR 001C NEW'!$B$3:$B$7246&amp;'DMR 001C NEW'!$A$3:$A$7246),0),MATCH('001-C DMR'!$BH$11,'DMR 001C NEW'!$A$2:$O$2,0))),"")</f>
        <v/>
      </c>
      <c r="BM16" s="58" t="str">
        <f t="array" ref="BM16">_xlfn.IFNA(INDEX('DMR 001C NEW'!$A$3:$O$9999,MATCH(('001-C DMR'!$BG$6&amp;'001-C DMR'!$BK$10&amp;'001-C DMR'!$B16),('DMR 001C NEW'!$E$3:$E$7246&amp;'DMR 001C NEW'!$B$3:$B$7246&amp;'DMR 001C NEW'!$A$3:$A$7246),0),MATCH('001-C DMR'!$BI$11,'DMR 001C NEW'!$A$2:$O$2,0)),"")</f>
        <v/>
      </c>
      <c r="BN16" s="58" t="str">
        <f t="shared" si="9"/>
        <v/>
      </c>
      <c r="BO16" s="56" t="str">
        <f t="array" ref="BO16">IFERROR((($BJ16*$EI16)+($BN16*$EJ16))/($EK16),"")</f>
        <v/>
      </c>
      <c r="BP16" s="64" t="str">
        <f t="shared" ref="BP16:BP42" si="32">IF($A16="Sat",COUNT(BM10:BM16),"")</f>
        <v/>
      </c>
      <c r="BQ16" s="280" t="str">
        <f t="array" ref="BQ16">_xlfn.IFNA(INDEX('DMR 001C NEW'!$A$3:$O$999,MATCH(('001-C DMR'!$BG$6&amp;'001-C DMR'!BQ$10&amp;'001-C DMR'!$B16),('DMR 001C NEW'!$E$3:$E$1112&amp;'DMR 001C NEW'!$B$3:$B$1112&amp;'DMR 001C NEW'!$A$3:$A$1112),0),MATCH('001-C DMR'!$BQ$11,'DMR 001C NEW'!$A$2:$O$2,0)),"")</f>
        <v/>
      </c>
      <c r="BR16" s="280" t="str">
        <f t="array" ref="BR16">_xlfn.IFNA(INDEX('DMR 001C NEW'!$A$3:$O$999,MATCH(('001-C DMR'!$BG$6&amp;'001-C DMR'!BR$10&amp;'001-C DMR'!$B16),('DMR 001C NEW'!$E$3:$E$1112&amp;'DMR 001C NEW'!$B$3:$B$1112&amp;'DMR 001C NEW'!$A$3:$A$1112),0),MATCH('001-C DMR'!$BQ$11,'DMR 001C NEW'!$A$2:$O$2,0)),"")</f>
        <v/>
      </c>
      <c r="BS16" s="280" t="str">
        <f t="array" ref="BS16">_xlfn.IFNA(INDEX('DMR 001C NEW'!$A$3:$O$999,MATCH(('001-C DMR'!$BG$6&amp;'001-C DMR'!BS$10&amp;'001-C DMR'!$B16),('DMR 001C NEW'!$E$3:$E$1112&amp;'DMR 001C NEW'!$B$3:$B$1112&amp;'DMR 001C NEW'!$A$3:$A$1112),0),MATCH('001-C DMR'!$BQ$11,'DMR 001C NEW'!$A$2:$O$2,0)),"")</f>
        <v/>
      </c>
      <c r="BT16" s="280" t="str">
        <f t="array" ref="BT16">_xlfn.IFNA(INDEX('DMR 001C NEW'!$A$3:$O$999,MATCH(('001-C DMR'!$BG$6&amp;'001-C DMR'!BT$10&amp;'001-C DMR'!$B16),('DMR 001C NEW'!$E$3:$E$1112&amp;'DMR 001C NEW'!$B$3:$B$1112&amp;'DMR 001C NEW'!$A$3:$A$1112),0),MATCH('001-C DMR'!$BQ$11,'DMR 001C NEW'!$A$2:$O$2,0)),"")</f>
        <v/>
      </c>
      <c r="BU16" s="280" t="str">
        <f t="array" ref="BU16">_xlfn.IFNA(INDEX('DMR 001C NEW'!$A$3:$O$999,MATCH(('001-C DMR'!$BG$6&amp;'001-C DMR'!BU$10&amp;'001-C DMR'!$B16),('DMR 001C NEW'!$E$3:$E$1112&amp;'DMR 001C NEW'!$B$3:$B$1112&amp;'DMR 001C NEW'!$A$3:$A$1112),0),MATCH('001-C DMR'!$BQ$11,'DMR 001C NEW'!$A$2:$O$2,0)),"")</f>
        <v/>
      </c>
      <c r="BV16" s="280" t="str">
        <f t="array" ref="BV16">_xlfn.IFNA(INDEX('DMR 001C NEW'!$A$3:$O$999,MATCH(('001-C DMR'!$BG$6&amp;'001-C DMR'!BV$10&amp;'001-C DMR'!$B16),('DMR 001C NEW'!$E$3:$E$1112&amp;'DMR 001C NEW'!$B$3:$B$1112&amp;'DMR 001C NEW'!$A$3:$A$1112),0),MATCH('001-C DMR'!$BQ$11,'DMR 001C NEW'!$A$2:$O$2,0)),"")</f>
        <v/>
      </c>
      <c r="BW16" s="65"/>
      <c r="BX16" s="65"/>
      <c r="BY16" s="57" t="str">
        <f t="shared" si="10"/>
        <v/>
      </c>
      <c r="BZ16" s="58" t="str">
        <f t="array" ref="BZ16">_xlfn.IFNA((INDEX('DMR 001C NEW'!$A$3:$O$9999,MATCH(('001-C DMR'!$BY$6&amp;'001-C DMR'!$BY$10&amp;'001-C DMR'!$B16),('DMR 001C NEW'!$E$3:$E$7246&amp;'DMR 001C NEW'!$B$3:$B$7246&amp;'DMR 001C NEW'!$A$3:$A$7246),0),MATCH('001-C DMR'!$BZ$11,'DMR 001C NEW'!$A$2:$O$2,0))),"")</f>
        <v/>
      </c>
      <c r="CA16" s="138" t="str">
        <f t="array" ref="CA16">_xlfn.IFNA(INDEX('DMR 001C NEW'!$A$3:$O$9999,MATCH(('001-C DMR'!$BY$6&amp;'001-C DMR'!$BY$10&amp;'001-C DMR'!$B16),('DMR 001C NEW'!$E$3:$E$7246&amp;'DMR 001C NEW'!$B$3:$B$7246&amp;'DMR 001C NEW'!$A$3:$A$7246),0),MATCH('001-C DMR'!$CA$11,'DMR 001C NEW'!$A$2:$O$2,0)),"")</f>
        <v/>
      </c>
      <c r="CB16" s="57" t="str">
        <f t="shared" si="11"/>
        <v/>
      </c>
      <c r="CC16" s="58" t="str">
        <f t="array" ref="CC16">_xlfn.IFNA((INDEX('DMR 001C NEW'!$A$3:$O$9999,MATCH(('001-C DMR'!$BY$6&amp;'001-C DMR'!$CB$10&amp;'001-C DMR'!$B16),('DMR 001C NEW'!$E$3:$E$7246&amp;'DMR 001C NEW'!$B$3:$B$7246&amp;'DMR 001C NEW'!$A$3:$A$7246),0),MATCH('001-C DMR'!$BZ$11,'DMR 001C NEW'!$A$2:$O$2,0))),"")</f>
        <v/>
      </c>
      <c r="CD16" s="138" t="str">
        <f t="array" ref="CD16">_xlfn.IFNA(INDEX('DMR 001C NEW'!$A$3:$O$9999,MATCH(('001-C DMR'!$BY$6&amp;'001-C DMR'!$CB$10&amp;'001-C DMR'!$B16),('DMR 001C NEW'!$E$3:$E$7246&amp;'DMR 001C NEW'!$B$3:$B$7246&amp;'DMR 001C NEW'!$A$3:$A$7246),0),MATCH('001-C DMR'!$CA$11,'DMR 001C NEW'!$A$2:$O$2,0)),"")</f>
        <v/>
      </c>
      <c r="CE16" s="138" t="str">
        <f t="array" ref="CE16">IFERROR((($CA16*$EI16)+($CD16*$EJ16))/($EK16),"")</f>
        <v/>
      </c>
      <c r="CF16" s="64" t="str">
        <f t="shared" ref="CF16:CF40" si="33">IF($A16="Sat",COUNT(CE10:CE16),"")</f>
        <v/>
      </c>
      <c r="CG16" s="280" t="str">
        <f t="array" ref="CG16">_xlfn.IFNA(INDEX('DMR 001C NEW'!$A$3:$O$999,MATCH(('001-C DMR'!$BY$6&amp;'001-C DMR'!CG$10&amp;'001-C DMR'!$B16),('DMR 001C NEW'!$E$3:$E$1112&amp;'DMR 001C NEW'!$B$3:$B$1112&amp;'DMR 001C NEW'!$A$3:$A$1112),0),MATCH('001-C DMR'!$CA$11,'DMR 001C NEW'!$A$2:$O$2,0)),"")</f>
        <v/>
      </c>
      <c r="CH16" s="280" t="str">
        <f t="array" ref="CH16">_xlfn.IFNA(INDEX('DMR 001C NEW'!$A$3:$O$999,MATCH(('001-C DMR'!$BY$6&amp;'001-C DMR'!CH$10&amp;'001-C DMR'!$B16),('DMR 001C NEW'!$E$3:$E$1112&amp;'DMR 001C NEW'!$B$3:$B$1112&amp;'DMR 001C NEW'!$A$3:$A$1112),0),MATCH('001-C DMR'!$CA$11,'DMR 001C NEW'!$A$2:$O$2,0)),"")</f>
        <v/>
      </c>
      <c r="CI16" s="280" t="str">
        <f t="array" ref="CI16">_xlfn.IFNA(INDEX('DMR 001C NEW'!$A$3:$O$999,MATCH(('001-C DMR'!$BY$6&amp;'001-C DMR'!CI$10&amp;'001-C DMR'!$B16),('DMR 001C NEW'!$E$3:$E$1112&amp;'DMR 001C NEW'!$B$3:$B$1112&amp;'DMR 001C NEW'!$A$3:$A$1112),0),MATCH('001-C DMR'!$CA$11,'DMR 001C NEW'!$A$2:$O$2,0)),"")</f>
        <v/>
      </c>
      <c r="CJ16" s="280" t="str">
        <f t="array" ref="CJ16">_xlfn.IFNA(INDEX('DMR 001C NEW'!$A$3:$O$999,MATCH(('001-C DMR'!$BY$6&amp;'001-C DMR'!CJ$10&amp;'001-C DMR'!$B16),('DMR 001C NEW'!$E$3:$E$1112&amp;'DMR 001C NEW'!$B$3:$B$1112&amp;'DMR 001C NEW'!$A$3:$A$1112),0),MATCH('001-C DMR'!$CA$11,'DMR 001C NEW'!$A$2:$O$2,0)),"")</f>
        <v/>
      </c>
      <c r="CK16" s="280" t="str">
        <f t="array" ref="CK16">_xlfn.IFNA(INDEX('DMR 001C NEW'!$A$3:$O$999,MATCH(('001-C DMR'!$BY$6&amp;'001-C DMR'!CK$10&amp;'001-C DMR'!$B16),('DMR 001C NEW'!$E$3:$E$1112&amp;'DMR 001C NEW'!$B$3:$B$1112&amp;'DMR 001C NEW'!$A$3:$A$1112),0),MATCH('001-C DMR'!$CA$11,'DMR 001C NEW'!$A$2:$O$2,0)),"")</f>
        <v/>
      </c>
      <c r="CL16" s="280" t="str">
        <f t="array" ref="CL16">_xlfn.IFNA(INDEX('DMR 001C NEW'!$A$3:$O$999,MATCH(('001-C DMR'!$BY$6&amp;'001-C DMR'!CL$10&amp;'001-C DMR'!$B16),('DMR 001C NEW'!$E$3:$E$1112&amp;'DMR 001C NEW'!$B$3:$B$1112&amp;'DMR 001C NEW'!$A$3:$A$1112),0),MATCH('001-C DMR'!$CA$11,'DMR 001C NEW'!$A$2:$O$2,0)),"")</f>
        <v/>
      </c>
      <c r="CM16" s="61" t="str">
        <f t="shared" si="12"/>
        <v/>
      </c>
      <c r="CN16" s="138" t="str">
        <f t="array" ref="CN16">_xlfn.IFNA((INDEX('DMR 001C NEW'!$A$3:$O$9999,MATCH(('001-C DMR'!$CM$6&amp;'001-C DMR'!$CM$10&amp;'001-C DMR'!$B16),('DMR 001C NEW'!$E$3:$E$9018&amp;'DMR 001C NEW'!$B$3:$B$9018&amp;'DMR 001C NEW'!$A$3:$A$9018),0),MATCH('001-C DMR'!$CN$11,'DMR 001C NEW'!$A$2:$O$2,0))*1000),"")</f>
        <v/>
      </c>
      <c r="CO16" s="138" t="str">
        <f t="array" ref="CO16">_xlfn.IFNA(INDEX('DMR 001C NEW'!$A$3:$O$9999,MATCH(('001-C DMR'!$CM$6&amp;'001-C DMR'!$CM$10&amp;'001-C DMR'!$B16),('DMR 001C NEW'!$E$3:$E$9018&amp;'DMR 001C NEW'!$B$3:$B$9018&amp;'DMR 001C NEW'!$A$3:$A$9018),0),MATCH('001-C DMR'!$CO$11,'DMR 001C NEW'!$A$2:$O$2,0))*1000,"")</f>
        <v/>
      </c>
      <c r="CP16" s="138" t="str">
        <f t="shared" si="13"/>
        <v/>
      </c>
      <c r="CQ16" s="64" t="str">
        <f t="shared" ref="CQ16:CQ46" si="34">IF($A16="Sat",COUNT(CO10:CO16),"")</f>
        <v/>
      </c>
      <c r="CR16" s="280" t="str">
        <f t="array" ref="CR16">_xlfn.IFNA(INDEX('DMR 001C NEW'!$A$3:$O$999,MATCH(('001-C DMR'!$CM$6&amp;'001-C DMR'!CR$10&amp;'001-C DMR'!$B16),('DMR 001C NEW'!$E$3:$E$1112&amp;'DMR 001C NEW'!$B$3:$B$1112&amp;'DMR 001C NEW'!$A$3:$A$1112),0),MATCH('001-C DMR'!$CO$11,'DMR 001C NEW'!$A$2:$O$2,0)),"")</f>
        <v/>
      </c>
      <c r="CS16" s="280" t="str">
        <f t="array" ref="CS16">_xlfn.IFNA(INDEX('DMR 001C NEW'!$A$3:$O$999,MATCH(('001-C DMR'!$CM$6&amp;'001-C DMR'!CS$10&amp;'001-C DMR'!$B16),('DMR 001C NEW'!$E$3:$E$1112&amp;'DMR 001C NEW'!$B$3:$B$1112&amp;'DMR 001C NEW'!$A$3:$A$1112),0),MATCH('001-C DMR'!$CO$11,'DMR 001C NEW'!$A$2:$O$2,0)),"")</f>
        <v/>
      </c>
      <c r="CT16" s="280" t="str">
        <f t="array" ref="CT16">_xlfn.IFNA(INDEX('DMR 001C NEW'!$A$3:$O$999,MATCH(('001-C DMR'!$CM$6&amp;'001-C DMR'!CT$10&amp;'001-C DMR'!$B16),('DMR 001C NEW'!$E$3:$E$1112&amp;'DMR 001C NEW'!$B$3:$B$1112&amp;'DMR 001C NEW'!$A$3:$A$1112),0),MATCH('001-C DMR'!$CO$11,'DMR 001C NEW'!$A$2:$O$2,0)),"")</f>
        <v/>
      </c>
      <c r="CU16" s="280" t="str">
        <f t="array" ref="CU16">_xlfn.IFNA(INDEX('DMR 001C NEW'!$A$3:$O$999,MATCH(('001-C DMR'!$CM$6&amp;'001-C DMR'!CU$10&amp;'001-C DMR'!$B16),('DMR 001C NEW'!$E$3:$E$1112&amp;'DMR 001C NEW'!$B$3:$B$1112&amp;'DMR 001C NEW'!$A$3:$A$1112),0),MATCH('001-C DMR'!$CO$11,'DMR 001C NEW'!$A$2:$O$2,0)),"")</f>
        <v/>
      </c>
      <c r="CV16" s="280" t="str">
        <f t="array" ref="CV16">_xlfn.IFNA(INDEX('DMR 001C NEW'!$A$3:$O$999,MATCH(('001-C DMR'!$CM$6&amp;'001-C DMR'!CV$10&amp;'001-C DMR'!$B16),('DMR 001C NEW'!$E$3:$E$1112&amp;'DMR 001C NEW'!$B$3:$B$1112&amp;'DMR 001C NEW'!$A$3:$A$1112),0),MATCH('001-C DMR'!$CO$11,'DMR 001C NEW'!$A$2:$O$2,0)),"")</f>
        <v/>
      </c>
      <c r="CW16" s="280" t="str">
        <f t="array" ref="CW16">_xlfn.IFNA(INDEX('DMR 001C NEW'!$A$3:$O$999,MATCH(('001-C DMR'!$CM$6&amp;'001-C DMR'!CW$10&amp;'001-C DMR'!$B16),('DMR 001C NEW'!$E$3:$E$1112&amp;'DMR 001C NEW'!$B$3:$B$1112&amp;'DMR 001C NEW'!$A$3:$A$1112),0),MATCH('001-C DMR'!$CO$11,'DMR 001C NEW'!$A$2:$O$2,0)),"")</f>
        <v/>
      </c>
      <c r="CX16" s="280" t="str">
        <f t="array" ref="CX16">_xlfn.IFNA(INDEX('DMR 001C NEW'!$A$3:$O$999,MATCH(('001-C DMR'!$CM$6&amp;'001-C DMR'!CX$10&amp;'001-C DMR'!$B16),('DMR 001C NEW'!$E$3:$E$1112&amp;'DMR 001C NEW'!$B$3:$B$1112&amp;'DMR 001C NEW'!$A$3:$A$1112),0),MATCH('001-C DMR'!$CO$11,'DMR 001C NEW'!$A$2:$O$2,0)),"")</f>
        <v/>
      </c>
      <c r="CY16" s="61" t="str">
        <f t="shared" si="14"/>
        <v/>
      </c>
      <c r="CZ16" s="138" t="str">
        <f t="array" ref="CZ16">_xlfn.IFNA((INDEX('DMR 001C NEW'!$A$3:$O$9999,MATCH(('001-C DMR'!$CY$6&amp;'001-C DMR'!$CY$10&amp;'001-C DMR'!$B16),('DMR 001C NEW'!$E$3:$E$9018&amp;'DMR 001C NEW'!$B$3:$B$9018&amp;'DMR 001C NEW'!$A$3:$A$9018),0),MATCH('001-C DMR'!$CZ$11,'DMR 001C NEW'!$A$2:$O$2,0))*1000),"")</f>
        <v/>
      </c>
      <c r="DA16" s="138" t="str">
        <f t="array" ref="DA16">_xlfn.IFNA(INDEX('DMR 001C NEW'!$A$3:$O$9999,MATCH(('001-C DMR'!$CY$6&amp;'001-C DMR'!$CY$10&amp;'001-C DMR'!$B16),('DMR 001C NEW'!$E$3:$E$9018&amp;'DMR 001C NEW'!$B$3:$B$9018&amp;'DMR 001C NEW'!$A$3:$A$9018),0),MATCH('001-C DMR'!$DA$11,'DMR 001C NEW'!$A$2:$O$2,0))*1000,"")</f>
        <v/>
      </c>
      <c r="DB16" s="138" t="str">
        <f t="shared" si="15"/>
        <v/>
      </c>
      <c r="DC16" s="64" t="str">
        <f t="shared" ref="DC16:DC42" si="35">IF($A16="Sat",COUNT(DA10:DA16),"")</f>
        <v/>
      </c>
      <c r="DD16" s="280" t="str">
        <f t="array" ref="DD16">_xlfn.IFNA(INDEX('DMR 001C NEW'!$A$3:$O$999,MATCH(('001-C DMR'!$CY$6&amp;'001-C DMR'!DD$10&amp;'001-C DMR'!$B16),('DMR 001C NEW'!$E$3:$E$1112&amp;'DMR 001C NEW'!$B$3:$B$1112&amp;'DMR 001C NEW'!$A$3:$A$1112),0),MATCH('001-C DMR'!$DA$11,'DMR 001C NEW'!$A$2:$O$2,0)),"")</f>
        <v/>
      </c>
      <c r="DE16" s="280" t="str">
        <f t="array" ref="DE16">_xlfn.IFNA(INDEX('DMR 001C NEW'!$A$3:$O$999,MATCH(('001-C DMR'!$CY$6&amp;'001-C DMR'!DE$10&amp;'001-C DMR'!$B16),('DMR 001C NEW'!$E$3:$E$1112&amp;'DMR 001C NEW'!$B$3:$B$1112&amp;'DMR 001C NEW'!$A$3:$A$1112),0),MATCH('001-C DMR'!$DA$11,'DMR 001C NEW'!$A$2:$O$2,0)),"")</f>
        <v/>
      </c>
      <c r="DF16" s="280" t="str">
        <f t="array" ref="DF16">_xlfn.IFNA(INDEX('DMR 001C NEW'!$A$3:$O$999,MATCH(('001-C DMR'!$CY$6&amp;'001-C DMR'!DF$10&amp;'001-C DMR'!$B16),('DMR 001C NEW'!$E$3:$E$1112&amp;'DMR 001C NEW'!$B$3:$B$1112&amp;'DMR 001C NEW'!$A$3:$A$1112),0),MATCH('001-C DMR'!$DA$11,'DMR 001C NEW'!$A$2:$O$2,0)),"")</f>
        <v/>
      </c>
      <c r="DG16" s="280" t="str">
        <f t="array" ref="DG16">_xlfn.IFNA(INDEX('DMR 001C NEW'!$A$3:$O$999,MATCH(('001-C DMR'!$CY$6&amp;'001-C DMR'!DG$10&amp;'001-C DMR'!$B16),('DMR 001C NEW'!$E$3:$E$1112&amp;'DMR 001C NEW'!$B$3:$B$1112&amp;'DMR 001C NEW'!$A$3:$A$1112),0),MATCH('001-C DMR'!$DA$11,'DMR 001C NEW'!$A$2:$O$2,0)),"")</f>
        <v/>
      </c>
      <c r="DH16" s="280" t="str">
        <f t="array" ref="DH16">_xlfn.IFNA(INDEX('DMR 001C NEW'!$A$3:$O$999,MATCH(('001-C DMR'!$CY$6&amp;'001-C DMR'!DH$10&amp;'001-C DMR'!$B16),('DMR 001C NEW'!$E$3:$E$1112&amp;'DMR 001C NEW'!$B$3:$B$1112&amp;'DMR 001C NEW'!$A$3:$A$1112),0),MATCH('001-C DMR'!$DA$11,'DMR 001C NEW'!$A$2:$O$2,0)),"")</f>
        <v/>
      </c>
      <c r="DI16" s="280" t="str">
        <f t="array" ref="DI16">_xlfn.IFNA(INDEX('DMR 001C NEW'!$A$3:$O$999,MATCH(('001-C DMR'!$CY$6&amp;'001-C DMR'!DI$10&amp;'001-C DMR'!$B16),('DMR 001C NEW'!$E$3:$E$1112&amp;'DMR 001C NEW'!$B$3:$B$1112&amp;'DMR 001C NEW'!$A$3:$A$1112),0),MATCH('001-C DMR'!$DA$11,'DMR 001C NEW'!$A$2:$O$2,0)),"")</f>
        <v/>
      </c>
      <c r="DJ16" s="280" t="str">
        <f t="array" ref="DJ16">_xlfn.IFNA(INDEX('DMR 001C NEW'!$A$3:$O$999,MATCH(('001-C DMR'!$CY$6&amp;'001-C DMR'!DJ$10&amp;'001-C DMR'!$B16),('DMR 001C NEW'!$E$3:$E$1112&amp;'DMR 001C NEW'!$B$3:$B$1112&amp;'DMR 001C NEW'!$A$3:$A$1112),0),MATCH('001-C DMR'!$DA$11,'DMR 001C NEW'!$A$2:$O$2,0)),"")</f>
        <v/>
      </c>
      <c r="DK16" s="61" t="str">
        <f t="shared" si="16"/>
        <v/>
      </c>
      <c r="DL16" s="58" t="str">
        <f t="array" ref="DL16">_xlfn.IFNA((INDEX('DMR 001C NEW'!$A$3:$O$9999,MATCH(('001-C DMR'!$DK$6&amp;'001-C DMR'!$DK$10&amp;'001-C DMR'!$B16),('DMR 001C NEW'!$E$3:$E$9018&amp;'DMR 001C NEW'!$B$3:$B$9018&amp;'DMR 001C NEW'!$A$3:$A$9018),0),MATCH('001-C DMR'!$DL$11,'DMR 001C NEW'!$A$2:$O$2,0))),"")</f>
        <v/>
      </c>
      <c r="DM16" s="58" t="str">
        <f t="array" ref="DM16">_xlfn.IFNA(INDEX('DMR 001C NEW'!$A$3:$O$9999,MATCH(('001-C DMR'!$DK$6&amp;'001-C DMR'!$DK$10&amp;'001-C DMR'!$B16),('DMR 001C NEW'!$E$3:$E$9018&amp;'DMR 001C NEW'!$B$3:$B$9018&amp;'DMR 001C NEW'!$A$3:$A$9018),0),MATCH('001-C DMR'!$DM$11,'DMR 001C NEW'!$A$2:$O$2,0)),"")</f>
        <v/>
      </c>
      <c r="DN16" s="58" t="str">
        <f t="shared" si="17"/>
        <v/>
      </c>
      <c r="DO16" s="223"/>
      <c r="DP16" s="224"/>
      <c r="DQ16" s="64" t="str">
        <f t="shared" si="18"/>
        <v/>
      </c>
      <c r="DR16" s="280" t="str">
        <f t="array" ref="DR16">_xlfn.IFNA(INDEX('DMR 001C NEW'!$A$3:$O$999,MATCH(('001-C DMR'!$DK$6&amp;'001-C DMR'!DR$10&amp;'001-C DMR'!$B16),('DMR 001C NEW'!$E$3:$E$1112&amp;'DMR 001C NEW'!$B$3:$B$1112&amp;'DMR 001C NEW'!$A$3:$A$1112),0),MATCH('001-C DMR'!$DR$11,'DMR 001C NEW'!$A$2:$O$2,0)),"")</f>
        <v/>
      </c>
      <c r="DS16" s="280" t="str">
        <f t="array" ref="DS16">_xlfn.IFNA(INDEX('DMR 001C NEW'!$A$3:$O$999,MATCH(('001-C DMR'!$DK$6&amp;'001-C DMR'!DS$10&amp;'001-C DMR'!$B16),('DMR 001C NEW'!$E$3:$E$1112&amp;'DMR 001C NEW'!$B$3:$B$1112&amp;'DMR 001C NEW'!$A$3:$A$1112),0),MATCH('001-C DMR'!$DR$11,'DMR 001C NEW'!$A$2:$O$2,0)),"")</f>
        <v/>
      </c>
      <c r="DT16" s="280" t="str">
        <f t="array" ref="DT16">_xlfn.IFNA(INDEX('DMR 001C NEW'!$A$3:$O$999,MATCH(('001-C DMR'!$DK$6&amp;'001-C DMR'!DT$10&amp;'001-C DMR'!$B16),('DMR 001C NEW'!$E$3:$E$1112&amp;'DMR 001C NEW'!$B$3:$B$1112&amp;'DMR 001C NEW'!$A$3:$A$1112),0),MATCH('001-C DMR'!$DR$11,'DMR 001C NEW'!$A$2:$O$2,0)),"")</f>
        <v/>
      </c>
      <c r="DU16" s="280" t="str">
        <f t="array" ref="DU16">_xlfn.IFNA(INDEX('DMR 001C NEW'!$A$3:$O$999,MATCH(('001-C DMR'!$DK$6&amp;'001-C DMR'!DU$10&amp;'001-C DMR'!$B16),('DMR 001C NEW'!$E$3:$E$1112&amp;'DMR 001C NEW'!$B$3:$B$1112&amp;'DMR 001C NEW'!$A$3:$A$1112),0),MATCH('001-C DMR'!$DR$11,'DMR 001C NEW'!$A$2:$O$2,0)),"")</f>
        <v/>
      </c>
      <c r="DV16" s="280" t="str">
        <f t="array" ref="DV16">_xlfn.IFNA(INDEX('DMR 001C NEW'!$A$3:$O$999,MATCH(('001-C DMR'!$DK$6&amp;'001-C DMR'!DV$10&amp;'001-C DMR'!$B16),('DMR 001C NEW'!$E$3:$E$1112&amp;'DMR 001C NEW'!$B$3:$B$1112&amp;'DMR 001C NEW'!$A$3:$A$1112),0),MATCH('001-C DMR'!$DR$11,'DMR 001C NEW'!$A$2:$O$2,0)),"")</f>
        <v/>
      </c>
      <c r="DW16" s="280" t="str">
        <f t="array" ref="DW16">_xlfn.IFNA(INDEX('DMR 001C NEW'!$A$3:$O$999,MATCH(('001-C DMR'!$DK$6&amp;'001-C DMR'!DW$10&amp;'001-C DMR'!$B16),('DMR 001C NEW'!$E$3:$E$1112&amp;'DMR 001C NEW'!$B$3:$B$1112&amp;'DMR 001C NEW'!$A$3:$A$1112),0),MATCH('001-C DMR'!$DR$11,'DMR 001C NEW'!$A$2:$O$2,0)),"")</f>
        <v/>
      </c>
      <c r="DX16" s="280" t="str">
        <f t="array" ref="DX16">_xlfn.IFNA(INDEX('DMR 001C NEW'!$A$3:$O$999,MATCH(('001-C DMR'!$DK$6&amp;'001-C DMR'!DX$10&amp;'001-C DMR'!$B16),('DMR 001C NEW'!$E$3:$E$1112&amp;'DMR 001C NEW'!$B$3:$B$1112&amp;'DMR 001C NEW'!$A$3:$A$1112),0),MATCH('001-C DMR'!$DR$11,'DMR 001C NEW'!$A$2:$O$2,0)),"")</f>
        <v/>
      </c>
      <c r="DY16" s="61" t="str">
        <f t="shared" si="28"/>
        <v/>
      </c>
      <c r="DZ16" s="249" t="str">
        <f t="array" ref="DZ16">_xlfn.IFNA((INDEX('DMR 001C NEW'!$A$3:$O$9999,MATCH(('001-C DMR'!$DY$6&amp;'001-C DMR'!$DY$10&amp;'001-C DMR'!$B16),('DMR 001C NEW'!$E$3:$E$9018&amp;'DMR 001C NEW'!$B$3:$B$9018&amp;'DMR 001C NEW'!$A$3:$A$9018),0),MATCH('001-C DMR'!$DZ$11,'DMR 001C NEW'!$A$2:$O$2,0))),"")</f>
        <v/>
      </c>
      <c r="EA16" s="249" t="str">
        <f t="array" ref="EA16">_xlfn.IFNA((INDEX('DMR 001C NEW'!$A$3:$O$9999,MATCH(('001-C DMR'!$DY$6&amp;'001-C DMR'!$DY$10&amp;'001-C DMR'!$B16),('DMR 001C NEW'!$E$3:$E$9018&amp;'DMR 001C NEW'!$B$3:$B$9018&amp;'DMR 001C NEW'!$A$3:$A$9018),0),MATCH('001-C DMR'!$EA$11,'DMR 001C NEW'!$A$2:$O$2,0))),"")</f>
        <v/>
      </c>
      <c r="EB16" s="249" t="str">
        <f t="array" ref="EB16">IF(EA16="SCRATCHED","",IF(EA16&lt;DZ16,0,EA16))</f>
        <v/>
      </c>
      <c r="EC16" s="249" t="str">
        <f t="shared" si="29"/>
        <v/>
      </c>
      <c r="ED16" s="249" t="str">
        <f t="array" ref="ED16">_xlfn.IFNA((INDEX('DMR 001C NEW'!$A$3:$O$9999,MATCH(('001-C DMR'!$DY$6&amp;'001-C DMR'!$EC$10&amp;'001-C DMR'!$B16),('DMR 001C NEW'!$E$3:$E$9018&amp;'DMR 001C NEW'!$B$3:$B$9018&amp;'DMR 001C NEW'!$A$3:$A$9018),0),MATCH('001-C DMR'!$DZ$11,'DMR 001C NEW'!$A$2:$O$2,0))),"")</f>
        <v/>
      </c>
      <c r="EE16" s="249" t="str">
        <f t="array" ref="EE16">_xlfn.IFNA((INDEX('DMR 001C NEW'!$A$3:$O$9999,MATCH(('001-C DMR'!$DY$6&amp;'001-C DMR'!$EC$10&amp;'001-C DMR'!$B16),('DMR 001C NEW'!$E$3:$E$9018&amp;'DMR 001C NEW'!$B$3:$B$9018&amp;'DMR 001C NEW'!$A$3:$A$9018),0),MATCH('001-C DMR'!$EE$11,'DMR 001C NEW'!$A$2:$O$2,0))),"")</f>
        <v/>
      </c>
      <c r="EF16" s="249" t="str">
        <f t="array" ref="EF16">IF(EE16="SCRATCHED","",IF(EE16&lt;ED16,0,EE16))</f>
        <v/>
      </c>
      <c r="EG16" s="249"/>
      <c r="EH16" s="195"/>
      <c r="EI16" s="194">
        <f t="array" ref="EI16">_xlfn.IFNA(INDEX('DMR Flows-Effluent'!$A$3:$F$186,MATCH(($EI$10&amp;$B16),('DMR Flows-Effluent'!$B$3:$B$186&amp;'DMR Flows-Effluent'!$A$3:$A$186),0),MATCH($EI$8,'DMR Flows-Effluent'!$A$2:$F$2,0)),"")</f>
        <v>56.402900000000002</v>
      </c>
      <c r="EJ16" s="56">
        <f t="array" ref="EJ16">_xlfn.IFNA(INDEX('DMR Flows-Effluent'!$A$3:$F$186,MATCH(($EJ$10&amp;$B16),('DMR Flows-Effluent'!$B$3:$B$186&amp;'DMR Flows-Effluent'!$A$3:$A$186),0),MATCH($EI$8,'DMR Flows-Effluent'!$A$2:$F$2,0)),"")</f>
        <v>72.420100000000005</v>
      </c>
      <c r="EK16" s="168">
        <f t="shared" si="19"/>
        <v>128.82300000000001</v>
      </c>
      <c r="EL16" s="63"/>
      <c r="EM16" s="63"/>
      <c r="EN16" s="63"/>
      <c r="EO16" s="63"/>
      <c r="EP16" s="62"/>
      <c r="EQ16" s="157">
        <f>'E.Coli Calculations'!R10</f>
        <v>261.73635954394126</v>
      </c>
      <c r="ER16" s="56"/>
      <c r="ES16" s="64" t="str">
        <f t="shared" ref="ES16:ES46" si="36">IF($A16="Sat",COUNT(EQ10:EQ16),"")</f>
        <v/>
      </c>
      <c r="ET16" s="61" t="str">
        <f t="shared" si="20"/>
        <v/>
      </c>
      <c r="EU16" s="58" t="str">
        <f t="array" ref="EU16">_xlfn.IFNA((INDEX('DMR 001C NEW'!$A$3:$O$9999,MATCH(('001-C DMR'!$ET$6&amp;'001-C DMR'!$ET$10&amp;'001-C DMR'!$B16),('DMR 001C NEW'!$E$3:$E$9018&amp;'DMR 001C NEW'!$B$3:$B$9018&amp;'DMR 001C NEW'!$A$3:$A$9018),0),MATCH('001-C DMR'!$EU$11,'DMR 001C NEW'!$A$2:$O$2,0))),"")</f>
        <v/>
      </c>
      <c r="EV16" s="58" t="str">
        <f t="array" ref="EV16">_xlfn.IFNA(INDEX('DMR 001C NEW'!$A$3:$O$9999,MATCH(('001-C DMR'!$ET$6&amp;'001-C DMR'!$ET$10&amp;'001-C DMR'!$B16),('DMR 001C NEW'!$E$3:$E$9018&amp;'DMR 001C NEW'!$B$3:$B$9018&amp;'DMR 001C NEW'!$A$3:$A$9018),0),MATCH('001-C DMR'!$EV$11,'DMR 001C NEW'!$A$2:$O$2,0)),"")</f>
        <v/>
      </c>
      <c r="EW16" s="56" t="str">
        <f t="shared" si="21"/>
        <v/>
      </c>
      <c r="EX16" s="64"/>
      <c r="EY16" s="279" t="str">
        <f t="array" ref="EY16">_xlfn.IFNA(INDEX('DMR 001C NEW'!$A$3:$O$999,MATCH(('001-C DMR'!$ET$6&amp;'001-C DMR'!EY$10&amp;'001-C DMR'!$B16),('DMR 001C NEW'!$E$3:$E$1112&amp;'DMR 001C NEW'!$B$3:$B$1112&amp;'DMR 001C NEW'!$A$3:$A$1112),0),MATCH('001-C DMR'!$EY$11,'DMR 001C NEW'!$A$2:$O$2,0)),"")</f>
        <v/>
      </c>
      <c r="EZ16" s="280" t="str">
        <f t="array" ref="EZ16">_xlfn.IFNA(INDEX('DMR 001C NEW'!$A$3:$O$999,MATCH(('001-C DMR'!$ET$6&amp;'001-C DMR'!EZ$10&amp;'001-C DMR'!$B16),('DMR 001C NEW'!$E$3:$E$1112&amp;'DMR 001C NEW'!$B$3:$B$1112&amp;'DMR 001C NEW'!$A$3:$A$1112),0),MATCH('001-C DMR'!$EY$11,'DMR 001C NEW'!$A$2:$O$2,0)),"")</f>
        <v/>
      </c>
      <c r="FA16" s="280" t="str">
        <f t="array" ref="FA16">_xlfn.IFNA(INDEX('DMR 001C NEW'!$A$3:$O$999,MATCH(('001-C DMR'!$ET$6&amp;'001-C DMR'!FA$10&amp;'001-C DMR'!$B16),('DMR 001C NEW'!$E$3:$E$1112&amp;'DMR 001C NEW'!$B$3:$B$1112&amp;'DMR 001C NEW'!$A$3:$A$1112),0),MATCH('001-C DMR'!$EY$11,'DMR 001C NEW'!$A$2:$O$2,0)),"")</f>
        <v/>
      </c>
      <c r="FB16" s="280" t="str">
        <f t="array" ref="FB16">_xlfn.IFNA(INDEX('DMR 001C NEW'!$A$3:$O$999,MATCH(('001-C DMR'!$ET$6&amp;'001-C DMR'!FB$10&amp;'001-C DMR'!$B16),('DMR 001C NEW'!$E$3:$E$1112&amp;'DMR 001C NEW'!$B$3:$B$1112&amp;'DMR 001C NEW'!$A$3:$A$1112),0),MATCH('001-C DMR'!$EY$11,'DMR 001C NEW'!$A$2:$O$2,0)),"")</f>
        <v/>
      </c>
      <c r="FC16" s="280" t="str">
        <f t="array" ref="FC16">_xlfn.IFNA(INDEX('DMR 001C NEW'!$A$3:$O$999,MATCH(('001-C DMR'!$ET$6&amp;'001-C DMR'!FC$10&amp;'001-C DMR'!$B16),('DMR 001C NEW'!$E$3:$E$1112&amp;'DMR 001C NEW'!$B$3:$B$1112&amp;'DMR 001C NEW'!$A$3:$A$1112),0),MATCH('001-C DMR'!$EY$11,'DMR 001C NEW'!$A$2:$O$2,0)),"")</f>
        <v/>
      </c>
      <c r="FD16" s="280" t="str">
        <f t="array" ref="FD16">_xlfn.IFNA(INDEX('DMR 001C NEW'!$A$3:$O$999,MATCH(('001-C DMR'!$ET$6&amp;'001-C DMR'!FD$10&amp;'001-C DMR'!$B16),('DMR 001C NEW'!$E$3:$E$1112&amp;'DMR 001C NEW'!$B$3:$B$1112&amp;'DMR 001C NEW'!$A$3:$A$1112),0),MATCH('001-C DMR'!$EY$11,'DMR 001C NEW'!$A$2:$O$2,0)),"")</f>
        <v/>
      </c>
      <c r="FE16" s="281" t="str">
        <f t="array" ref="FE16">_xlfn.IFNA(INDEX('DMR 001C NEW'!$A$3:$O$999,MATCH(('001-C DMR'!$ET$6&amp;'001-C DMR'!FE$10&amp;'001-C DMR'!$B16),('DMR 001C NEW'!$E$3:$E$1112&amp;'DMR 001C NEW'!$B$3:$B$1112&amp;'DMR 001C NEW'!$A$3:$A$1112),0),MATCH('001-C DMR'!$EY$11,'DMR 001C NEW'!$A$2:$O$2,0)),"")</f>
        <v/>
      </c>
      <c r="FF16" s="57" t="str">
        <f t="shared" si="22"/>
        <v/>
      </c>
      <c r="FG16" s="56">
        <f t="array" ref="FG16">_xlfn.IFNA(INDEX('DMR 001C NEW'!$A$3:$O$9999,MATCH(('001-C DMR'!$FF$6&amp;'001-C DMR'!$FF$10&amp;'001-C DMR'!$B16),('DMR 001C NEW'!$E$3:$E$7246&amp;'DMR 001C NEW'!$B$3:$B$7246&amp;'DMR 001C NEW'!$A$3:$A$7246),0),MATCH('001-C DMR'!$FG$11,'DMR 001C NEW'!$A$2:$O$2,0)),"")</f>
        <v>0</v>
      </c>
      <c r="FH16" s="56">
        <f t="array" ref="FH16">_xlfn.IFNA(INDEX('DMR 001C NEW'!$A$3:$O$9999,MATCH(('001-C DMR'!$FF$6&amp;'001-C DMR'!$FF$10&amp;'001-C DMR'!$B16),('DMR 001C NEW'!$E$3:$E$7246&amp;'DMR 001C NEW'!$B$3:$B$7246&amp;'DMR 001C NEW'!$A$3:$A$7246),0),MATCH('001-C DMR'!$FH$11,'DMR 001C NEW'!$A$2:$O$2,0)),"")</f>
        <v>3</v>
      </c>
      <c r="FI16" s="57" t="str">
        <f t="shared" si="23"/>
        <v/>
      </c>
      <c r="FJ16" s="56">
        <f t="array" ref="FJ16">_xlfn.IFNA(INDEX('DMR 001C NEW'!$A$3:$O$9999,MATCH(('001-C DMR'!$FF$6&amp;'001-C DMR'!$FI$10&amp;'001-C DMR'!$B16),('DMR 001C NEW'!$E$3:$E$7246&amp;'DMR 001C NEW'!$B$3:$B$7246&amp;'DMR 001C NEW'!$A$3:$A$7246),0),MATCH('001-C DMR'!$FG$11,'DMR 001C NEW'!$A$2:$O$2,0)),"")</f>
        <v>0</v>
      </c>
      <c r="FK16" s="56">
        <f t="array" ref="FK16">_xlfn.IFNA(INDEX('DMR 001C NEW'!$A$3:$O$9999,MATCH(('001-C DMR'!$FF$6&amp;'001-C DMR'!$FI$10&amp;'001-C DMR'!$B16),('DMR 001C NEW'!$E$3:$E$7246&amp;'DMR 001C NEW'!$B$3:$B$7246&amp;'DMR 001C NEW'!$A$3:$A$7246),0),MATCH('001-C DMR'!$FH$11,'DMR 001C NEW'!$A$2:$O$2,0)),"")</f>
        <v>4</v>
      </c>
      <c r="FL16" s="56">
        <f t="array" ref="FL16">IFERROR((($FH16*$EI16)+($FK16*$EJ16))/($EK16),"")</f>
        <v>3.562167470094626</v>
      </c>
      <c r="FM16" s="56" t="str">
        <f t="shared" si="3"/>
        <v/>
      </c>
      <c r="FN16" s="64" t="str">
        <f t="shared" ref="FN16:FN46" si="37">IF($A16="Sat",COUNT(FL10:FL16),"")</f>
        <v/>
      </c>
      <c r="FO16" s="66"/>
      <c r="FP16" s="280" t="str">
        <f t="array" ref="FP16">_xlfn.IFNA(INDEX('DMR 001C NEW'!$A$3:$O$999,MATCH(('001-C DMR'!$FF$6&amp;'001-C DMR'!FP$10&amp;'001-C DMR'!$B16),('DMR 001C NEW'!$E$3:$E$1112&amp;'DMR 001C NEW'!$B$3:$B$1112&amp;'DMR 001C NEW'!$A$3:$A$1112),0),MATCH('001-C DMR'!$FH$11,'DMR 001C NEW'!$A$2:$O$2,0)),"")</f>
        <v/>
      </c>
      <c r="FQ16" s="280" t="str">
        <f t="array" ref="FQ16">_xlfn.IFNA(INDEX('DMR 001C NEW'!$A$3:$O$999,MATCH(('001-C DMR'!$FF$6&amp;'001-C DMR'!FQ$10&amp;'001-C DMR'!$B16),('DMR 001C NEW'!$E$3:$E$1112&amp;'DMR 001C NEW'!$B$3:$B$1112&amp;'DMR 001C NEW'!$A$3:$A$1112),0),MATCH('001-C DMR'!$FH$11,'DMR 001C NEW'!$A$2:$O$2,0)),"")</f>
        <v/>
      </c>
      <c r="FR16" s="280" t="str">
        <f t="array" ref="FR16">_xlfn.IFNA(INDEX('DMR 001C NEW'!$A$3:$O$999,MATCH(('001-C DMR'!$FF$6&amp;'001-C DMR'!FR$10&amp;'001-C DMR'!$B16),('DMR 001C NEW'!$E$3:$E$1112&amp;'DMR 001C NEW'!$B$3:$B$1112&amp;'DMR 001C NEW'!$A$3:$A$1112),0),MATCH('001-C DMR'!$FH$11,'DMR 001C NEW'!$A$2:$O$2,0)),"")</f>
        <v/>
      </c>
      <c r="FS16" s="280" t="str">
        <f t="array" ref="FS16">_xlfn.IFNA(INDEX('DMR 001C NEW'!$A$3:$O$999,MATCH(('001-C DMR'!$FF$6&amp;'001-C DMR'!FS$10&amp;'001-C DMR'!$B16),('DMR 001C NEW'!$E$3:$E$1112&amp;'DMR 001C NEW'!$B$3:$B$1112&amp;'DMR 001C NEW'!$A$3:$A$1112),0),MATCH('001-C DMR'!$FH$11,'DMR 001C NEW'!$A$2:$O$2,0)),"")</f>
        <v/>
      </c>
      <c r="FT16" s="280" t="str">
        <f t="array" ref="FT16">_xlfn.IFNA(INDEX('DMR 001C NEW'!$A$3:$O$999,MATCH(('001-C DMR'!$FF$6&amp;'001-C DMR'!FT$10&amp;'001-C DMR'!$B16),('DMR 001C NEW'!$E$3:$E$1112&amp;'DMR 001C NEW'!$B$3:$B$1112&amp;'DMR 001C NEW'!$A$3:$A$1112),0),MATCH('001-C DMR'!$FH$11,'DMR 001C NEW'!$A$2:$O$2,0)),"")</f>
        <v/>
      </c>
      <c r="FU16" s="280" t="str">
        <f t="array" ref="FU16">_xlfn.IFNA(INDEX('DMR 001C NEW'!$A$3:$O$999,MATCH(('001-C DMR'!$FF$6&amp;'001-C DMR'!FU$10&amp;'001-C DMR'!$B16),('DMR 001C NEW'!$E$3:$E$1112&amp;'DMR 001C NEW'!$B$3:$B$1112&amp;'DMR 001C NEW'!$A$3:$A$1112),0),MATCH('001-C DMR'!$FH$11,'DMR 001C NEW'!$A$2:$O$2,0)),"")</f>
        <v/>
      </c>
      <c r="FV16" s="66"/>
      <c r="FW16" s="61" t="str">
        <f t="shared" si="24"/>
        <v/>
      </c>
      <c r="FX16" s="58" t="str">
        <f t="array" ref="FX16">_xlfn.IFNA(INDEX('DMR 001C NEW'!$A$3:$O$9999,MATCH(('001-C DMR'!$FW$6&amp;'001-C DMR'!$FW$10&amp;'001-C DMR'!$B16),('DMR 001C NEW'!$E$3:$E$7246&amp;'DMR 001C NEW'!$B$3:$B$7246&amp;'DMR 001C NEW'!$A$3:$A$7246),0),MATCH('001-C DMR'!$FX$11,'DMR 001C NEW'!$A$2:$O$2,0)),"")</f>
        <v/>
      </c>
      <c r="FY16" s="58" t="str">
        <f t="array" ref="FY16">_xlfn.IFNA(INDEX('DMR 001C NEW'!$A$3:$O$9999,MATCH(('001-C DMR'!$FW$6&amp;'001-C DMR'!$FW$10&amp;'001-C DMR'!$B16),('DMR 001C NEW'!$E$3:$E$7246&amp;'DMR 001C NEW'!$B$3:$B$7246&amp;'DMR 001C NEW'!$A$3:$A$7246),0),MATCH('001-C DMR'!$FY$11,'DMR 001C NEW'!$A$2:$O$2,0)),"")</f>
        <v/>
      </c>
      <c r="FZ16" s="57" t="str">
        <f t="shared" si="25"/>
        <v/>
      </c>
      <c r="GA16" s="58" t="str">
        <f t="array" ref="GA16">_xlfn.IFNA(INDEX('DMR 001C NEW'!$A$3:$O$9999,MATCH(('001-C DMR'!$FW$6&amp;'001-C DMR'!$FZ$10&amp;'001-C DMR'!$B16),('DMR 001C NEW'!$E$3:$E$7246&amp;'DMR 001C NEW'!$B$3:$B$7246&amp;'DMR 001C NEW'!$A$3:$A$7246),0),MATCH('001-C DMR'!$FX$11,'DMR 001C NEW'!$A$2:$O$2,0)),"")</f>
        <v/>
      </c>
      <c r="GB16" s="58" t="str">
        <f t="array" ref="GB16">_xlfn.IFNA(INDEX('DMR 001C NEW'!$A$3:$O$9999,MATCH(('001-C DMR'!$FW$6&amp;'001-C DMR'!$FZ$10&amp;'001-C DMR'!$B16),('DMR 001C NEW'!$E$3:$E$7246&amp;'DMR 001C NEW'!$B$3:$B$7246&amp;'DMR 001C NEW'!$A$3:$A$7246),0),MATCH('001-C DMR'!$GB$11,'DMR 001C NEW'!$A$2:$O$2,0)),"")</f>
        <v/>
      </c>
      <c r="GC16" s="56" t="str">
        <f t="shared" si="4"/>
        <v/>
      </c>
      <c r="GD16" s="64" t="str">
        <f t="shared" ref="GD16:GD46" si="38">IF($A16="Sat",COUNT(GB10:GB16),"")</f>
        <v/>
      </c>
      <c r="GE16" s="279" t="str">
        <f t="array" ref="GE16">_xlfn.IFNA(INDEX('DMR 001C NEW'!$A$3:$O$999,MATCH(('001-C DMR'!$FW$6&amp;'001-C DMR'!GE$10&amp;'001-C DMR'!$B16),('DMR 001C NEW'!$E$3:$E$1112&amp;'DMR 001C NEW'!$B$3:$B$1112&amp;'DMR 001C NEW'!$A$3:$A$1112),0),MATCH('001-C DMR'!$FY$11,'DMR 001C NEW'!$A$2:$O$2,0)),"")</f>
        <v/>
      </c>
      <c r="GF16" s="280" t="str">
        <f t="array" ref="GF16">_xlfn.IFNA(INDEX('DMR 001C NEW'!$A$3:$O$999,MATCH(('001-C DMR'!$FW$6&amp;'001-C DMR'!GF$10&amp;'001-C DMR'!$B16),('DMR 001C NEW'!$E$3:$E$1112&amp;'DMR 001C NEW'!$B$3:$B$1112&amp;'DMR 001C NEW'!$A$3:$A$1112),0),MATCH('001-C DMR'!$FY$11,'DMR 001C NEW'!$A$2:$O$2,0)),"")</f>
        <v/>
      </c>
      <c r="GG16" s="280" t="str">
        <f t="array" ref="GG16">_xlfn.IFNA(INDEX('DMR 001C NEW'!$A$3:$O$999,MATCH(('001-C DMR'!$FW$6&amp;'001-C DMR'!GG$10&amp;'001-C DMR'!$B16),('DMR 001C NEW'!$E$3:$E$1112&amp;'DMR 001C NEW'!$B$3:$B$1112&amp;'DMR 001C NEW'!$A$3:$A$1112),0),MATCH('001-C DMR'!$FY$11,'DMR 001C NEW'!$A$2:$O$2,0)),"")</f>
        <v/>
      </c>
      <c r="GH16" s="280" t="str">
        <f t="array" ref="GH16">_xlfn.IFNA(INDEX('DMR 001C NEW'!$A$3:$O$999,MATCH(('001-C DMR'!$FW$6&amp;'001-C DMR'!GH$10&amp;'001-C DMR'!$B16),('DMR 001C NEW'!$E$3:$E$1112&amp;'DMR 001C NEW'!$B$3:$B$1112&amp;'DMR 001C NEW'!$A$3:$A$1112),0),MATCH('001-C DMR'!$FY$11,'DMR 001C NEW'!$A$2:$O$2,0)),"")</f>
        <v/>
      </c>
      <c r="GI16" s="280" t="str">
        <f t="array" ref="GI16">_xlfn.IFNA(INDEX('DMR 001C NEW'!$A$3:$O$999,MATCH(('001-C DMR'!$FW$6&amp;'001-C DMR'!GI$10&amp;'001-C DMR'!$B16),('DMR 001C NEW'!$E$3:$E$1112&amp;'DMR 001C NEW'!$B$3:$B$1112&amp;'DMR 001C NEW'!$A$3:$A$1112),0),MATCH('001-C DMR'!$FY$11,'DMR 001C NEW'!$A$2:$O$2,0)),"")</f>
        <v/>
      </c>
      <c r="GJ16" s="281" t="str">
        <f t="array" ref="GJ16">_xlfn.IFNA(INDEX('DMR 001C NEW'!$A$3:$O$999,MATCH(('001-C DMR'!$FW$6&amp;'001-C DMR'!GJ$10&amp;'001-C DMR'!$B16),('DMR 001C NEW'!$E$3:$E$1112&amp;'DMR 001C NEW'!$B$3:$B$1112&amp;'DMR 001C NEW'!$A$3:$A$1112),0),MATCH('001-C DMR'!$FY$11,'DMR 001C NEW'!$A$2:$O$2,0)),"")</f>
        <v/>
      </c>
      <c r="GK16" s="58" t="str">
        <f t="array" ref="GK16">_xlfn.IFNA(INDEX('DMR 001C NEW'!$A$3:$O$9999,MATCH(('001-C DMR'!$GK$6&amp;'001-C DMR'!$GK$10&amp;'001-C DMR'!$B16),('DMR 001C NEW'!$E$3:$E$9018&amp;'DMR 001C NEW'!$B$3:$B$9018&amp;'DMR 001C NEW'!$A$3:$A$9018),0),MATCH('001-C DMR'!$GK$11,'DMR 001C NEW'!$A$2:$O$2,0)),"")</f>
        <v>n</v>
      </c>
      <c r="GL16" s="58" t="str">
        <f t="array" ref="GL16">_xlfn.IFNA(INDEX('DMR 001C NEW'!$A$3:$O$9999,MATCH(('001-C DMR'!$GK$6&amp;'001-C DMR'!$GL$10&amp;'001-C DMR'!$B16),('DMR 001C NEW'!$E$3:$E$9018&amp;'DMR 001C NEW'!$B$3:$B$9018&amp;'DMR 001C NEW'!$A$3:$A$9018),0),MATCH('001-C DMR'!$GK$11,'DMR 001C NEW'!$A$2:$O$2,0)),"")</f>
        <v>n</v>
      </c>
      <c r="GM16" s="134"/>
      <c r="GN16" s="64" t="str">
        <f>IF($A16="Sat",COUNT(GL10:GL16),"")</f>
        <v/>
      </c>
      <c r="GO16" s="134"/>
      <c r="GP16" s="134"/>
      <c r="GQ16" s="134"/>
      <c r="GR16" s="134"/>
      <c r="GS16" s="134"/>
      <c r="GT16" s="134"/>
      <c r="GU16" s="134"/>
      <c r="GV16" s="134"/>
      <c r="GW16" s="134"/>
      <c r="GX16" s="134"/>
      <c r="GY16" s="134"/>
      <c r="GZ16" s="134"/>
      <c r="HA16" s="134"/>
      <c r="HB16" s="134"/>
      <c r="HC16" s="134"/>
      <c r="HD16" s="134"/>
      <c r="HE16" s="134"/>
      <c r="HF16" s="134"/>
      <c r="HG16" s="134"/>
      <c r="HH16" s="134"/>
      <c r="HI16" s="134"/>
      <c r="HJ16" s="134"/>
      <c r="HK16" s="134"/>
      <c r="HL16" s="134"/>
      <c r="HM16" s="134"/>
      <c r="HN16" s="134"/>
      <c r="HO16" s="134"/>
      <c r="HP16" s="134"/>
      <c r="HQ16" s="134"/>
      <c r="HR16" s="134"/>
      <c r="HS16" s="134"/>
      <c r="HT16" s="134"/>
      <c r="HU16" s="134"/>
      <c r="HV16" s="134"/>
      <c r="HW16" s="134"/>
      <c r="HX16" s="134"/>
      <c r="HY16" s="134"/>
      <c r="HZ16" s="134"/>
      <c r="IA16" s="134"/>
      <c r="IB16" s="134"/>
      <c r="IC16" s="134"/>
      <c r="ID16" s="134"/>
      <c r="IE16" s="134"/>
      <c r="IF16" s="134"/>
      <c r="IG16" s="134"/>
      <c r="IH16" s="134"/>
      <c r="II16" s="134"/>
      <c r="IJ16" s="134"/>
      <c r="IK16" s="134"/>
      <c r="IL16" s="134"/>
      <c r="IM16" s="134"/>
      <c r="IN16" s="134"/>
      <c r="IO16" s="134"/>
      <c r="IP16" s="134"/>
      <c r="IQ16" s="134"/>
      <c r="IR16" s="134"/>
      <c r="IS16" s="134"/>
      <c r="IT16" s="134"/>
      <c r="IU16" s="134"/>
      <c r="IV16" s="134"/>
      <c r="IW16" s="134"/>
      <c r="IX16" s="134"/>
      <c r="IY16" s="134"/>
      <c r="IZ16" s="134"/>
      <c r="JA16" s="134"/>
      <c r="JB16" s="134"/>
      <c r="JC16" s="134"/>
      <c r="JD16" s="134"/>
      <c r="JE16" s="134"/>
      <c r="JF16" s="134"/>
      <c r="JG16" s="134"/>
      <c r="JH16" s="134"/>
      <c r="JI16" s="134"/>
      <c r="JJ16" s="134"/>
      <c r="JK16" s="134"/>
      <c r="JL16" s="134"/>
      <c r="JM16" s="134"/>
      <c r="JN16" s="134"/>
      <c r="JO16" s="134"/>
      <c r="JP16" s="134"/>
      <c r="JQ16" s="134"/>
      <c r="JR16" s="134"/>
      <c r="JS16" s="134"/>
      <c r="JT16" s="134"/>
      <c r="JU16" s="134"/>
      <c r="JV16" s="134"/>
    </row>
    <row r="17" spans="1:282" s="51" customFormat="1" x14ac:dyDescent="0.25">
      <c r="A17" s="67" t="str">
        <f t="shared" si="5"/>
        <v>Fri</v>
      </c>
      <c r="B17" s="216">
        <f t="shared" si="26"/>
        <v>43679</v>
      </c>
      <c r="C17" s="93">
        <f t="array" ref="C17">INDEX('DMR 001C NEW'!$A$3:$N$10020,MATCH(('001-C DMR'!$C$6:$K$6&amp;'001-C DMR'!$C$10:$E$10&amp;'001-C DMR'!$B17),('DMR 001C NEW'!$E$3:$E$7246&amp;'DMR 001C NEW'!$B$3:$B$7246&amp;'DMR 001C NEW'!$A$3:$A$7246),0),MATCH('001-C DMR'!$C$11,'DMR 001C NEW'!$A$2:$O$2,0))</f>
        <v>5.8</v>
      </c>
      <c r="D17" s="56" t="str">
        <f t="array" ref="D17">INDEX('DMR 001C NEW'!$A$3:$N$11771,MATCH(('001-C DMR'!$C$6:$K$6&amp;'001-C DMR'!$C$10:$E$10&amp;'001-C DMR'!$B17),('DMR 001C NEW'!$E$3:$E$9018&amp;'DMR 001C NEW'!$B$3:$B$9018&amp;'DMR 001C NEW'!$A$3:$A$9018),0),MATCH('001-C DMR'!$D$11,'DMR 001C NEW'!$A$2:$O$2,0))</f>
        <v>AE68008</v>
      </c>
      <c r="E17" s="56">
        <f t="array" ref="E17">INDEX('DMR 001C NEW'!$A$3:$N$9999,MATCH(('001-C DMR'!$E$11&amp;'001-C DMR'!$C$10:$E$10&amp;'001-C DMR'!$B17&amp;$D17),('DMR 001C NEW'!$E$3:$E$7246&amp;'DMR 001C NEW'!$B$3:$B$7246&amp;'DMR 001C NEW'!$A$3:$A$7246&amp;'DMR 001C NEW'!$M$3:$M$7188),0),MATCH($C$11,'DMR 001C NEW'!$A$2:$O$2,0))</f>
        <v>62.55</v>
      </c>
      <c r="F17" s="56">
        <f t="array" ref="F17">INDEX('DMR 001C NEW'!$A$3:$N$9999,MATCH('001-C DMR'!$C$6:$K$6&amp;'001-C DMR'!$F$10&amp;'001-C DMR'!$B17,('DMR 001C NEW'!$E$3:$E$7246&amp;'DMR 001C NEW'!$B$3:$B$7246&amp;'DMR 001C NEW'!$A$3:$A$7246),0),MATCH('001-C DMR'!$C$11,'DMR 001C NEW'!$A$2:$O$2,0))</f>
        <v>6.5</v>
      </c>
      <c r="G17" s="56" t="str">
        <f t="array" ref="G17">INDEX('DMR 001C NEW'!$A$3:$N$3865,MATCH(('001-C DMR'!$C$6:$K$6&amp;'001-C DMR'!$F$10&amp;'001-C DMR'!$B17),('DMR 001C NEW'!$E$3:$E$1112&amp;'DMR 001C NEW'!$B$3:$B$1112&amp;'DMR 001C NEW'!$A$3:$A$1112),0),MATCH('001-C DMR'!$D$11,'DMR 001C NEW'!$A$2:$O$2,0))</f>
        <v>AE68009</v>
      </c>
      <c r="H17" s="56">
        <f t="array" ref="H17">INDEX('DMR 001C NEW'!$A$3:$N$9999,MATCH(('001-C DMR'!$E$11&amp;'001-C DMR'!$F$10&amp;'001-C DMR'!$B17&amp;$G17),('DMR 001C NEW'!$E$3:$E$7246&amp;'DMR 001C NEW'!$B$3:$B$7246&amp;'DMR 001C NEW'!$A$3:$A$7246&amp;'DMR 001C NEW'!$M$3:$M$7188),0),MATCH($C$11,'DMR 001C NEW'!$A$2:$O$2,0))</f>
        <v>73.72</v>
      </c>
      <c r="I17" s="56">
        <f t="shared" si="0"/>
        <v>6.1786893666984675</v>
      </c>
      <c r="J17" s="58" t="str">
        <f t="shared" si="1"/>
        <v/>
      </c>
      <c r="K17" s="64" t="str">
        <f>IF($A17="Sat",COUNT(I11:I17),"")</f>
        <v/>
      </c>
      <c r="L17" s="262" t="str">
        <f t="array" ref="L17">_xlfn.IFNA(INDEX('DMR 001C NEW'!$A$3:$N$3865,MATCH(('001-C DMR'!$C$6:$K$6&amp;'001-C DMR'!L$10&amp;'001-C DMR'!$B17),('DMR 001C NEW'!$E$3:$E$1112&amp;'DMR 001C NEW'!$B$3:$B$1112&amp;'DMR 001C NEW'!$A$3:$A$1112),0),MATCH('001-C DMR'!$C$11,'DMR 001C NEW'!$A$2:$O$2,0)),"")</f>
        <v/>
      </c>
      <c r="M17" s="262" t="str">
        <f t="array" ref="M17">_xlfn.IFNA(INDEX('DMR 001C NEW'!$A$3:$N$3865,MATCH(('001-C DMR'!$C$6:$K$6&amp;'001-C DMR'!M$10&amp;'001-C DMR'!$B17),('DMR 001C NEW'!$E$3:$E$1112&amp;'DMR 001C NEW'!$B$3:$B$1112&amp;'DMR 001C NEW'!$A$3:$A$1112),0),MATCH('001-C DMR'!$C$11,'DMR 001C NEW'!$A$2:$O$2,0)),"")</f>
        <v/>
      </c>
      <c r="N17" s="262" t="str">
        <f t="array" ref="N17">_xlfn.IFNA(INDEX('DMR 001C NEW'!$A$3:$N$3865,MATCH(('001-C DMR'!$C$6:$K$6&amp;'001-C DMR'!N$10&amp;'001-C DMR'!$B17),('DMR 001C NEW'!$E$3:$E$1112&amp;'DMR 001C NEW'!$B$3:$B$1112&amp;'DMR 001C NEW'!$A$3:$A$1112),0),MATCH('001-C DMR'!$C$11,'DMR 001C NEW'!$A$2:$O$2,0)),"")</f>
        <v/>
      </c>
      <c r="O17" s="262" t="str">
        <f t="array" ref="O17">_xlfn.IFNA(INDEX('DMR 001C NEW'!$A$3:$N$3865,MATCH(('001-C DMR'!$C$6:$K$6&amp;'001-C DMR'!O$10&amp;'001-C DMR'!$B17),('DMR 001C NEW'!$E$3:$E$1112&amp;'DMR 001C NEW'!$B$3:$B$1112&amp;'DMR 001C NEW'!$A$3:$A$1112),0),MATCH('001-C DMR'!$C$11,'DMR 001C NEW'!$A$2:$O$2,0)),"")</f>
        <v/>
      </c>
      <c r="P17" s="262" t="str">
        <f t="array" ref="P17">_xlfn.IFNA(INDEX('DMR 001C NEW'!$A$3:$N$3865,MATCH(('001-C DMR'!$C$6:$K$6&amp;'001-C DMR'!P$10&amp;'001-C DMR'!$B17),('DMR 001C NEW'!$E$3:$E$1112&amp;'DMR 001C NEW'!$B$3:$B$1112&amp;'DMR 001C NEW'!$A$3:$A$1112),0),MATCH('001-C DMR'!$C$11,'DMR 001C NEW'!$A$2:$O$2,0)),"")</f>
        <v/>
      </c>
      <c r="Q17" s="120" t="e">
        <f t="array" ref="Q17">INDEX('DMR 001C NEW'!$A$3:$N$3865,MATCH(('001-C DMR'!$C$6:$K$6&amp;'001-C DMR'!Q$10&amp;'001-C DMR'!$B17),('DMR 001C NEW'!$E$3:$E$1112&amp;'DMR 001C NEW'!$B$3:$B$1112&amp;'DMR 001C NEW'!$A$3:$A$1112),0),MATCH('001-C DMR'!$C$11,'DMR 001C NEW'!$A$2:$O$2,0))</f>
        <v>#N/A</v>
      </c>
      <c r="R17" s="61"/>
      <c r="S17" s="56">
        <f t="array" ref="S17">_xlfn.IFNA(INDEX('DMR 001C NEW'!$A$3:$N$11771,MATCH(('001-C DMR'!$R$6:$T$6&amp;'001-C DMR'!$R$10&amp;'001-C DMR'!$B17),('DMR 001C NEW'!$E$3:$E$9018&amp;'DMR 001C NEW'!$B$3:$B$9018&amp;'DMR 001C NEW'!$A$3:$A$9018),0),MATCH('001-C DMR'!$S$11,'DMR 001C NEW'!$A$2:$O$2,0)),"")</f>
        <v>7.1</v>
      </c>
      <c r="T17" s="55"/>
      <c r="U17" s="262" t="str">
        <f t="array" ref="U17">_xlfn.IFNA(INDEX('DMR 001C NEW'!$A$3:$O$591,MATCH('001-C DMR'!$R$6:$T$6&amp;'001-C DMR'!U$10&amp;'001-C DMR'!$B17,('DMR 001C NEW'!$E$3:$E$704&amp;'DMR 001C NEW'!$B$3:$B$704&amp;'DMR 001C NEW'!$A$3:$A$704),0),MATCH('001-C DMR'!$U$11,'DMR 001C NEW'!$A$2:$O$2,0)),"")</f>
        <v/>
      </c>
      <c r="V17" s="262" t="str">
        <f t="array" ref="V17">_xlfn.IFNA(INDEX('DMR 001C NEW'!$A$3:$O$591,MATCH('001-C DMR'!$R$6:$T$6&amp;'001-C DMR'!V$10&amp;'001-C DMR'!$B17,('DMR 001C NEW'!$E$3:$E$704&amp;'DMR 001C NEW'!$B$3:$B$704&amp;'DMR 001C NEW'!$A$3:$A$704),0),MATCH('001-C DMR'!$U$11,'DMR 001C NEW'!$A$2:$O$2,0)),"")</f>
        <v/>
      </c>
      <c r="W17" s="262" t="str">
        <f t="array" ref="W17">_xlfn.IFNA(INDEX('DMR 001C NEW'!$A$3:$O$591,MATCH('001-C DMR'!$R$6:$T$6&amp;'001-C DMR'!W$10&amp;'001-C DMR'!$B17,('DMR 001C NEW'!$E$3:$E$704&amp;'DMR 001C NEW'!$B$3:$B$704&amp;'DMR 001C NEW'!$A$3:$A$704),0),MATCH('001-C DMR'!$U$11,'DMR 001C NEW'!$A$2:$O$2,0)),"")</f>
        <v/>
      </c>
      <c r="X17" s="262" t="str">
        <f t="array" ref="X17">_xlfn.IFNA(INDEX('DMR 001C NEW'!$A$3:$O$591,MATCH('001-C DMR'!$R$6:$T$6&amp;'001-C DMR'!X$10&amp;'001-C DMR'!$B17,('DMR 001C NEW'!$E$3:$E$704&amp;'DMR 001C NEW'!$B$3:$B$704&amp;'DMR 001C NEW'!$A$3:$A$704),0),MATCH('001-C DMR'!$U$11,'DMR 001C NEW'!$A$2:$O$2,0)),"")</f>
        <v/>
      </c>
      <c r="Y17" s="262" t="str">
        <f t="array" ref="Y17">_xlfn.IFNA(INDEX('DMR 001C NEW'!$A$3:$O$591,MATCH('001-C DMR'!$R$6:$T$6&amp;'001-C DMR'!Y$10&amp;'001-C DMR'!$B17,('DMR 001C NEW'!$E$3:$E$704&amp;'DMR 001C NEW'!$B$3:$B$704&amp;'DMR 001C NEW'!$A$3:$A$704),0),MATCH('001-C DMR'!$U$11,'DMR 001C NEW'!$A$2:$O$2,0)),"")</f>
        <v/>
      </c>
      <c r="Z17" s="262" t="str">
        <f t="array" ref="Z17">_xlfn.IFNA(INDEX('DMR 001C NEW'!$A$3:$O$591,MATCH('001-C DMR'!$R$6:$T$6&amp;'001-C DMR'!Z$10&amp;'001-C DMR'!$B17,('DMR 001C NEW'!$E$3:$E$704&amp;'DMR 001C NEW'!$B$3:$B$704&amp;'DMR 001C NEW'!$A$3:$A$704),0),MATCH('001-C DMR'!$U$11,'DMR 001C NEW'!$A$2:$O$2,0)),"")</f>
        <v/>
      </c>
      <c r="AA17" s="262" t="str">
        <f t="array" ref="AA17">_xlfn.IFNA(INDEX('DMR 001C NEW'!$A$3:$O$591,MATCH('001-C DMR'!$R$6:$T$6&amp;'001-C DMR'!AA$10&amp;'001-C DMR'!$B17,('DMR 001C NEW'!$E$3:$E$704&amp;'DMR 001C NEW'!$B$3:$B$704&amp;'DMR 001C NEW'!$A$3:$A$704),0),MATCH('001-C DMR'!$U$11,'DMR 001C NEW'!$A$2:$O$2,0)),"")</f>
        <v/>
      </c>
      <c r="AB17" s="61" t="str">
        <f t="array" ref="AB17">IF(AD17&lt;AC17,"&lt;","")</f>
        <v/>
      </c>
      <c r="AC17" s="56">
        <f t="array" ref="AC17">_xlfn.IFNA(INDEX('DMR 001C NEW'!$A$3:$O$9999,MATCH(('001-C DMR'!$AB$6:$AJ$6&amp;'001-C DMR'!$AB$10:$AD$10&amp;'001-C DMR'!$B17),('DMR 001C NEW'!$E$3:$E$7246&amp;'DMR 001C NEW'!$B$3:$B$7246&amp;'DMR 001C NEW'!$A$3:$A$7246),0),MATCH('001-C DMR'!$AC$11,'DMR 001C NEW'!$A$2:$O$2,0)),"")</f>
        <v>3</v>
      </c>
      <c r="AD17" s="56">
        <f t="array" ref="AD17">_xlfn.IFNA(INDEX('DMR 001C NEW'!$A$3:$O$9999,MATCH(('001-C DMR'!$AB$6:$AJ$6&amp;'001-C DMR'!$AB$10:$AD$10&amp;'001-C DMR'!$B17),('DMR 001C NEW'!$E$3:$E$7246&amp;'DMR 001C NEW'!$B$3:$B$7246&amp;'DMR 001C NEW'!$A$3:$A$7246),0),MATCH('001-C DMR'!$AD$11,'DMR 001C NEW'!$A$2:$O$2,0)),"")</f>
        <v>11</v>
      </c>
      <c r="AE17" s="57" t="str">
        <f t="array" ref="AE17">IF(AG17&lt;AF17,"&lt;","")</f>
        <v/>
      </c>
      <c r="AF17" s="56">
        <f t="array" ref="AF17">_xlfn.IFNA(INDEX('DMR 001C NEW'!$A$3:$O$9999,MATCH(('001-C DMR'!$AB$6:$AJ$6&amp;'001-C DMR'!$AE$10&amp;'001-C DMR'!$B17),('DMR 001C NEW'!$E$3:$E$9018&amp;'DMR 001C NEW'!$B$3:$B$9018&amp;'DMR 001C NEW'!$A$3:$A$9018),0),MATCH('001-C DMR'!$AF$11,'DMR 001C NEW'!$A$2:$O$2,0)),"")</f>
        <v>3</v>
      </c>
      <c r="AG17" s="56">
        <f t="array" ref="AG17">_xlfn.IFNA(INDEX('DMR 001C NEW'!$A$3:$O$9999,MATCH(('001-C DMR'!$AB$6:$AJ$6&amp;'001-C DMR'!$AE$10&amp;'001-C DMR'!$B17),('DMR 001C NEW'!$E$3:$E$9018&amp;'DMR 001C NEW'!$B$3:$B$9018&amp;'DMR 001C NEW'!$A$3:$A$9018),0),MATCH('001-C DMR'!$AG$11,'DMR 001C NEW'!$A$2:$O$2,0)),"")</f>
        <v>10</v>
      </c>
      <c r="AH17" s="56">
        <f t="array" ref="AH17">IFERROR((($AD17*$EI17)+($AG17*$EJ17))/($EK17),"")</f>
        <v>10.43054763853373</v>
      </c>
      <c r="AI17" s="56" t="str">
        <f t="shared" si="2"/>
        <v/>
      </c>
      <c r="AJ17" s="64" t="str">
        <f t="shared" si="30"/>
        <v/>
      </c>
      <c r="AK17" s="262" t="str">
        <f t="array" ref="AK17">_xlfn.IFNA(INDEX('DMR 001C NEW'!$A$3:$O$999,MATCH(('001-C DMR'!$AB$6:$AJ$6&amp;'001-C DMR'!AK$10&amp;'001-C DMR'!$B17),('DMR 001C NEW'!$E$3:$E$1112&amp;'DMR 001C NEW'!$B$3:$B$1112&amp;'DMR 001C NEW'!$A$3:$A$1112),0),MATCH('001-C DMR'!$AD$11,'DMR 001C NEW'!$A$2:$O$2,0)),"")</f>
        <v/>
      </c>
      <c r="AL17" s="262" t="str">
        <f t="array" ref="AL17">_xlfn.IFNA(INDEX('DMR 001C NEW'!$A$3:$O$999,MATCH(('001-C DMR'!$AB$6:$AJ$6&amp;'001-C DMR'!AL$10&amp;'001-C DMR'!$B17),('DMR 001C NEW'!$E$3:$E$1112&amp;'DMR 001C NEW'!$B$3:$B$1112&amp;'DMR 001C NEW'!$A$3:$A$1112),0),MATCH('001-C DMR'!$AD$11,'DMR 001C NEW'!$A$2:$O$2,0)),"")</f>
        <v/>
      </c>
      <c r="AM17" s="262" t="str">
        <f t="array" ref="AM17">_xlfn.IFNA(INDEX('DMR 001C NEW'!$A$3:$O$999,MATCH(('001-C DMR'!$AB$6:$AJ$6&amp;'001-C DMR'!AM$10&amp;'001-C DMR'!$B17),('DMR 001C NEW'!$E$3:$E$1112&amp;'DMR 001C NEW'!$B$3:$B$1112&amp;'DMR 001C NEW'!$A$3:$A$1112),0),MATCH('001-C DMR'!$AD$11,'DMR 001C NEW'!$A$2:$O$2,0)),"")</f>
        <v/>
      </c>
      <c r="AN17" s="262" t="str">
        <f t="array" ref="AN17">_xlfn.IFNA(INDEX('DMR 001C NEW'!$A$3:$O$999,MATCH(('001-C DMR'!$AB$6:$AJ$6&amp;'001-C DMR'!AN$10&amp;'001-C DMR'!$B17),('DMR 001C NEW'!$E$3:$E$1112&amp;'DMR 001C NEW'!$B$3:$B$1112&amp;'DMR 001C NEW'!$A$3:$A$1112),0),MATCH('001-C DMR'!$AD$11,'DMR 001C NEW'!$A$2:$O$2,0)),"")</f>
        <v/>
      </c>
      <c r="AO17" s="262" t="str">
        <f t="array" ref="AO17">_xlfn.IFNA(INDEX('DMR 001C NEW'!$A$3:$O$999,MATCH(('001-C DMR'!$AB$6:$AJ$6&amp;'001-C DMR'!AO$10&amp;'001-C DMR'!$B17),('DMR 001C NEW'!$E$3:$E$1112&amp;'DMR 001C NEW'!$B$3:$B$1112&amp;'DMR 001C NEW'!$A$3:$A$1112),0),MATCH('001-C DMR'!$AD$11,'DMR 001C NEW'!$A$2:$O$2,0)),"")</f>
        <v/>
      </c>
      <c r="AP17" s="262" t="str">
        <f t="array" ref="AP17">_xlfn.IFNA(INDEX('DMR 001C NEW'!$A$3:$O$999,MATCH(('001-C DMR'!$AB$6:$AJ$6&amp;'001-C DMR'!AP$10&amp;'001-C DMR'!$B17),('DMR 001C NEW'!$E$3:$E$1112&amp;'DMR 001C NEW'!$B$3:$B$1112&amp;'DMR 001C NEW'!$A$3:$A$1112),0),MATCH('001-C DMR'!$AD$11,'DMR 001C NEW'!$A$2:$O$2,0)),"")</f>
        <v/>
      </c>
      <c r="AQ17" s="61" t="str">
        <f t="array" ref="AQ17">IF(AS17&lt;AR17,"&lt;","")</f>
        <v/>
      </c>
      <c r="AR17" s="58" t="str">
        <f t="array" ref="AR17">_xlfn.IFNA((INDEX('DMR 001C NEW'!$A$3:$O$9999,MATCH(('001-C DMR'!$AQ$6:$AZ$6&amp;'001-C DMR'!$AQ$10:$AS$10&amp;'001-C DMR'!$B17),('DMR 001C NEW'!$E$3:$E$7246&amp;'DMR 001C NEW'!$B$3:$B$7246&amp;'DMR 001C NEW'!$A$3:$A$7246),0),MATCH('001-C DMR'!$AR$11,'DMR 001C NEW'!$A$2:$O$2,0))),"")</f>
        <v/>
      </c>
      <c r="AS17" s="58" t="str">
        <f t="array" ref="AS17">_xlfn.IFNA(INDEX('DMR 001C NEW'!$A$3:$O$9999,MATCH(('001-C DMR'!$AQ$6:$AZ$6&amp;'001-C DMR'!$AQ$10:$AS$10&amp;'001-C DMR'!$B17),('DMR 001C NEW'!$E$3:$E$7246&amp;'DMR 001C NEW'!$B$3:$B$7246&amp;'DMR 001C NEW'!$A$3:$A$7246),0),MATCH('001-C DMR'!$AS$11,'DMR 001C NEW'!$A$2:$O$2,0)),"")</f>
        <v/>
      </c>
      <c r="AT17" s="58" t="str">
        <f t="shared" si="27"/>
        <v/>
      </c>
      <c r="AU17" s="57" t="str">
        <f t="array" ref="AU17">IF(AW17&lt;AV17,"&lt;","")</f>
        <v/>
      </c>
      <c r="AV17" s="58" t="str">
        <f t="array" ref="AV17">_xlfn.IFNA((INDEX('DMR 001C NEW'!$A$3:$O$9999,MATCH(('001-C DMR'!$AQ$6:$AZ$6&amp;'001-C DMR'!$AU$10&amp;'001-C DMR'!$B17),('DMR 001C NEW'!$E$3:$E$7246&amp;'DMR 001C NEW'!$B$3:$B$7246&amp;'DMR 001C NEW'!$A$3:$A$7246),0),MATCH('001-C DMR'!$AR$11,'DMR 001C NEW'!$A$2:$O$2,0))),"")</f>
        <v/>
      </c>
      <c r="AW17" s="58" t="str">
        <f t="array" ref="AW17">_xlfn.IFNA(INDEX('DMR 001C NEW'!$A$3:$O$9999,MATCH(('001-C DMR'!$AQ$6:$AZ$6&amp;'001-C DMR'!$AU$10&amp;'001-C DMR'!$B17),('DMR 001C NEW'!$E$3:$E$7246&amp;'DMR 001C NEW'!$B$3:$B$7246&amp;'DMR 001C NEW'!$A$3:$A$7246),0),MATCH('001-C DMR'!$AW$11,'DMR 001C NEW'!$A$2:$O$2,0)),"")</f>
        <v/>
      </c>
      <c r="AX17" s="58" t="str">
        <f t="shared" si="6"/>
        <v/>
      </c>
      <c r="AY17" s="56" t="str">
        <f t="array" ref="AY17">IFERROR((($AT17*$EI17)+($AX17*$EJ17))/($EK17),"")</f>
        <v/>
      </c>
      <c r="AZ17" s="64" t="str">
        <f t="shared" si="31"/>
        <v/>
      </c>
      <c r="BA17" s="279" t="str">
        <f t="array" ref="BA17">_xlfn.IFNA(INDEX('DMR 001C NEW'!$A$3:$O$9999,MATCH(('001-C DMR'!$AQ$6:$AZ$6&amp;'001-C DMR'!BA$10&amp;'001-C DMR'!$B17),('DMR 001C NEW'!$E$3:$E$1112&amp;'DMR 001C NEW'!$B$3:$B$1112&amp;'DMR 001C NEW'!$A$3:$A$1112),0),MATCH('001-C DMR'!$BA$11,'DMR 001C NEW'!$A$2:$O$2,0)),"")</f>
        <v/>
      </c>
      <c r="BB17" s="280" t="str">
        <f t="array" ref="BB17">_xlfn.IFNA(INDEX('DMR 001C NEW'!$A$3:$O$9999,MATCH(('001-C DMR'!$AQ$6:$AZ$6&amp;'001-C DMR'!BB$10&amp;'001-C DMR'!$B17),('DMR 001C NEW'!$E$3:$E$1112&amp;'DMR 001C NEW'!$B$3:$B$1112&amp;'DMR 001C NEW'!$A$3:$A$1112),0),MATCH('001-C DMR'!$BA$11,'DMR 001C NEW'!$A$2:$O$2,0)),"")</f>
        <v/>
      </c>
      <c r="BC17" s="280" t="str">
        <f t="array" ref="BC17">_xlfn.IFNA(INDEX('DMR 001C NEW'!$A$3:$O$9999,MATCH(('001-C DMR'!$AQ$6:$AZ$6&amp;'001-C DMR'!BC$10&amp;'001-C DMR'!$B17),('DMR 001C NEW'!$E$3:$E$1112&amp;'DMR 001C NEW'!$B$3:$B$1112&amp;'DMR 001C NEW'!$A$3:$A$1112),0),MATCH('001-C DMR'!$BA$11,'DMR 001C NEW'!$A$2:$O$2,0)),"")</f>
        <v/>
      </c>
      <c r="BD17" s="280" t="str">
        <f t="array" ref="BD17">_xlfn.IFNA(INDEX('DMR 001C NEW'!$A$3:$O$9999,MATCH(('001-C DMR'!$AQ$6:$AZ$6&amp;'001-C DMR'!BD$10&amp;'001-C DMR'!$B17),('DMR 001C NEW'!$E$3:$E$1112&amp;'DMR 001C NEW'!$B$3:$B$1112&amp;'DMR 001C NEW'!$A$3:$A$1112),0),MATCH('001-C DMR'!$BA$11,'DMR 001C NEW'!$A$2:$O$2,0)),"")</f>
        <v/>
      </c>
      <c r="BE17" s="280" t="str">
        <f t="array" ref="BE17">_xlfn.IFNA(INDEX('DMR 001C NEW'!$A$3:$O$9999,MATCH(('001-C DMR'!$AQ$6:$AZ$6&amp;'001-C DMR'!BE$10&amp;'001-C DMR'!$B17),('DMR 001C NEW'!$E$3:$E$1112&amp;'DMR 001C NEW'!$B$3:$B$1112&amp;'DMR 001C NEW'!$A$3:$A$1112),0),MATCH('001-C DMR'!$BA$11,'DMR 001C NEW'!$A$2:$O$2,0)),"")</f>
        <v/>
      </c>
      <c r="BF17" s="281" t="str">
        <f t="array" ref="BF17">_xlfn.IFNA(INDEX('DMR 001C NEW'!$A$3:$O$9999,MATCH(('001-C DMR'!$AQ$6:$AZ$6&amp;'001-C DMR'!BF$10&amp;'001-C DMR'!$B17),('DMR 001C NEW'!$E$3:$E$1112&amp;'DMR 001C NEW'!$B$3:$B$1112&amp;'DMR 001C NEW'!$A$3:$A$1112),0),MATCH('001-C DMR'!$BA$11,'DMR 001C NEW'!$A$2:$O$2,0)),"")</f>
        <v/>
      </c>
      <c r="BG17" s="57"/>
      <c r="BH17" s="58" t="str">
        <f t="array" ref="BH17">_xlfn.IFNA((INDEX('DMR 001C NEW'!$A$3:$O$9999,MATCH(('001-C DMR'!$BG$6&amp;'001-C DMR'!$BG$10&amp;'001-C DMR'!$B17),('DMR 001C NEW'!$E$3:$E$7246&amp;'DMR 001C NEW'!$B$3:$B$7246&amp;'DMR 001C NEW'!$A$3:$A$7246),0),MATCH('001-C DMR'!$BH$11,'DMR 001C NEW'!$A$2:$O$2,0))),"")</f>
        <v/>
      </c>
      <c r="BI17" s="58" t="str">
        <f t="array" ref="BI17">_xlfn.IFNA(INDEX('DMR 001C NEW'!$A$3:$O$9999,MATCH(('001-C DMR'!$BG$6&amp;'001-C DMR'!$BG$10&amp;'001-C DMR'!$B17),('DMR 001C NEW'!$E$3:$E$7246&amp;'DMR 001C NEW'!$B$3:$B$7246&amp;'DMR 001C NEW'!$A$3:$A$7246),0),MATCH('001-C DMR'!$BI$11,'DMR 001C NEW'!$A$2:$O$2,0)),"")</f>
        <v/>
      </c>
      <c r="BJ17" s="58" t="str">
        <f t="shared" si="7"/>
        <v/>
      </c>
      <c r="BK17" s="57" t="str">
        <f t="shared" si="8"/>
        <v/>
      </c>
      <c r="BL17" s="58" t="str">
        <f t="array" ref="BL17">_xlfn.IFNA((INDEX('DMR 001C NEW'!$A$3:$O$9999,MATCH(('001-C DMR'!$BG$6&amp;'001-C DMR'!$BK$10&amp;'001-C DMR'!$B17),('DMR 001C NEW'!$E$3:$E$7246&amp;'DMR 001C NEW'!$B$3:$B$7246&amp;'DMR 001C NEW'!$A$3:$A$7246),0),MATCH('001-C DMR'!$BH$11,'DMR 001C NEW'!$A$2:$O$2,0))),"")</f>
        <v/>
      </c>
      <c r="BM17" s="58" t="str">
        <f t="array" ref="BM17">_xlfn.IFNA(INDEX('DMR 001C NEW'!$A$3:$O$9999,MATCH(('001-C DMR'!$BG$6&amp;'001-C DMR'!$BK$10&amp;'001-C DMR'!$B17),('DMR 001C NEW'!$E$3:$E$7246&amp;'DMR 001C NEW'!$B$3:$B$7246&amp;'DMR 001C NEW'!$A$3:$A$7246),0),MATCH('001-C DMR'!$BI$11,'DMR 001C NEW'!$A$2:$O$2,0)),"")</f>
        <v/>
      </c>
      <c r="BN17" s="58" t="str">
        <f t="shared" si="9"/>
        <v/>
      </c>
      <c r="BO17" s="56" t="str">
        <f t="array" ref="BO17">IFERROR((($BJ17*$EI17)+($BN17*$EJ17))/($EK17),"")</f>
        <v/>
      </c>
      <c r="BP17" s="64" t="str">
        <f t="shared" si="32"/>
        <v/>
      </c>
      <c r="BQ17" s="280" t="str">
        <f t="array" ref="BQ17">_xlfn.IFNA(INDEX('DMR 001C NEW'!$A$3:$O$999,MATCH(('001-C DMR'!$BG$6&amp;'001-C DMR'!BQ$10&amp;'001-C DMR'!$B17),('DMR 001C NEW'!$E$3:$E$1112&amp;'DMR 001C NEW'!$B$3:$B$1112&amp;'DMR 001C NEW'!$A$3:$A$1112),0),MATCH('001-C DMR'!$BQ$11,'DMR 001C NEW'!$A$2:$O$2,0)),"")</f>
        <v/>
      </c>
      <c r="BR17" s="280" t="str">
        <f t="array" ref="BR17">_xlfn.IFNA(INDEX('DMR 001C NEW'!$A$3:$O$999,MATCH(('001-C DMR'!$BG$6&amp;'001-C DMR'!BR$10&amp;'001-C DMR'!$B17),('DMR 001C NEW'!$E$3:$E$1112&amp;'DMR 001C NEW'!$B$3:$B$1112&amp;'DMR 001C NEW'!$A$3:$A$1112),0),MATCH('001-C DMR'!$BQ$11,'DMR 001C NEW'!$A$2:$O$2,0)),"")</f>
        <v/>
      </c>
      <c r="BS17" s="280" t="str">
        <f t="array" ref="BS17">_xlfn.IFNA(INDEX('DMR 001C NEW'!$A$3:$O$999,MATCH(('001-C DMR'!$BG$6&amp;'001-C DMR'!BS$10&amp;'001-C DMR'!$B17),('DMR 001C NEW'!$E$3:$E$1112&amp;'DMR 001C NEW'!$B$3:$B$1112&amp;'DMR 001C NEW'!$A$3:$A$1112),0),MATCH('001-C DMR'!$BQ$11,'DMR 001C NEW'!$A$2:$O$2,0)),"")</f>
        <v/>
      </c>
      <c r="BT17" s="280" t="str">
        <f t="array" ref="BT17">_xlfn.IFNA(INDEX('DMR 001C NEW'!$A$3:$O$999,MATCH(('001-C DMR'!$BG$6&amp;'001-C DMR'!BT$10&amp;'001-C DMR'!$B17),('DMR 001C NEW'!$E$3:$E$1112&amp;'DMR 001C NEW'!$B$3:$B$1112&amp;'DMR 001C NEW'!$A$3:$A$1112),0),MATCH('001-C DMR'!$BQ$11,'DMR 001C NEW'!$A$2:$O$2,0)),"")</f>
        <v/>
      </c>
      <c r="BU17" s="280" t="str">
        <f t="array" ref="BU17">_xlfn.IFNA(INDEX('DMR 001C NEW'!$A$3:$O$999,MATCH(('001-C DMR'!$BG$6&amp;'001-C DMR'!BU$10&amp;'001-C DMR'!$B17),('DMR 001C NEW'!$E$3:$E$1112&amp;'DMR 001C NEW'!$B$3:$B$1112&amp;'DMR 001C NEW'!$A$3:$A$1112),0),MATCH('001-C DMR'!$BQ$11,'DMR 001C NEW'!$A$2:$O$2,0)),"")</f>
        <v/>
      </c>
      <c r="BV17" s="280" t="str">
        <f t="array" ref="BV17">_xlfn.IFNA(INDEX('DMR 001C NEW'!$A$3:$O$999,MATCH(('001-C DMR'!$BG$6&amp;'001-C DMR'!BV$10&amp;'001-C DMR'!$B17),('DMR 001C NEW'!$E$3:$E$1112&amp;'DMR 001C NEW'!$B$3:$B$1112&amp;'DMR 001C NEW'!$A$3:$A$1112),0),MATCH('001-C DMR'!$BQ$11,'DMR 001C NEW'!$A$2:$O$2,0)),"")</f>
        <v/>
      </c>
      <c r="BW17" s="65"/>
      <c r="BX17" s="65"/>
      <c r="BY17" s="57" t="str">
        <f t="shared" si="10"/>
        <v/>
      </c>
      <c r="BZ17" s="58">
        <f t="array" ref="BZ17">_xlfn.IFNA((INDEX('DMR 001C NEW'!$A$3:$O$9999,MATCH(('001-C DMR'!$BY$6&amp;'001-C DMR'!$BY$10&amp;'001-C DMR'!$B17),('DMR 001C NEW'!$E$3:$E$7246&amp;'DMR 001C NEW'!$B$3:$B$7246&amp;'DMR 001C NEW'!$A$3:$A$7246),0),MATCH('001-C DMR'!$BZ$11,'DMR 001C NEW'!$A$2:$O$2,0))),"")</f>
        <v>0.6</v>
      </c>
      <c r="CA17" s="138">
        <f t="array" ref="CA17">_xlfn.IFNA(INDEX('DMR 001C NEW'!$A$3:$O$9999,MATCH(('001-C DMR'!$BY$6&amp;'001-C DMR'!$BY$10&amp;'001-C DMR'!$B17),('DMR 001C NEW'!$E$3:$E$7246&amp;'DMR 001C NEW'!$B$3:$B$7246&amp;'DMR 001C NEW'!$A$3:$A$7246),0),MATCH('001-C DMR'!$CA$11,'DMR 001C NEW'!$A$2:$O$2,0)),"")</f>
        <v>92.5</v>
      </c>
      <c r="CB17" s="57" t="str">
        <f t="shared" si="11"/>
        <v/>
      </c>
      <c r="CC17" s="58">
        <f t="array" ref="CC17">_xlfn.IFNA((INDEX('DMR 001C NEW'!$A$3:$O$9999,MATCH(('001-C DMR'!$BY$6&amp;'001-C DMR'!$CB$10&amp;'001-C DMR'!$B17),('DMR 001C NEW'!$E$3:$E$7246&amp;'DMR 001C NEW'!$B$3:$B$7246&amp;'DMR 001C NEW'!$A$3:$A$7246),0),MATCH('001-C DMR'!$BZ$11,'DMR 001C NEW'!$A$2:$O$2,0))),"")</f>
        <v>0.6</v>
      </c>
      <c r="CD17" s="138">
        <f t="array" ref="CD17">_xlfn.IFNA(INDEX('DMR 001C NEW'!$A$3:$O$9999,MATCH(('001-C DMR'!$BY$6&amp;'001-C DMR'!$CB$10&amp;'001-C DMR'!$B17),('DMR 001C NEW'!$E$3:$E$7246&amp;'DMR 001C NEW'!$B$3:$B$7246&amp;'DMR 001C NEW'!$A$3:$A$7246),0),MATCH('001-C DMR'!$CA$11,'DMR 001C NEW'!$A$2:$O$2,0)),"")</f>
        <v>111</v>
      </c>
      <c r="CE17" s="138">
        <f t="array" ref="CE17">IFERROR((($CA17*$EI17)+($CD17*$EJ17))/($EK17),"")</f>
        <v>103.03486868712604</v>
      </c>
      <c r="CF17" s="64" t="str">
        <f t="shared" si="33"/>
        <v/>
      </c>
      <c r="CG17" s="280" t="str">
        <f t="array" ref="CG17">_xlfn.IFNA(INDEX('DMR 001C NEW'!$A$3:$O$999,MATCH(('001-C DMR'!$BY$6&amp;'001-C DMR'!CG$10&amp;'001-C DMR'!$B17),('DMR 001C NEW'!$E$3:$E$1112&amp;'DMR 001C NEW'!$B$3:$B$1112&amp;'DMR 001C NEW'!$A$3:$A$1112),0),MATCH('001-C DMR'!$CA$11,'DMR 001C NEW'!$A$2:$O$2,0)),"")</f>
        <v/>
      </c>
      <c r="CH17" s="280" t="str">
        <f t="array" ref="CH17">_xlfn.IFNA(INDEX('DMR 001C NEW'!$A$3:$O$999,MATCH(('001-C DMR'!$BY$6&amp;'001-C DMR'!CH$10&amp;'001-C DMR'!$B17),('DMR 001C NEW'!$E$3:$E$1112&amp;'DMR 001C NEW'!$B$3:$B$1112&amp;'DMR 001C NEW'!$A$3:$A$1112),0),MATCH('001-C DMR'!$CA$11,'DMR 001C NEW'!$A$2:$O$2,0)),"")</f>
        <v/>
      </c>
      <c r="CI17" s="280" t="str">
        <f t="array" ref="CI17">_xlfn.IFNA(INDEX('DMR 001C NEW'!$A$3:$O$999,MATCH(('001-C DMR'!$BY$6&amp;'001-C DMR'!CI$10&amp;'001-C DMR'!$B17),('DMR 001C NEW'!$E$3:$E$1112&amp;'DMR 001C NEW'!$B$3:$B$1112&amp;'DMR 001C NEW'!$A$3:$A$1112),0),MATCH('001-C DMR'!$CA$11,'DMR 001C NEW'!$A$2:$O$2,0)),"")</f>
        <v/>
      </c>
      <c r="CJ17" s="280" t="str">
        <f t="array" ref="CJ17">_xlfn.IFNA(INDEX('DMR 001C NEW'!$A$3:$O$999,MATCH(('001-C DMR'!$BY$6&amp;'001-C DMR'!CJ$10&amp;'001-C DMR'!$B17),('DMR 001C NEW'!$E$3:$E$1112&amp;'DMR 001C NEW'!$B$3:$B$1112&amp;'DMR 001C NEW'!$A$3:$A$1112),0),MATCH('001-C DMR'!$CA$11,'DMR 001C NEW'!$A$2:$O$2,0)),"")</f>
        <v/>
      </c>
      <c r="CK17" s="280" t="str">
        <f t="array" ref="CK17">_xlfn.IFNA(INDEX('DMR 001C NEW'!$A$3:$O$999,MATCH(('001-C DMR'!$BY$6&amp;'001-C DMR'!CK$10&amp;'001-C DMR'!$B17),('DMR 001C NEW'!$E$3:$E$1112&amp;'DMR 001C NEW'!$B$3:$B$1112&amp;'DMR 001C NEW'!$A$3:$A$1112),0),MATCH('001-C DMR'!$CA$11,'DMR 001C NEW'!$A$2:$O$2,0)),"")</f>
        <v/>
      </c>
      <c r="CL17" s="280" t="str">
        <f t="array" ref="CL17">_xlfn.IFNA(INDEX('DMR 001C NEW'!$A$3:$O$999,MATCH(('001-C DMR'!$BY$6&amp;'001-C DMR'!CL$10&amp;'001-C DMR'!$B17),('DMR 001C NEW'!$E$3:$E$1112&amp;'DMR 001C NEW'!$B$3:$B$1112&amp;'DMR 001C NEW'!$A$3:$A$1112),0),MATCH('001-C DMR'!$CA$11,'DMR 001C NEW'!$A$2:$O$2,0)),"")</f>
        <v/>
      </c>
      <c r="CM17" s="61" t="str">
        <f t="shared" si="12"/>
        <v/>
      </c>
      <c r="CN17" s="138">
        <f t="array" ref="CN17">_xlfn.IFNA((INDEX('DMR 001C NEW'!$A$3:$O$9999,MATCH(('001-C DMR'!$CM$6&amp;'001-C DMR'!$CM$10&amp;'001-C DMR'!$B17),('DMR 001C NEW'!$E$3:$E$9018&amp;'DMR 001C NEW'!$B$3:$B$9018&amp;'DMR 001C NEW'!$A$3:$A$9018),0),MATCH('001-C DMR'!$CN$11,'DMR 001C NEW'!$A$2:$O$2,0))*1000),"")</f>
        <v>60</v>
      </c>
      <c r="CO17" s="138">
        <f t="array" ref="CO17">_xlfn.IFNA(INDEX('DMR 001C NEW'!$A$3:$O$9999,MATCH(('001-C DMR'!$CM$6&amp;'001-C DMR'!$CM$10&amp;'001-C DMR'!$B17),('DMR 001C NEW'!$E$3:$E$9018&amp;'DMR 001C NEW'!$B$3:$B$9018&amp;'DMR 001C NEW'!$A$3:$A$9018),0),MATCH('001-C DMR'!$CO$11,'DMR 001C NEW'!$A$2:$O$2,0))*1000,"")</f>
        <v>120</v>
      </c>
      <c r="CP17" s="138">
        <f t="shared" si="13"/>
        <v>120</v>
      </c>
      <c r="CQ17" s="64" t="str">
        <f t="shared" si="34"/>
        <v/>
      </c>
      <c r="CR17" s="280" t="str">
        <f t="array" ref="CR17">_xlfn.IFNA(INDEX('DMR 001C NEW'!$A$3:$O$999,MATCH(('001-C DMR'!$CM$6&amp;'001-C DMR'!CR$10&amp;'001-C DMR'!$B17),('DMR 001C NEW'!$E$3:$E$1112&amp;'DMR 001C NEW'!$B$3:$B$1112&amp;'DMR 001C NEW'!$A$3:$A$1112),0),MATCH('001-C DMR'!$CO$11,'DMR 001C NEW'!$A$2:$O$2,0)),"")</f>
        <v/>
      </c>
      <c r="CS17" s="280" t="str">
        <f t="array" ref="CS17">_xlfn.IFNA(INDEX('DMR 001C NEW'!$A$3:$O$999,MATCH(('001-C DMR'!$CM$6&amp;'001-C DMR'!CS$10&amp;'001-C DMR'!$B17),('DMR 001C NEW'!$E$3:$E$1112&amp;'DMR 001C NEW'!$B$3:$B$1112&amp;'DMR 001C NEW'!$A$3:$A$1112),0),MATCH('001-C DMR'!$CO$11,'DMR 001C NEW'!$A$2:$O$2,0)),"")</f>
        <v/>
      </c>
      <c r="CT17" s="280" t="str">
        <f t="array" ref="CT17">_xlfn.IFNA(INDEX('DMR 001C NEW'!$A$3:$O$999,MATCH(('001-C DMR'!$CM$6&amp;'001-C DMR'!CT$10&amp;'001-C DMR'!$B17),('DMR 001C NEW'!$E$3:$E$1112&amp;'DMR 001C NEW'!$B$3:$B$1112&amp;'DMR 001C NEW'!$A$3:$A$1112),0),MATCH('001-C DMR'!$CO$11,'DMR 001C NEW'!$A$2:$O$2,0)),"")</f>
        <v/>
      </c>
      <c r="CU17" s="280" t="str">
        <f t="array" ref="CU17">_xlfn.IFNA(INDEX('DMR 001C NEW'!$A$3:$O$999,MATCH(('001-C DMR'!$CM$6&amp;'001-C DMR'!CU$10&amp;'001-C DMR'!$B17),('DMR 001C NEW'!$E$3:$E$1112&amp;'DMR 001C NEW'!$B$3:$B$1112&amp;'DMR 001C NEW'!$A$3:$A$1112),0),MATCH('001-C DMR'!$CO$11,'DMR 001C NEW'!$A$2:$O$2,0)),"")</f>
        <v/>
      </c>
      <c r="CV17" s="280" t="str">
        <f t="array" ref="CV17">_xlfn.IFNA(INDEX('DMR 001C NEW'!$A$3:$O$999,MATCH(('001-C DMR'!$CM$6&amp;'001-C DMR'!CV$10&amp;'001-C DMR'!$B17),('DMR 001C NEW'!$E$3:$E$1112&amp;'DMR 001C NEW'!$B$3:$B$1112&amp;'DMR 001C NEW'!$A$3:$A$1112),0),MATCH('001-C DMR'!$CO$11,'DMR 001C NEW'!$A$2:$O$2,0)),"")</f>
        <v/>
      </c>
      <c r="CW17" s="280" t="str">
        <f t="array" ref="CW17">_xlfn.IFNA(INDEX('DMR 001C NEW'!$A$3:$O$999,MATCH(('001-C DMR'!$CM$6&amp;'001-C DMR'!CW$10&amp;'001-C DMR'!$B17),('DMR 001C NEW'!$E$3:$E$1112&amp;'DMR 001C NEW'!$B$3:$B$1112&amp;'DMR 001C NEW'!$A$3:$A$1112),0),MATCH('001-C DMR'!$CO$11,'DMR 001C NEW'!$A$2:$O$2,0)),"")</f>
        <v/>
      </c>
      <c r="CX17" s="280" t="str">
        <f t="array" ref="CX17">_xlfn.IFNA(INDEX('DMR 001C NEW'!$A$3:$O$999,MATCH(('001-C DMR'!$CM$6&amp;'001-C DMR'!CX$10&amp;'001-C DMR'!$B17),('DMR 001C NEW'!$E$3:$E$1112&amp;'DMR 001C NEW'!$B$3:$B$1112&amp;'DMR 001C NEW'!$A$3:$A$1112),0),MATCH('001-C DMR'!$CO$11,'DMR 001C NEW'!$A$2:$O$2,0)),"")</f>
        <v/>
      </c>
      <c r="CY17" s="61" t="str">
        <f t="shared" si="14"/>
        <v/>
      </c>
      <c r="CZ17" s="138">
        <f t="array" ref="CZ17">_xlfn.IFNA((INDEX('DMR 001C NEW'!$A$3:$O$9999,MATCH(('001-C DMR'!$CY$6&amp;'001-C DMR'!$CY$10&amp;'001-C DMR'!$B17),('DMR 001C NEW'!$E$3:$E$9018&amp;'DMR 001C NEW'!$B$3:$B$9018&amp;'DMR 001C NEW'!$A$3:$A$9018),0),MATCH('001-C DMR'!$CZ$11,'DMR 001C NEW'!$A$2:$O$2,0))*1000),"")</f>
        <v>21</v>
      </c>
      <c r="DA17" s="138">
        <f t="array" ref="DA17">_xlfn.IFNA(INDEX('DMR 001C NEW'!$A$3:$O$9999,MATCH(('001-C DMR'!$CY$6&amp;'001-C DMR'!$CY$10&amp;'001-C DMR'!$B17),('DMR 001C NEW'!$E$3:$E$9018&amp;'DMR 001C NEW'!$B$3:$B$9018&amp;'DMR 001C NEW'!$A$3:$A$9018),0),MATCH('001-C DMR'!$DA$11,'DMR 001C NEW'!$A$2:$O$2,0))*1000,"")</f>
        <v>63</v>
      </c>
      <c r="DB17" s="138">
        <f t="shared" si="15"/>
        <v>63</v>
      </c>
      <c r="DC17" s="64" t="str">
        <f t="shared" si="35"/>
        <v/>
      </c>
      <c r="DD17" s="280" t="str">
        <f t="array" ref="DD17">_xlfn.IFNA(INDEX('DMR 001C NEW'!$A$3:$O$999,MATCH(('001-C DMR'!$CY$6&amp;'001-C DMR'!DD$10&amp;'001-C DMR'!$B17),('DMR 001C NEW'!$E$3:$E$1112&amp;'DMR 001C NEW'!$B$3:$B$1112&amp;'DMR 001C NEW'!$A$3:$A$1112),0),MATCH('001-C DMR'!$DA$11,'DMR 001C NEW'!$A$2:$O$2,0)),"")</f>
        <v/>
      </c>
      <c r="DE17" s="280" t="str">
        <f t="array" ref="DE17">_xlfn.IFNA(INDEX('DMR 001C NEW'!$A$3:$O$999,MATCH(('001-C DMR'!$CY$6&amp;'001-C DMR'!DE$10&amp;'001-C DMR'!$B17),('DMR 001C NEW'!$E$3:$E$1112&amp;'DMR 001C NEW'!$B$3:$B$1112&amp;'DMR 001C NEW'!$A$3:$A$1112),0),MATCH('001-C DMR'!$DA$11,'DMR 001C NEW'!$A$2:$O$2,0)),"")</f>
        <v/>
      </c>
      <c r="DF17" s="280" t="str">
        <f t="array" ref="DF17">_xlfn.IFNA(INDEX('DMR 001C NEW'!$A$3:$O$999,MATCH(('001-C DMR'!$CY$6&amp;'001-C DMR'!DF$10&amp;'001-C DMR'!$B17),('DMR 001C NEW'!$E$3:$E$1112&amp;'DMR 001C NEW'!$B$3:$B$1112&amp;'DMR 001C NEW'!$A$3:$A$1112),0),MATCH('001-C DMR'!$DA$11,'DMR 001C NEW'!$A$2:$O$2,0)),"")</f>
        <v/>
      </c>
      <c r="DG17" s="280" t="str">
        <f t="array" ref="DG17">_xlfn.IFNA(INDEX('DMR 001C NEW'!$A$3:$O$999,MATCH(('001-C DMR'!$CY$6&amp;'001-C DMR'!DG$10&amp;'001-C DMR'!$B17),('DMR 001C NEW'!$E$3:$E$1112&amp;'DMR 001C NEW'!$B$3:$B$1112&amp;'DMR 001C NEW'!$A$3:$A$1112),0),MATCH('001-C DMR'!$DA$11,'DMR 001C NEW'!$A$2:$O$2,0)),"")</f>
        <v/>
      </c>
      <c r="DH17" s="280" t="str">
        <f t="array" ref="DH17">_xlfn.IFNA(INDEX('DMR 001C NEW'!$A$3:$O$999,MATCH(('001-C DMR'!$CY$6&amp;'001-C DMR'!DH$10&amp;'001-C DMR'!$B17),('DMR 001C NEW'!$E$3:$E$1112&amp;'DMR 001C NEW'!$B$3:$B$1112&amp;'DMR 001C NEW'!$A$3:$A$1112),0),MATCH('001-C DMR'!$DA$11,'DMR 001C NEW'!$A$2:$O$2,0)),"")</f>
        <v/>
      </c>
      <c r="DI17" s="280" t="str">
        <f t="array" ref="DI17">_xlfn.IFNA(INDEX('DMR 001C NEW'!$A$3:$O$999,MATCH(('001-C DMR'!$CY$6&amp;'001-C DMR'!DI$10&amp;'001-C DMR'!$B17),('DMR 001C NEW'!$E$3:$E$1112&amp;'DMR 001C NEW'!$B$3:$B$1112&amp;'DMR 001C NEW'!$A$3:$A$1112),0),MATCH('001-C DMR'!$DA$11,'DMR 001C NEW'!$A$2:$O$2,0)),"")</f>
        <v/>
      </c>
      <c r="DJ17" s="280" t="str">
        <f t="array" ref="DJ17">_xlfn.IFNA(INDEX('DMR 001C NEW'!$A$3:$O$999,MATCH(('001-C DMR'!$CY$6&amp;'001-C DMR'!DJ$10&amp;'001-C DMR'!$B17),('DMR 001C NEW'!$E$3:$E$1112&amp;'DMR 001C NEW'!$B$3:$B$1112&amp;'DMR 001C NEW'!$A$3:$A$1112),0),MATCH('001-C DMR'!$DA$11,'DMR 001C NEW'!$A$2:$O$2,0)),"")</f>
        <v/>
      </c>
      <c r="DK17" s="61" t="str">
        <f t="shared" si="16"/>
        <v/>
      </c>
      <c r="DL17" s="58">
        <f t="array" ref="DL17">_xlfn.IFNA((INDEX('DMR 001C NEW'!$A$3:$O$9999,MATCH(('001-C DMR'!$DK$6&amp;'001-C DMR'!$DK$10&amp;'001-C DMR'!$B17),('DMR 001C NEW'!$E$3:$E$9018&amp;'DMR 001C NEW'!$B$3:$B$9018&amp;'DMR 001C NEW'!$A$3:$A$9018),0),MATCH('001-C DMR'!$DL$11,'DMR 001C NEW'!$A$2:$O$2,0))),"")</f>
        <v>0.05</v>
      </c>
      <c r="DM17" s="58">
        <f t="array" ref="DM17">_xlfn.IFNA(INDEX('DMR 001C NEW'!$A$3:$O$9999,MATCH(('001-C DMR'!$DK$6&amp;'001-C DMR'!$DK$10&amp;'001-C DMR'!$B17),('DMR 001C NEW'!$E$3:$E$9018&amp;'DMR 001C NEW'!$B$3:$B$9018&amp;'DMR 001C NEW'!$A$3:$A$9018),0),MATCH('001-C DMR'!$DM$11,'DMR 001C NEW'!$A$2:$O$2,0)),"")</f>
        <v>0.09</v>
      </c>
      <c r="DN17" s="58">
        <f t="shared" si="17"/>
        <v>0.09</v>
      </c>
      <c r="DO17" s="223"/>
      <c r="DP17" s="224"/>
      <c r="DQ17" s="64" t="str">
        <f t="shared" si="18"/>
        <v/>
      </c>
      <c r="DR17" s="280" t="str">
        <f t="array" ref="DR17">_xlfn.IFNA(INDEX('DMR 001C NEW'!$A$3:$O$999,MATCH(('001-C DMR'!$DK$6&amp;'001-C DMR'!DR$10&amp;'001-C DMR'!$B17),('DMR 001C NEW'!$E$3:$E$1112&amp;'DMR 001C NEW'!$B$3:$B$1112&amp;'DMR 001C NEW'!$A$3:$A$1112),0),MATCH('001-C DMR'!$DR$11,'DMR 001C NEW'!$A$2:$O$2,0)),"")</f>
        <v/>
      </c>
      <c r="DS17" s="280" t="str">
        <f t="array" ref="DS17">_xlfn.IFNA(INDEX('DMR 001C NEW'!$A$3:$O$999,MATCH(('001-C DMR'!$DK$6&amp;'001-C DMR'!DS$10&amp;'001-C DMR'!$B17),('DMR 001C NEW'!$E$3:$E$1112&amp;'DMR 001C NEW'!$B$3:$B$1112&amp;'DMR 001C NEW'!$A$3:$A$1112),0),MATCH('001-C DMR'!$DR$11,'DMR 001C NEW'!$A$2:$O$2,0)),"")</f>
        <v/>
      </c>
      <c r="DT17" s="280" t="str">
        <f t="array" ref="DT17">_xlfn.IFNA(INDEX('DMR 001C NEW'!$A$3:$O$999,MATCH(('001-C DMR'!$DK$6&amp;'001-C DMR'!DT$10&amp;'001-C DMR'!$B17),('DMR 001C NEW'!$E$3:$E$1112&amp;'DMR 001C NEW'!$B$3:$B$1112&amp;'DMR 001C NEW'!$A$3:$A$1112),0),MATCH('001-C DMR'!$DR$11,'DMR 001C NEW'!$A$2:$O$2,0)),"")</f>
        <v/>
      </c>
      <c r="DU17" s="280" t="str">
        <f t="array" ref="DU17">_xlfn.IFNA(INDEX('DMR 001C NEW'!$A$3:$O$999,MATCH(('001-C DMR'!$DK$6&amp;'001-C DMR'!DU$10&amp;'001-C DMR'!$B17),('DMR 001C NEW'!$E$3:$E$1112&amp;'DMR 001C NEW'!$B$3:$B$1112&amp;'DMR 001C NEW'!$A$3:$A$1112),0),MATCH('001-C DMR'!$DR$11,'DMR 001C NEW'!$A$2:$O$2,0)),"")</f>
        <v/>
      </c>
      <c r="DV17" s="280" t="str">
        <f t="array" ref="DV17">_xlfn.IFNA(INDEX('DMR 001C NEW'!$A$3:$O$999,MATCH(('001-C DMR'!$DK$6&amp;'001-C DMR'!DV$10&amp;'001-C DMR'!$B17),('DMR 001C NEW'!$E$3:$E$1112&amp;'DMR 001C NEW'!$B$3:$B$1112&amp;'DMR 001C NEW'!$A$3:$A$1112),0),MATCH('001-C DMR'!$DR$11,'DMR 001C NEW'!$A$2:$O$2,0)),"")</f>
        <v/>
      </c>
      <c r="DW17" s="280" t="str">
        <f t="array" ref="DW17">_xlfn.IFNA(INDEX('DMR 001C NEW'!$A$3:$O$999,MATCH(('001-C DMR'!$DK$6&amp;'001-C DMR'!DW$10&amp;'001-C DMR'!$B17),('DMR 001C NEW'!$E$3:$E$1112&amp;'DMR 001C NEW'!$B$3:$B$1112&amp;'DMR 001C NEW'!$A$3:$A$1112),0),MATCH('001-C DMR'!$DR$11,'DMR 001C NEW'!$A$2:$O$2,0)),"")</f>
        <v/>
      </c>
      <c r="DX17" s="280" t="str">
        <f t="array" ref="DX17">_xlfn.IFNA(INDEX('DMR 001C NEW'!$A$3:$O$999,MATCH(('001-C DMR'!$DK$6&amp;'001-C DMR'!DX$10&amp;'001-C DMR'!$B17),('DMR 001C NEW'!$E$3:$E$1112&amp;'DMR 001C NEW'!$B$3:$B$1112&amp;'DMR 001C NEW'!$A$3:$A$1112),0),MATCH('001-C DMR'!$DR$11,'DMR 001C NEW'!$A$2:$O$2,0)),"")</f>
        <v/>
      </c>
      <c r="DY17" s="61" t="str">
        <f t="shared" si="28"/>
        <v/>
      </c>
      <c r="DZ17" s="249" t="str">
        <f t="array" ref="DZ17">_xlfn.IFNA((INDEX('DMR 001C NEW'!$A$3:$O$9999,MATCH(('001-C DMR'!$DY$6&amp;'001-C DMR'!$DY$10&amp;'001-C DMR'!$B17),('DMR 001C NEW'!$E$3:$E$9018&amp;'DMR 001C NEW'!$B$3:$B$9018&amp;'DMR 001C NEW'!$A$3:$A$9018),0),MATCH('001-C DMR'!$DZ$11,'DMR 001C NEW'!$A$2:$O$2,0))),"")</f>
        <v/>
      </c>
      <c r="EA17" s="249" t="str">
        <f t="array" ref="EA17">_xlfn.IFNA((INDEX('DMR 001C NEW'!$A$3:$O$9999,MATCH(('001-C DMR'!$DY$6&amp;'001-C DMR'!$DY$10&amp;'001-C DMR'!$B17),('DMR 001C NEW'!$E$3:$E$9018&amp;'DMR 001C NEW'!$B$3:$B$9018&amp;'DMR 001C NEW'!$A$3:$A$9018),0),MATCH('001-C DMR'!$EA$11,'DMR 001C NEW'!$A$2:$O$2,0))),"")</f>
        <v/>
      </c>
      <c r="EB17" s="249" t="str">
        <f t="array" ref="EB17">IF(EA17="SCRATCHED","",IF(EA17&lt;DZ17,0,EA17))</f>
        <v/>
      </c>
      <c r="EC17" s="249" t="str">
        <f t="shared" si="29"/>
        <v/>
      </c>
      <c r="ED17" s="249" t="str">
        <f t="array" ref="ED17">_xlfn.IFNA((INDEX('DMR 001C NEW'!$A$3:$O$9999,MATCH(('001-C DMR'!$DY$6&amp;'001-C DMR'!$EC$10&amp;'001-C DMR'!$B17),('DMR 001C NEW'!$E$3:$E$9018&amp;'DMR 001C NEW'!$B$3:$B$9018&amp;'DMR 001C NEW'!$A$3:$A$9018),0),MATCH('001-C DMR'!$DZ$11,'DMR 001C NEW'!$A$2:$O$2,0))),"")</f>
        <v/>
      </c>
      <c r="EE17" s="249" t="str">
        <f t="array" ref="EE17">_xlfn.IFNA((INDEX('DMR 001C NEW'!$A$3:$O$9999,MATCH(('001-C DMR'!$DY$6&amp;'001-C DMR'!$EC$10&amp;'001-C DMR'!$B17),('DMR 001C NEW'!$E$3:$E$9018&amp;'DMR 001C NEW'!$B$3:$B$9018&amp;'DMR 001C NEW'!$A$3:$A$9018),0),MATCH('001-C DMR'!$EE$11,'DMR 001C NEW'!$A$2:$O$2,0))),"")</f>
        <v/>
      </c>
      <c r="EF17" s="249" t="str">
        <f t="array" ref="EF17">IF(EE17="SCRATCHED","",IF(EE17&lt;ED17,0,EE17))</f>
        <v/>
      </c>
      <c r="EG17" s="249"/>
      <c r="EH17" s="195"/>
      <c r="EI17" s="194">
        <f t="array" ref="EI17">_xlfn.IFNA(INDEX('DMR Flows-Effluent'!$A$3:$F$186,MATCH(($EI$10&amp;$B17),('DMR Flows-Effluent'!$B$3:$B$186&amp;'DMR Flows-Effluent'!$A$3:$A$186),0),MATCH($EI$8,'DMR Flows-Effluent'!$A$2:$F$2,0)),"")</f>
        <v>54.080399999999997</v>
      </c>
      <c r="EJ17" s="56">
        <f t="array" ref="EJ17">_xlfn.IFNA(INDEX('DMR Flows-Effluent'!$A$3:$F$186,MATCH(($EJ$10&amp;$B17),('DMR Flows-Effluent'!$B$3:$B$186&amp;'DMR Flows-Effluent'!$A$3:$A$186),0),MATCH($EI$8,'DMR Flows-Effluent'!$A$2:$F$2,0)),"")</f>
        <v>71.528000000000006</v>
      </c>
      <c r="EK17" s="168">
        <f t="shared" si="19"/>
        <v>125.6084</v>
      </c>
      <c r="EL17" s="63"/>
      <c r="EM17" s="63"/>
      <c r="EN17" s="63"/>
      <c r="EO17" s="63"/>
      <c r="EP17" s="62"/>
      <c r="EQ17" s="157">
        <f>'E.Coli Calculations'!R11</f>
        <v>133.94551813781268</v>
      </c>
      <c r="ER17" s="56"/>
      <c r="ES17" s="64" t="str">
        <f t="shared" si="36"/>
        <v/>
      </c>
      <c r="ET17" s="61" t="str">
        <f t="shared" si="20"/>
        <v/>
      </c>
      <c r="EU17" s="58" t="str">
        <f t="array" ref="EU17">_xlfn.IFNA((INDEX('DMR 001C NEW'!$A$3:$O$9999,MATCH(('001-C DMR'!$ET$6&amp;'001-C DMR'!$ET$10&amp;'001-C DMR'!$B17),('DMR 001C NEW'!$E$3:$E$9018&amp;'DMR 001C NEW'!$B$3:$B$9018&amp;'DMR 001C NEW'!$A$3:$A$9018),0),MATCH('001-C DMR'!$EU$11,'DMR 001C NEW'!$A$2:$O$2,0))),"")</f>
        <v/>
      </c>
      <c r="EV17" s="58" t="str">
        <f t="array" ref="EV17">_xlfn.IFNA(INDEX('DMR 001C NEW'!$A$3:$O$9999,MATCH(('001-C DMR'!$ET$6&amp;'001-C DMR'!$ET$10&amp;'001-C DMR'!$B17),('DMR 001C NEW'!$E$3:$E$9018&amp;'DMR 001C NEW'!$B$3:$B$9018&amp;'DMR 001C NEW'!$A$3:$A$9018),0),MATCH('001-C DMR'!$EV$11,'DMR 001C NEW'!$A$2:$O$2,0)),"")</f>
        <v/>
      </c>
      <c r="EW17" s="56" t="str">
        <f t="shared" si="21"/>
        <v/>
      </c>
      <c r="EX17" s="64"/>
      <c r="EY17" s="279" t="str">
        <f t="array" ref="EY17">_xlfn.IFNA(INDEX('DMR 001C NEW'!$A$3:$O$999,MATCH(('001-C DMR'!$ET$6&amp;'001-C DMR'!EY$10&amp;'001-C DMR'!$B17),('DMR 001C NEW'!$E$3:$E$1112&amp;'DMR 001C NEW'!$B$3:$B$1112&amp;'DMR 001C NEW'!$A$3:$A$1112),0),MATCH('001-C DMR'!$EY$11,'DMR 001C NEW'!$A$2:$O$2,0)),"")</f>
        <v/>
      </c>
      <c r="EZ17" s="280" t="str">
        <f t="array" ref="EZ17">_xlfn.IFNA(INDEX('DMR 001C NEW'!$A$3:$O$999,MATCH(('001-C DMR'!$ET$6&amp;'001-C DMR'!EZ$10&amp;'001-C DMR'!$B17),('DMR 001C NEW'!$E$3:$E$1112&amp;'DMR 001C NEW'!$B$3:$B$1112&amp;'DMR 001C NEW'!$A$3:$A$1112),0),MATCH('001-C DMR'!$EY$11,'DMR 001C NEW'!$A$2:$O$2,0)),"")</f>
        <v/>
      </c>
      <c r="FA17" s="280" t="str">
        <f t="array" ref="FA17">_xlfn.IFNA(INDEX('DMR 001C NEW'!$A$3:$O$999,MATCH(('001-C DMR'!$ET$6&amp;'001-C DMR'!FA$10&amp;'001-C DMR'!$B17),('DMR 001C NEW'!$E$3:$E$1112&amp;'DMR 001C NEW'!$B$3:$B$1112&amp;'DMR 001C NEW'!$A$3:$A$1112),0),MATCH('001-C DMR'!$EY$11,'DMR 001C NEW'!$A$2:$O$2,0)),"")</f>
        <v/>
      </c>
      <c r="FB17" s="280" t="str">
        <f t="array" ref="FB17">_xlfn.IFNA(INDEX('DMR 001C NEW'!$A$3:$O$999,MATCH(('001-C DMR'!$ET$6&amp;'001-C DMR'!FB$10&amp;'001-C DMR'!$B17),('DMR 001C NEW'!$E$3:$E$1112&amp;'DMR 001C NEW'!$B$3:$B$1112&amp;'DMR 001C NEW'!$A$3:$A$1112),0),MATCH('001-C DMR'!$EY$11,'DMR 001C NEW'!$A$2:$O$2,0)),"")</f>
        <v/>
      </c>
      <c r="FC17" s="280" t="str">
        <f t="array" ref="FC17">_xlfn.IFNA(INDEX('DMR 001C NEW'!$A$3:$O$999,MATCH(('001-C DMR'!$ET$6&amp;'001-C DMR'!FC$10&amp;'001-C DMR'!$B17),('DMR 001C NEW'!$E$3:$E$1112&amp;'DMR 001C NEW'!$B$3:$B$1112&amp;'DMR 001C NEW'!$A$3:$A$1112),0),MATCH('001-C DMR'!$EY$11,'DMR 001C NEW'!$A$2:$O$2,0)),"")</f>
        <v/>
      </c>
      <c r="FD17" s="280" t="str">
        <f t="array" ref="FD17">_xlfn.IFNA(INDEX('DMR 001C NEW'!$A$3:$O$999,MATCH(('001-C DMR'!$ET$6&amp;'001-C DMR'!FD$10&amp;'001-C DMR'!$B17),('DMR 001C NEW'!$E$3:$E$1112&amp;'DMR 001C NEW'!$B$3:$B$1112&amp;'DMR 001C NEW'!$A$3:$A$1112),0),MATCH('001-C DMR'!$EY$11,'DMR 001C NEW'!$A$2:$O$2,0)),"")</f>
        <v/>
      </c>
      <c r="FE17" s="281" t="str">
        <f t="array" ref="FE17">_xlfn.IFNA(INDEX('DMR 001C NEW'!$A$3:$O$999,MATCH(('001-C DMR'!$ET$6&amp;'001-C DMR'!FE$10&amp;'001-C DMR'!$B17),('DMR 001C NEW'!$E$3:$E$1112&amp;'DMR 001C NEW'!$B$3:$B$1112&amp;'DMR 001C NEW'!$A$3:$A$1112),0),MATCH('001-C DMR'!$EY$11,'DMR 001C NEW'!$A$2:$O$2,0)),"")</f>
        <v/>
      </c>
      <c r="FF17" s="57" t="str">
        <f t="shared" si="22"/>
        <v/>
      </c>
      <c r="FG17" s="56">
        <f t="array" ref="FG17">_xlfn.IFNA(INDEX('DMR 001C NEW'!$A$3:$O$9999,MATCH(('001-C DMR'!$FF$6&amp;'001-C DMR'!$FF$10&amp;'001-C DMR'!$B17),('DMR 001C NEW'!$E$3:$E$7246&amp;'DMR 001C NEW'!$B$3:$B$7246&amp;'DMR 001C NEW'!$A$3:$A$7246),0),MATCH('001-C DMR'!$FG$11,'DMR 001C NEW'!$A$2:$O$2,0)),"")</f>
        <v>0</v>
      </c>
      <c r="FH17" s="56">
        <f t="array" ref="FH17">_xlfn.IFNA(INDEX('DMR 001C NEW'!$A$3:$O$9999,MATCH(('001-C DMR'!$FF$6&amp;'001-C DMR'!$FF$10&amp;'001-C DMR'!$B17),('DMR 001C NEW'!$E$3:$E$7246&amp;'DMR 001C NEW'!$B$3:$B$7246&amp;'DMR 001C NEW'!$A$3:$A$7246),0),MATCH('001-C DMR'!$FH$11,'DMR 001C NEW'!$A$2:$O$2,0)),"")</f>
        <v>4</v>
      </c>
      <c r="FI17" s="57" t="str">
        <f t="shared" si="23"/>
        <v/>
      </c>
      <c r="FJ17" s="56">
        <f t="array" ref="FJ17">_xlfn.IFNA(INDEX('DMR 001C NEW'!$A$3:$O$9999,MATCH(('001-C DMR'!$FF$6&amp;'001-C DMR'!$FI$10&amp;'001-C DMR'!$B17),('DMR 001C NEW'!$E$3:$E$7246&amp;'DMR 001C NEW'!$B$3:$B$7246&amp;'DMR 001C NEW'!$A$3:$A$7246),0),MATCH('001-C DMR'!$FG$11,'DMR 001C NEW'!$A$2:$O$2,0)),"")</f>
        <v>0</v>
      </c>
      <c r="FK17" s="56">
        <f t="array" ref="FK17">_xlfn.IFNA(INDEX('DMR 001C NEW'!$A$3:$O$9999,MATCH(('001-C DMR'!$FF$6&amp;'001-C DMR'!$FI$10&amp;'001-C DMR'!$B17),('DMR 001C NEW'!$E$3:$E$7246&amp;'DMR 001C NEW'!$B$3:$B$7246&amp;'DMR 001C NEW'!$A$3:$A$7246),0),MATCH('001-C DMR'!$FH$11,'DMR 001C NEW'!$A$2:$O$2,0)),"")</f>
        <v>4</v>
      </c>
      <c r="FL17" s="56">
        <f t="array" ref="FL17">IFERROR((($FH17*$EI17)+($FK17*$EJ17))/($EK17),"")</f>
        <v>4</v>
      </c>
      <c r="FM17" s="56" t="str">
        <f t="shared" si="3"/>
        <v/>
      </c>
      <c r="FN17" s="64" t="str">
        <f t="shared" si="37"/>
        <v/>
      </c>
      <c r="FO17" s="66"/>
      <c r="FP17" s="280" t="str">
        <f t="array" ref="FP17">_xlfn.IFNA(INDEX('DMR 001C NEW'!$A$3:$O$999,MATCH(('001-C DMR'!$FF$6&amp;'001-C DMR'!FP$10&amp;'001-C DMR'!$B17),('DMR 001C NEW'!$E$3:$E$1112&amp;'DMR 001C NEW'!$B$3:$B$1112&amp;'DMR 001C NEW'!$A$3:$A$1112),0),MATCH('001-C DMR'!$FH$11,'DMR 001C NEW'!$A$2:$O$2,0)),"")</f>
        <v/>
      </c>
      <c r="FQ17" s="280" t="str">
        <f t="array" ref="FQ17">_xlfn.IFNA(INDEX('DMR 001C NEW'!$A$3:$O$999,MATCH(('001-C DMR'!$FF$6&amp;'001-C DMR'!FQ$10&amp;'001-C DMR'!$B17),('DMR 001C NEW'!$E$3:$E$1112&amp;'DMR 001C NEW'!$B$3:$B$1112&amp;'DMR 001C NEW'!$A$3:$A$1112),0),MATCH('001-C DMR'!$FH$11,'DMR 001C NEW'!$A$2:$O$2,0)),"")</f>
        <v/>
      </c>
      <c r="FR17" s="280" t="str">
        <f t="array" ref="FR17">_xlfn.IFNA(INDEX('DMR 001C NEW'!$A$3:$O$999,MATCH(('001-C DMR'!$FF$6&amp;'001-C DMR'!FR$10&amp;'001-C DMR'!$B17),('DMR 001C NEW'!$E$3:$E$1112&amp;'DMR 001C NEW'!$B$3:$B$1112&amp;'DMR 001C NEW'!$A$3:$A$1112),0),MATCH('001-C DMR'!$FH$11,'DMR 001C NEW'!$A$2:$O$2,0)),"")</f>
        <v/>
      </c>
      <c r="FS17" s="280" t="str">
        <f t="array" ref="FS17">_xlfn.IFNA(INDEX('DMR 001C NEW'!$A$3:$O$999,MATCH(('001-C DMR'!$FF$6&amp;'001-C DMR'!FS$10&amp;'001-C DMR'!$B17),('DMR 001C NEW'!$E$3:$E$1112&amp;'DMR 001C NEW'!$B$3:$B$1112&amp;'DMR 001C NEW'!$A$3:$A$1112),0),MATCH('001-C DMR'!$FH$11,'DMR 001C NEW'!$A$2:$O$2,0)),"")</f>
        <v/>
      </c>
      <c r="FT17" s="280" t="str">
        <f t="array" ref="FT17">_xlfn.IFNA(INDEX('DMR 001C NEW'!$A$3:$O$999,MATCH(('001-C DMR'!$FF$6&amp;'001-C DMR'!FT$10&amp;'001-C DMR'!$B17),('DMR 001C NEW'!$E$3:$E$1112&amp;'DMR 001C NEW'!$B$3:$B$1112&amp;'DMR 001C NEW'!$A$3:$A$1112),0),MATCH('001-C DMR'!$FH$11,'DMR 001C NEW'!$A$2:$O$2,0)),"")</f>
        <v/>
      </c>
      <c r="FU17" s="280" t="str">
        <f t="array" ref="FU17">_xlfn.IFNA(INDEX('DMR 001C NEW'!$A$3:$O$999,MATCH(('001-C DMR'!$FF$6&amp;'001-C DMR'!FU$10&amp;'001-C DMR'!$B17),('DMR 001C NEW'!$E$3:$E$1112&amp;'DMR 001C NEW'!$B$3:$B$1112&amp;'DMR 001C NEW'!$A$3:$A$1112),0),MATCH('001-C DMR'!$FH$11,'DMR 001C NEW'!$A$2:$O$2,0)),"")</f>
        <v/>
      </c>
      <c r="FV17" s="66"/>
      <c r="FW17" s="61" t="str">
        <f t="shared" si="24"/>
        <v/>
      </c>
      <c r="FX17" s="58">
        <f t="array" ref="FX17">_xlfn.IFNA(INDEX('DMR 001C NEW'!$A$3:$O$9999,MATCH(('001-C DMR'!$FW$6&amp;'001-C DMR'!$FW$10&amp;'001-C DMR'!$B17),('DMR 001C NEW'!$E$3:$E$7246&amp;'DMR 001C NEW'!$B$3:$B$7246&amp;'DMR 001C NEW'!$A$3:$A$7246),0),MATCH('001-C DMR'!$FX$11,'DMR 001C NEW'!$A$2:$O$2,0)),"")</f>
        <v>0.6</v>
      </c>
      <c r="FY17" s="58">
        <f t="array" ref="FY17">_xlfn.IFNA(INDEX('DMR 001C NEW'!$A$3:$O$9999,MATCH(('001-C DMR'!$FW$6&amp;'001-C DMR'!$FW$10&amp;'001-C DMR'!$B17),('DMR 001C NEW'!$E$3:$E$7246&amp;'DMR 001C NEW'!$B$3:$B$7246&amp;'DMR 001C NEW'!$A$3:$A$7246),0),MATCH('001-C DMR'!$FY$11,'DMR 001C NEW'!$A$2:$O$2,0)),"")</f>
        <v>111</v>
      </c>
      <c r="FZ17" s="57" t="str">
        <f t="shared" si="25"/>
        <v/>
      </c>
      <c r="GA17" s="58">
        <f t="array" ref="GA17">_xlfn.IFNA(INDEX('DMR 001C NEW'!$A$3:$O$9999,MATCH(('001-C DMR'!$FW$6&amp;'001-C DMR'!$FZ$10&amp;'001-C DMR'!$B17),('DMR 001C NEW'!$E$3:$E$7246&amp;'DMR 001C NEW'!$B$3:$B$7246&amp;'DMR 001C NEW'!$A$3:$A$7246),0),MATCH('001-C DMR'!$FX$11,'DMR 001C NEW'!$A$2:$O$2,0)),"")</f>
        <v>0.6</v>
      </c>
      <c r="GB17" s="58">
        <f t="array" ref="GB17">_xlfn.IFNA(INDEX('DMR 001C NEW'!$A$3:$O$9999,MATCH(('001-C DMR'!$FW$6&amp;'001-C DMR'!$FZ$10&amp;'001-C DMR'!$B17),('DMR 001C NEW'!$E$3:$E$7246&amp;'DMR 001C NEW'!$B$3:$B$7246&amp;'DMR 001C NEW'!$A$3:$A$7246),0),MATCH('001-C DMR'!$GB$11,'DMR 001C NEW'!$A$2:$O$2,0)),"")</f>
        <v>127</v>
      </c>
      <c r="GC17" s="56">
        <f t="shared" si="4"/>
        <v>120.11123778346034</v>
      </c>
      <c r="GD17" s="64" t="str">
        <f t="shared" si="38"/>
        <v/>
      </c>
      <c r="GE17" s="279" t="str">
        <f t="array" ref="GE17">_xlfn.IFNA(INDEX('DMR 001C NEW'!$A$3:$O$999,MATCH(('001-C DMR'!$FW$6&amp;'001-C DMR'!GE$10&amp;'001-C DMR'!$B17),('DMR 001C NEW'!$E$3:$E$1112&amp;'DMR 001C NEW'!$B$3:$B$1112&amp;'DMR 001C NEW'!$A$3:$A$1112),0),MATCH('001-C DMR'!$FY$11,'DMR 001C NEW'!$A$2:$O$2,0)),"")</f>
        <v/>
      </c>
      <c r="GF17" s="280" t="str">
        <f t="array" ref="GF17">_xlfn.IFNA(INDEX('DMR 001C NEW'!$A$3:$O$999,MATCH(('001-C DMR'!$FW$6&amp;'001-C DMR'!GF$10&amp;'001-C DMR'!$B17),('DMR 001C NEW'!$E$3:$E$1112&amp;'DMR 001C NEW'!$B$3:$B$1112&amp;'DMR 001C NEW'!$A$3:$A$1112),0),MATCH('001-C DMR'!$FY$11,'DMR 001C NEW'!$A$2:$O$2,0)),"")</f>
        <v/>
      </c>
      <c r="GG17" s="280" t="str">
        <f t="array" ref="GG17">_xlfn.IFNA(INDEX('DMR 001C NEW'!$A$3:$O$999,MATCH(('001-C DMR'!$FW$6&amp;'001-C DMR'!GG$10&amp;'001-C DMR'!$B17),('DMR 001C NEW'!$E$3:$E$1112&amp;'DMR 001C NEW'!$B$3:$B$1112&amp;'DMR 001C NEW'!$A$3:$A$1112),0),MATCH('001-C DMR'!$FY$11,'DMR 001C NEW'!$A$2:$O$2,0)),"")</f>
        <v/>
      </c>
      <c r="GH17" s="280" t="str">
        <f t="array" ref="GH17">_xlfn.IFNA(INDEX('DMR 001C NEW'!$A$3:$O$999,MATCH(('001-C DMR'!$FW$6&amp;'001-C DMR'!GH$10&amp;'001-C DMR'!$B17),('DMR 001C NEW'!$E$3:$E$1112&amp;'DMR 001C NEW'!$B$3:$B$1112&amp;'DMR 001C NEW'!$A$3:$A$1112),0),MATCH('001-C DMR'!$FY$11,'DMR 001C NEW'!$A$2:$O$2,0)),"")</f>
        <v/>
      </c>
      <c r="GI17" s="280" t="str">
        <f t="array" ref="GI17">_xlfn.IFNA(INDEX('DMR 001C NEW'!$A$3:$O$999,MATCH(('001-C DMR'!$FW$6&amp;'001-C DMR'!GI$10&amp;'001-C DMR'!$B17),('DMR 001C NEW'!$E$3:$E$1112&amp;'DMR 001C NEW'!$B$3:$B$1112&amp;'DMR 001C NEW'!$A$3:$A$1112),0),MATCH('001-C DMR'!$FY$11,'DMR 001C NEW'!$A$2:$O$2,0)),"")</f>
        <v/>
      </c>
      <c r="GJ17" s="281" t="str">
        <f t="array" ref="GJ17">_xlfn.IFNA(INDEX('DMR 001C NEW'!$A$3:$O$999,MATCH(('001-C DMR'!$FW$6&amp;'001-C DMR'!GJ$10&amp;'001-C DMR'!$B17),('DMR 001C NEW'!$E$3:$E$1112&amp;'DMR 001C NEW'!$B$3:$B$1112&amp;'DMR 001C NEW'!$A$3:$A$1112),0),MATCH('001-C DMR'!$FY$11,'DMR 001C NEW'!$A$2:$O$2,0)),"")</f>
        <v/>
      </c>
      <c r="GK17" s="58" t="str">
        <f t="array" ref="GK17">_xlfn.IFNA(INDEX('DMR 001C NEW'!$A$3:$O$9999,MATCH(('001-C DMR'!$GK$6&amp;'001-C DMR'!$GK$10&amp;'001-C DMR'!$B17),('DMR 001C NEW'!$E$3:$E$9018&amp;'DMR 001C NEW'!$B$3:$B$9018&amp;'DMR 001C NEW'!$A$3:$A$9018),0),MATCH('001-C DMR'!$GK$11,'DMR 001C NEW'!$A$2:$O$2,0)),"")</f>
        <v>n</v>
      </c>
      <c r="GL17" s="58" t="str">
        <f t="array" ref="GL17">_xlfn.IFNA(INDEX('DMR 001C NEW'!$A$3:$O$9999,MATCH(('001-C DMR'!$GK$6&amp;'001-C DMR'!$GL$10&amp;'001-C DMR'!$B17),('DMR 001C NEW'!$E$3:$E$9018&amp;'DMR 001C NEW'!$B$3:$B$9018&amp;'DMR 001C NEW'!$A$3:$A$9018),0),MATCH('001-C DMR'!$GK$11,'DMR 001C NEW'!$A$2:$O$2,0)),"")</f>
        <v>n</v>
      </c>
      <c r="GM17" s="134"/>
      <c r="GN17" s="64" t="str">
        <f>IF($A17="Sat",COUNT(GL11:GL17),"")</f>
        <v/>
      </c>
      <c r="GO17" s="134"/>
      <c r="GP17" s="134"/>
      <c r="GQ17" s="134"/>
      <c r="GR17" s="134"/>
      <c r="GS17" s="134"/>
      <c r="GT17" s="134"/>
      <c r="GU17" s="134"/>
      <c r="GV17" s="134"/>
      <c r="GW17" s="134"/>
      <c r="GX17" s="134"/>
      <c r="GY17" s="134"/>
      <c r="GZ17" s="134"/>
      <c r="HA17" s="134"/>
      <c r="HB17" s="134"/>
      <c r="HC17" s="134"/>
      <c r="HD17" s="134"/>
      <c r="HE17" s="134"/>
      <c r="HF17" s="134"/>
      <c r="HG17" s="134"/>
      <c r="HH17" s="134"/>
      <c r="HI17" s="134"/>
      <c r="HJ17" s="134"/>
      <c r="HK17" s="134"/>
      <c r="HL17" s="134"/>
      <c r="HM17" s="134"/>
      <c r="HN17" s="134"/>
      <c r="HO17" s="134"/>
      <c r="HP17" s="134"/>
      <c r="HQ17" s="134"/>
      <c r="HR17" s="134"/>
      <c r="HS17" s="134"/>
      <c r="HT17" s="134"/>
      <c r="HU17" s="134"/>
      <c r="HV17" s="134"/>
      <c r="HW17" s="134"/>
      <c r="HX17" s="134"/>
      <c r="HY17" s="134"/>
      <c r="HZ17" s="134"/>
      <c r="IA17" s="134"/>
      <c r="IB17" s="134"/>
      <c r="IC17" s="134"/>
      <c r="ID17" s="134"/>
      <c r="IE17" s="134"/>
      <c r="IF17" s="134"/>
      <c r="IG17" s="134"/>
      <c r="IH17" s="134"/>
      <c r="II17" s="134"/>
      <c r="IJ17" s="134"/>
      <c r="IK17" s="134"/>
      <c r="IL17" s="134"/>
      <c r="IM17" s="134"/>
      <c r="IN17" s="134"/>
      <c r="IO17" s="134"/>
      <c r="IP17" s="134"/>
      <c r="IQ17" s="134"/>
      <c r="IR17" s="134"/>
      <c r="IS17" s="134"/>
      <c r="IT17" s="134"/>
      <c r="IU17" s="134"/>
      <c r="IV17" s="134"/>
      <c r="IW17" s="134"/>
      <c r="IX17" s="134"/>
      <c r="IY17" s="134"/>
      <c r="IZ17" s="134"/>
      <c r="JA17" s="134"/>
      <c r="JB17" s="134"/>
      <c r="JC17" s="134"/>
      <c r="JD17" s="134"/>
      <c r="JE17" s="134"/>
      <c r="JF17" s="134"/>
      <c r="JG17" s="134"/>
      <c r="JH17" s="134"/>
      <c r="JI17" s="134"/>
      <c r="JJ17" s="134"/>
      <c r="JK17" s="134"/>
      <c r="JL17" s="134"/>
      <c r="JM17" s="134"/>
      <c r="JN17" s="134"/>
      <c r="JO17" s="134"/>
      <c r="JP17" s="134"/>
      <c r="JQ17" s="134"/>
      <c r="JR17" s="134"/>
      <c r="JS17" s="134"/>
      <c r="JT17" s="134"/>
      <c r="JU17" s="134"/>
      <c r="JV17" s="134"/>
    </row>
    <row r="18" spans="1:282" s="51" customFormat="1" x14ac:dyDescent="0.25">
      <c r="A18" s="67" t="str">
        <f t="shared" si="5"/>
        <v>Sat</v>
      </c>
      <c r="B18" s="216">
        <f t="shared" si="26"/>
        <v>43680</v>
      </c>
      <c r="C18" s="93">
        <f t="array" ref="C18">INDEX('DMR 001C NEW'!$A$3:$N$10020,MATCH(('001-C DMR'!$C$6:$K$6&amp;'001-C DMR'!$C$10:$E$10&amp;'001-C DMR'!$B18),('DMR 001C NEW'!$E$3:$E$7246&amp;'DMR 001C NEW'!$B$3:$B$7246&amp;'DMR 001C NEW'!$A$3:$A$7246),0),MATCH('001-C DMR'!$C$11,'DMR 001C NEW'!$A$2:$O$2,0))</f>
        <v>5.9</v>
      </c>
      <c r="D18" s="56" t="str">
        <f t="array" ref="D18">INDEX('DMR 001C NEW'!$A$3:$N$11771,MATCH(('001-C DMR'!$C$6:$K$6&amp;'001-C DMR'!$C$10:$E$10&amp;'001-C DMR'!$B18),('DMR 001C NEW'!$E$3:$E$9018&amp;'DMR 001C NEW'!$B$3:$B$9018&amp;'DMR 001C NEW'!$A$3:$A$9018),0),MATCH('001-C DMR'!$D$11,'DMR 001C NEW'!$A$2:$O$2,0))</f>
        <v>AE68122</v>
      </c>
      <c r="E18" s="56">
        <f t="array" ref="E18">INDEX('DMR 001C NEW'!$A$3:$N$9999,MATCH(('001-C DMR'!$E$11&amp;'001-C DMR'!$C$10:$E$10&amp;'001-C DMR'!$B18&amp;$D18),('DMR 001C NEW'!$E$3:$E$7246&amp;'DMR 001C NEW'!$B$3:$B$7246&amp;'DMR 001C NEW'!$A$3:$A$7246&amp;'DMR 001C NEW'!$M$3:$M$7188),0),MATCH($C$11,'DMR 001C NEW'!$A$2:$O$2,0))</f>
        <v>54</v>
      </c>
      <c r="F18" s="56">
        <f t="array" ref="F18">INDEX('DMR 001C NEW'!$A$3:$N$9999,MATCH('001-C DMR'!$C$6:$K$6&amp;'001-C DMR'!$F$10&amp;'001-C DMR'!$B18,('DMR 001C NEW'!$E$3:$E$7246&amp;'DMR 001C NEW'!$B$3:$B$7246&amp;'DMR 001C NEW'!$A$3:$A$7246),0),MATCH('001-C DMR'!$C$11,'DMR 001C NEW'!$A$2:$O$2,0))</f>
        <v>6.6</v>
      </c>
      <c r="G18" s="56" t="str">
        <f t="array" ref="G18">INDEX('DMR 001C NEW'!$A$3:$N$3865,MATCH(('001-C DMR'!$C$6:$K$6&amp;'001-C DMR'!$F$10&amp;'001-C DMR'!$B18),('DMR 001C NEW'!$E$3:$E$1112&amp;'DMR 001C NEW'!$B$3:$B$1112&amp;'DMR 001C NEW'!$A$3:$A$1112),0),MATCH('001-C DMR'!$D$11,'DMR 001C NEW'!$A$2:$O$2,0))</f>
        <v>AE68123</v>
      </c>
      <c r="H18" s="56">
        <f t="array" ref="H18">INDEX('DMR 001C NEW'!$A$3:$N$9999,MATCH(('001-C DMR'!$E$11&amp;'001-C DMR'!$F$10&amp;'001-C DMR'!$B18&amp;$G18),('DMR 001C NEW'!$E$3:$E$7246&amp;'DMR 001C NEW'!$B$3:$B$7246&amp;'DMR 001C NEW'!$A$3:$A$7246&amp;'DMR 001C NEW'!$M$3:$M$7188),0),MATCH($C$11,'DMR 001C NEW'!$A$2:$O$2,0))</f>
        <v>61.45</v>
      </c>
      <c r="I18" s="56">
        <f t="shared" si="0"/>
        <v>6.2725855348635777</v>
      </c>
      <c r="J18" s="58">
        <f t="shared" ref="J18:J46" si="39">IF($A18="Sat",(AVERAGE(I12:I18)),"")</f>
        <v>6.2205574763089597</v>
      </c>
      <c r="K18" s="64">
        <f t="shared" ref="K18:K46" si="40">IF($A18="Sat",COUNT(I12:I18),"")</f>
        <v>7</v>
      </c>
      <c r="L18" s="262" t="str">
        <f t="array" ref="L18">_xlfn.IFNA(INDEX('DMR 001C NEW'!$A$3:$N$3865,MATCH(('001-C DMR'!$C$6:$K$6&amp;'001-C DMR'!L$10&amp;'001-C DMR'!$B18),('DMR 001C NEW'!$E$3:$E$1112&amp;'DMR 001C NEW'!$B$3:$B$1112&amp;'DMR 001C NEW'!$A$3:$A$1112),0),MATCH('001-C DMR'!$C$11,'DMR 001C NEW'!$A$2:$O$2,0)),"")</f>
        <v/>
      </c>
      <c r="M18" s="262" t="str">
        <f t="array" ref="M18">_xlfn.IFNA(INDEX('DMR 001C NEW'!$A$3:$N$3865,MATCH(('001-C DMR'!$C$6:$K$6&amp;'001-C DMR'!M$10&amp;'001-C DMR'!$B18),('DMR 001C NEW'!$E$3:$E$1112&amp;'DMR 001C NEW'!$B$3:$B$1112&amp;'DMR 001C NEW'!$A$3:$A$1112),0),MATCH('001-C DMR'!$C$11,'DMR 001C NEW'!$A$2:$O$2,0)),"")</f>
        <v/>
      </c>
      <c r="N18" s="262" t="str">
        <f t="array" ref="N18">_xlfn.IFNA(INDEX('DMR 001C NEW'!$A$3:$N$3865,MATCH(('001-C DMR'!$C$6:$K$6&amp;'001-C DMR'!N$10&amp;'001-C DMR'!$B18),('DMR 001C NEW'!$E$3:$E$1112&amp;'DMR 001C NEW'!$B$3:$B$1112&amp;'DMR 001C NEW'!$A$3:$A$1112),0),MATCH('001-C DMR'!$C$11,'DMR 001C NEW'!$A$2:$O$2,0)),"")</f>
        <v/>
      </c>
      <c r="O18" s="262" t="str">
        <f t="array" ref="O18">_xlfn.IFNA(INDEX('DMR 001C NEW'!$A$3:$N$3865,MATCH(('001-C DMR'!$C$6:$K$6&amp;'001-C DMR'!O$10&amp;'001-C DMR'!$B18),('DMR 001C NEW'!$E$3:$E$1112&amp;'DMR 001C NEW'!$B$3:$B$1112&amp;'DMR 001C NEW'!$A$3:$A$1112),0),MATCH('001-C DMR'!$C$11,'DMR 001C NEW'!$A$2:$O$2,0)),"")</f>
        <v/>
      </c>
      <c r="P18" s="262" t="str">
        <f t="array" ref="P18">_xlfn.IFNA(INDEX('DMR 001C NEW'!$A$3:$N$3865,MATCH(('001-C DMR'!$C$6:$K$6&amp;'001-C DMR'!P$10&amp;'001-C DMR'!$B18),('DMR 001C NEW'!$E$3:$E$1112&amp;'DMR 001C NEW'!$B$3:$B$1112&amp;'DMR 001C NEW'!$A$3:$A$1112),0),MATCH('001-C DMR'!$C$11,'DMR 001C NEW'!$A$2:$O$2,0)),"")</f>
        <v/>
      </c>
      <c r="Q18" s="120" t="e">
        <f t="array" ref="Q18">INDEX('DMR 001C NEW'!$A$3:$N$3865,MATCH(('001-C DMR'!$C$6:$K$6&amp;'001-C DMR'!Q$10&amp;'001-C DMR'!$B18),('DMR 001C NEW'!$E$3:$E$1112&amp;'DMR 001C NEW'!$B$3:$B$1112&amp;'DMR 001C NEW'!$A$3:$A$1112),0),MATCH('001-C DMR'!$C$11,'DMR 001C NEW'!$A$2:$O$2,0))</f>
        <v>#N/A</v>
      </c>
      <c r="R18" s="61"/>
      <c r="S18" s="56">
        <f t="array" ref="S18">_xlfn.IFNA(INDEX('DMR 001C NEW'!$A$3:$N$11771,MATCH(('001-C DMR'!$R$6:$T$6&amp;'001-C DMR'!$R$10&amp;'001-C DMR'!$B18),('DMR 001C NEW'!$E$3:$E$9018&amp;'DMR 001C NEW'!$B$3:$B$9018&amp;'DMR 001C NEW'!$A$3:$A$9018),0),MATCH('001-C DMR'!$S$11,'DMR 001C NEW'!$A$2:$O$2,0)),"")</f>
        <v>7.1</v>
      </c>
      <c r="T18" s="64">
        <f>IF($A18="Sat",COUNT(S12:S18),"")</f>
        <v>7</v>
      </c>
      <c r="U18" s="262" t="str">
        <f t="array" ref="U18">_xlfn.IFNA(INDEX('DMR 001C NEW'!$A$3:$O$591,MATCH('001-C DMR'!$R$6:$T$6&amp;'001-C DMR'!U$10&amp;'001-C DMR'!$B18,('DMR 001C NEW'!$E$3:$E$704&amp;'DMR 001C NEW'!$B$3:$B$704&amp;'DMR 001C NEW'!$A$3:$A$704),0),MATCH('001-C DMR'!$U$11,'DMR 001C NEW'!$A$2:$O$2,0)),"")</f>
        <v/>
      </c>
      <c r="V18" s="262" t="str">
        <f t="array" ref="V18">_xlfn.IFNA(INDEX('DMR 001C NEW'!$A$3:$O$591,MATCH('001-C DMR'!$R$6:$T$6&amp;'001-C DMR'!V$10&amp;'001-C DMR'!$B18,('DMR 001C NEW'!$E$3:$E$704&amp;'DMR 001C NEW'!$B$3:$B$704&amp;'DMR 001C NEW'!$A$3:$A$704),0),MATCH('001-C DMR'!$U$11,'DMR 001C NEW'!$A$2:$O$2,0)),"")</f>
        <v/>
      </c>
      <c r="W18" s="262" t="str">
        <f t="array" ref="W18">_xlfn.IFNA(INDEX('DMR 001C NEW'!$A$3:$O$591,MATCH('001-C DMR'!$R$6:$T$6&amp;'001-C DMR'!W$10&amp;'001-C DMR'!$B18,('DMR 001C NEW'!$E$3:$E$704&amp;'DMR 001C NEW'!$B$3:$B$704&amp;'DMR 001C NEW'!$A$3:$A$704),0),MATCH('001-C DMR'!$U$11,'DMR 001C NEW'!$A$2:$O$2,0)),"")</f>
        <v/>
      </c>
      <c r="X18" s="262" t="str">
        <f t="array" ref="X18">_xlfn.IFNA(INDEX('DMR 001C NEW'!$A$3:$O$591,MATCH('001-C DMR'!$R$6:$T$6&amp;'001-C DMR'!X$10&amp;'001-C DMR'!$B18,('DMR 001C NEW'!$E$3:$E$704&amp;'DMR 001C NEW'!$B$3:$B$704&amp;'DMR 001C NEW'!$A$3:$A$704),0),MATCH('001-C DMR'!$U$11,'DMR 001C NEW'!$A$2:$O$2,0)),"")</f>
        <v/>
      </c>
      <c r="Y18" s="262" t="str">
        <f t="array" ref="Y18">_xlfn.IFNA(INDEX('DMR 001C NEW'!$A$3:$O$591,MATCH('001-C DMR'!$R$6:$T$6&amp;'001-C DMR'!Y$10&amp;'001-C DMR'!$B18,('DMR 001C NEW'!$E$3:$E$704&amp;'DMR 001C NEW'!$B$3:$B$704&amp;'DMR 001C NEW'!$A$3:$A$704),0),MATCH('001-C DMR'!$U$11,'DMR 001C NEW'!$A$2:$O$2,0)),"")</f>
        <v/>
      </c>
      <c r="Z18" s="262" t="str">
        <f t="array" ref="Z18">_xlfn.IFNA(INDEX('DMR 001C NEW'!$A$3:$O$591,MATCH('001-C DMR'!$R$6:$T$6&amp;'001-C DMR'!Z$10&amp;'001-C DMR'!$B18,('DMR 001C NEW'!$E$3:$E$704&amp;'DMR 001C NEW'!$B$3:$B$704&amp;'DMR 001C NEW'!$A$3:$A$704),0),MATCH('001-C DMR'!$U$11,'DMR 001C NEW'!$A$2:$O$2,0)),"")</f>
        <v/>
      </c>
      <c r="AA18" s="262" t="str">
        <f t="array" ref="AA18">_xlfn.IFNA(INDEX('DMR 001C NEW'!$A$3:$O$591,MATCH('001-C DMR'!$R$6:$T$6&amp;'001-C DMR'!AA$10&amp;'001-C DMR'!$B18,('DMR 001C NEW'!$E$3:$E$704&amp;'DMR 001C NEW'!$B$3:$B$704&amp;'DMR 001C NEW'!$A$3:$A$704),0),MATCH('001-C DMR'!$U$11,'DMR 001C NEW'!$A$2:$O$2,0)),"")</f>
        <v/>
      </c>
      <c r="AB18" s="61" t="str">
        <f t="array" ref="AB18">IF(AD18&lt;AC18,"&lt;","")</f>
        <v/>
      </c>
      <c r="AC18" s="56">
        <f t="array" ref="AC18">_xlfn.IFNA(INDEX('DMR 001C NEW'!$A$3:$O$9999,MATCH(('001-C DMR'!$AB$6:$AJ$6&amp;'001-C DMR'!$AB$10:$AD$10&amp;'001-C DMR'!$B18),('DMR 001C NEW'!$E$3:$E$7246&amp;'DMR 001C NEW'!$B$3:$B$7246&amp;'DMR 001C NEW'!$A$3:$A$7246),0),MATCH('001-C DMR'!$AC$11,'DMR 001C NEW'!$A$2:$O$2,0)),"")</f>
        <v>3</v>
      </c>
      <c r="AD18" s="56">
        <f t="array" ref="AD18">_xlfn.IFNA(INDEX('DMR 001C NEW'!$A$3:$O$9999,MATCH(('001-C DMR'!$AB$6:$AJ$6&amp;'001-C DMR'!$AB$10:$AD$10&amp;'001-C DMR'!$B18),('DMR 001C NEW'!$E$3:$E$7246&amp;'DMR 001C NEW'!$B$3:$B$7246&amp;'DMR 001C NEW'!$A$3:$A$7246),0),MATCH('001-C DMR'!$AD$11,'DMR 001C NEW'!$A$2:$O$2,0)),"")</f>
        <v>12</v>
      </c>
      <c r="AE18" s="57" t="str">
        <f t="array" ref="AE18">IF(AG18&lt;AF18,"&lt;","")</f>
        <v/>
      </c>
      <c r="AF18" s="56">
        <f t="array" ref="AF18">_xlfn.IFNA(INDEX('DMR 001C NEW'!$A$3:$O$9999,MATCH(('001-C DMR'!$AB$6:$AJ$6&amp;'001-C DMR'!$AE$10&amp;'001-C DMR'!$B18),('DMR 001C NEW'!$E$3:$E$9018&amp;'DMR 001C NEW'!$B$3:$B$9018&amp;'DMR 001C NEW'!$A$3:$A$9018),0),MATCH('001-C DMR'!$AF$11,'DMR 001C NEW'!$A$2:$O$2,0)),"")</f>
        <v>3</v>
      </c>
      <c r="AG18" s="56">
        <f t="array" ref="AG18">_xlfn.IFNA(INDEX('DMR 001C NEW'!$A$3:$O$9999,MATCH(('001-C DMR'!$AB$6:$AJ$6&amp;'001-C DMR'!$AE$10&amp;'001-C DMR'!$B18),('DMR 001C NEW'!$E$3:$E$9018&amp;'DMR 001C NEW'!$B$3:$B$9018&amp;'DMR 001C NEW'!$A$3:$A$9018),0),MATCH('001-C DMR'!$AG$11,'DMR 001C NEW'!$A$2:$O$2,0)),"")</f>
        <v>10</v>
      </c>
      <c r="AH18" s="56">
        <f t="array" ref="AH18">IFERROR((($AD18*$EI18)+($AG18*$EJ18))/($EK18),"")</f>
        <v>10.862089014004548</v>
      </c>
      <c r="AI18" s="56">
        <f>IF($A18="Sat",(AVERAGE(AH12:AH18)),"")</f>
        <v>10.539152537154807</v>
      </c>
      <c r="AJ18" s="64">
        <f>IF($A18="Sat",COUNT(AH12:AH18),"")</f>
        <v>7</v>
      </c>
      <c r="AK18" s="262" t="str">
        <f t="array" ref="AK18">_xlfn.IFNA(INDEX('DMR 001C NEW'!$A$3:$O$999,MATCH(('001-C DMR'!$AB$6:$AJ$6&amp;'001-C DMR'!AK$10&amp;'001-C DMR'!$B18),('DMR 001C NEW'!$E$3:$E$1112&amp;'DMR 001C NEW'!$B$3:$B$1112&amp;'DMR 001C NEW'!$A$3:$A$1112),0),MATCH('001-C DMR'!$AD$11,'DMR 001C NEW'!$A$2:$O$2,0)),"")</f>
        <v/>
      </c>
      <c r="AL18" s="262" t="str">
        <f t="array" ref="AL18">_xlfn.IFNA(INDEX('DMR 001C NEW'!$A$3:$O$999,MATCH(('001-C DMR'!$AB$6:$AJ$6&amp;'001-C DMR'!AL$10&amp;'001-C DMR'!$B18),('DMR 001C NEW'!$E$3:$E$1112&amp;'DMR 001C NEW'!$B$3:$B$1112&amp;'DMR 001C NEW'!$A$3:$A$1112),0),MATCH('001-C DMR'!$AD$11,'DMR 001C NEW'!$A$2:$O$2,0)),"")</f>
        <v/>
      </c>
      <c r="AM18" s="262" t="str">
        <f t="array" ref="AM18">_xlfn.IFNA(INDEX('DMR 001C NEW'!$A$3:$O$999,MATCH(('001-C DMR'!$AB$6:$AJ$6&amp;'001-C DMR'!AM$10&amp;'001-C DMR'!$B18),('DMR 001C NEW'!$E$3:$E$1112&amp;'DMR 001C NEW'!$B$3:$B$1112&amp;'DMR 001C NEW'!$A$3:$A$1112),0),MATCH('001-C DMR'!$AD$11,'DMR 001C NEW'!$A$2:$O$2,0)),"")</f>
        <v/>
      </c>
      <c r="AN18" s="262" t="str">
        <f t="array" ref="AN18">_xlfn.IFNA(INDEX('DMR 001C NEW'!$A$3:$O$999,MATCH(('001-C DMR'!$AB$6:$AJ$6&amp;'001-C DMR'!AN$10&amp;'001-C DMR'!$B18),('DMR 001C NEW'!$E$3:$E$1112&amp;'DMR 001C NEW'!$B$3:$B$1112&amp;'DMR 001C NEW'!$A$3:$A$1112),0),MATCH('001-C DMR'!$AD$11,'DMR 001C NEW'!$A$2:$O$2,0)),"")</f>
        <v/>
      </c>
      <c r="AO18" s="262" t="str">
        <f t="array" ref="AO18">_xlfn.IFNA(INDEX('DMR 001C NEW'!$A$3:$O$999,MATCH(('001-C DMR'!$AB$6:$AJ$6&amp;'001-C DMR'!AO$10&amp;'001-C DMR'!$B18),('DMR 001C NEW'!$E$3:$E$1112&amp;'DMR 001C NEW'!$B$3:$B$1112&amp;'DMR 001C NEW'!$A$3:$A$1112),0),MATCH('001-C DMR'!$AD$11,'DMR 001C NEW'!$A$2:$O$2,0)),"")</f>
        <v/>
      </c>
      <c r="AP18" s="262" t="str">
        <f t="array" ref="AP18">_xlfn.IFNA(INDEX('DMR 001C NEW'!$A$3:$O$999,MATCH(('001-C DMR'!$AB$6:$AJ$6&amp;'001-C DMR'!AP$10&amp;'001-C DMR'!$B18),('DMR 001C NEW'!$E$3:$E$1112&amp;'DMR 001C NEW'!$B$3:$B$1112&amp;'DMR 001C NEW'!$A$3:$A$1112),0),MATCH('001-C DMR'!$AD$11,'DMR 001C NEW'!$A$2:$O$2,0)),"")</f>
        <v/>
      </c>
      <c r="AQ18" s="61" t="str">
        <f t="array" ref="AQ18">IF(AS18&lt;AR18,"&lt;","")</f>
        <v/>
      </c>
      <c r="AR18" s="58" t="str">
        <f t="array" ref="AR18">_xlfn.IFNA((INDEX('DMR 001C NEW'!$A$3:$O$9999,MATCH(('001-C DMR'!$AQ$6:$AZ$6&amp;'001-C DMR'!$AQ$10:$AS$10&amp;'001-C DMR'!$B18),('DMR 001C NEW'!$E$3:$E$7246&amp;'DMR 001C NEW'!$B$3:$B$7246&amp;'DMR 001C NEW'!$A$3:$A$7246),0),MATCH('001-C DMR'!$AR$11,'DMR 001C NEW'!$A$2:$O$2,0))),"")</f>
        <v/>
      </c>
      <c r="AS18" s="58" t="str">
        <f t="array" ref="AS18">_xlfn.IFNA(INDEX('DMR 001C NEW'!$A$3:$O$9999,MATCH(('001-C DMR'!$AQ$6:$AZ$6&amp;'001-C DMR'!$AQ$10:$AS$10&amp;'001-C DMR'!$B18),('DMR 001C NEW'!$E$3:$E$7246&amp;'DMR 001C NEW'!$B$3:$B$7246&amp;'DMR 001C NEW'!$A$3:$A$7246),0),MATCH('001-C DMR'!$AS$11,'DMR 001C NEW'!$A$2:$O$2,0)),"")</f>
        <v/>
      </c>
      <c r="AT18" s="58" t="str">
        <f t="shared" si="27"/>
        <v/>
      </c>
      <c r="AU18" s="57" t="str">
        <f t="array" ref="AU18">IF(AW18&lt;AV18,"&lt;","")</f>
        <v/>
      </c>
      <c r="AV18" s="58" t="str">
        <f t="array" ref="AV18">_xlfn.IFNA((INDEX('DMR 001C NEW'!$A$3:$O$9999,MATCH(('001-C DMR'!$AQ$6:$AZ$6&amp;'001-C DMR'!$AU$10&amp;'001-C DMR'!$B18),('DMR 001C NEW'!$E$3:$E$7246&amp;'DMR 001C NEW'!$B$3:$B$7246&amp;'DMR 001C NEW'!$A$3:$A$7246),0),MATCH('001-C DMR'!$AR$11,'DMR 001C NEW'!$A$2:$O$2,0))),"")</f>
        <v/>
      </c>
      <c r="AW18" s="58" t="str">
        <f t="array" ref="AW18">_xlfn.IFNA(INDEX('DMR 001C NEW'!$A$3:$O$9999,MATCH(('001-C DMR'!$AQ$6:$AZ$6&amp;'001-C DMR'!$AU$10&amp;'001-C DMR'!$B18),('DMR 001C NEW'!$E$3:$E$7246&amp;'DMR 001C NEW'!$B$3:$B$7246&amp;'DMR 001C NEW'!$A$3:$A$7246),0),MATCH('001-C DMR'!$AW$11,'DMR 001C NEW'!$A$2:$O$2,0)),"")</f>
        <v/>
      </c>
      <c r="AX18" s="58" t="str">
        <f t="shared" si="6"/>
        <v/>
      </c>
      <c r="AY18" s="56" t="str">
        <f t="array" ref="AY18">IFERROR((($AT18*$EI18)+($AX18*$EJ18))/($EK18),"")</f>
        <v/>
      </c>
      <c r="AZ18" s="64">
        <f t="shared" si="31"/>
        <v>3</v>
      </c>
      <c r="BA18" s="279" t="str">
        <f t="array" ref="BA18">_xlfn.IFNA(INDEX('DMR 001C NEW'!$A$3:$O$9999,MATCH(('001-C DMR'!$AQ$6:$AZ$6&amp;'001-C DMR'!BA$10&amp;'001-C DMR'!$B18),('DMR 001C NEW'!$E$3:$E$1112&amp;'DMR 001C NEW'!$B$3:$B$1112&amp;'DMR 001C NEW'!$A$3:$A$1112),0),MATCH('001-C DMR'!$BA$11,'DMR 001C NEW'!$A$2:$O$2,0)),"")</f>
        <v/>
      </c>
      <c r="BB18" s="280" t="str">
        <f t="array" ref="BB18">_xlfn.IFNA(INDEX('DMR 001C NEW'!$A$3:$O$9999,MATCH(('001-C DMR'!$AQ$6:$AZ$6&amp;'001-C DMR'!BB$10&amp;'001-C DMR'!$B18),('DMR 001C NEW'!$E$3:$E$1112&amp;'DMR 001C NEW'!$B$3:$B$1112&amp;'DMR 001C NEW'!$A$3:$A$1112),0),MATCH('001-C DMR'!$BA$11,'DMR 001C NEW'!$A$2:$O$2,0)),"")</f>
        <v/>
      </c>
      <c r="BC18" s="280" t="str">
        <f t="array" ref="BC18">_xlfn.IFNA(INDEX('DMR 001C NEW'!$A$3:$O$9999,MATCH(('001-C DMR'!$AQ$6:$AZ$6&amp;'001-C DMR'!BC$10&amp;'001-C DMR'!$B18),('DMR 001C NEW'!$E$3:$E$1112&amp;'DMR 001C NEW'!$B$3:$B$1112&amp;'DMR 001C NEW'!$A$3:$A$1112),0),MATCH('001-C DMR'!$BA$11,'DMR 001C NEW'!$A$2:$O$2,0)),"")</f>
        <v/>
      </c>
      <c r="BD18" s="280" t="str">
        <f t="array" ref="BD18">_xlfn.IFNA(INDEX('DMR 001C NEW'!$A$3:$O$9999,MATCH(('001-C DMR'!$AQ$6:$AZ$6&amp;'001-C DMR'!BD$10&amp;'001-C DMR'!$B18),('DMR 001C NEW'!$E$3:$E$1112&amp;'DMR 001C NEW'!$B$3:$B$1112&amp;'DMR 001C NEW'!$A$3:$A$1112),0),MATCH('001-C DMR'!$BA$11,'DMR 001C NEW'!$A$2:$O$2,0)),"")</f>
        <v/>
      </c>
      <c r="BE18" s="280" t="str">
        <f t="array" ref="BE18">_xlfn.IFNA(INDEX('DMR 001C NEW'!$A$3:$O$9999,MATCH(('001-C DMR'!$AQ$6:$AZ$6&amp;'001-C DMR'!BE$10&amp;'001-C DMR'!$B18),('DMR 001C NEW'!$E$3:$E$1112&amp;'DMR 001C NEW'!$B$3:$B$1112&amp;'DMR 001C NEW'!$A$3:$A$1112),0),MATCH('001-C DMR'!$BA$11,'DMR 001C NEW'!$A$2:$O$2,0)),"")</f>
        <v/>
      </c>
      <c r="BF18" s="281" t="str">
        <f t="array" ref="BF18">_xlfn.IFNA(INDEX('DMR 001C NEW'!$A$3:$O$9999,MATCH(('001-C DMR'!$AQ$6:$AZ$6&amp;'001-C DMR'!BF$10&amp;'001-C DMR'!$B18),('DMR 001C NEW'!$E$3:$E$1112&amp;'DMR 001C NEW'!$B$3:$B$1112&amp;'DMR 001C NEW'!$A$3:$A$1112),0),MATCH('001-C DMR'!$BA$11,'DMR 001C NEW'!$A$2:$O$2,0)),"")</f>
        <v/>
      </c>
      <c r="BG18" s="57"/>
      <c r="BH18" s="58" t="str">
        <f t="array" ref="BH18">_xlfn.IFNA((INDEX('DMR 001C NEW'!$A$3:$O$9999,MATCH(('001-C DMR'!$BG$6&amp;'001-C DMR'!$BG$10&amp;'001-C DMR'!$B18),('DMR 001C NEW'!$E$3:$E$7246&amp;'DMR 001C NEW'!$B$3:$B$7246&amp;'DMR 001C NEW'!$A$3:$A$7246),0),MATCH('001-C DMR'!$BH$11,'DMR 001C NEW'!$A$2:$O$2,0))),"")</f>
        <v/>
      </c>
      <c r="BI18" s="58" t="str">
        <f t="array" ref="BI18">_xlfn.IFNA(INDEX('DMR 001C NEW'!$A$3:$O$9999,MATCH(('001-C DMR'!$BG$6&amp;'001-C DMR'!$BG$10&amp;'001-C DMR'!$B18),('DMR 001C NEW'!$E$3:$E$7246&amp;'DMR 001C NEW'!$B$3:$B$7246&amp;'DMR 001C NEW'!$A$3:$A$7246),0),MATCH('001-C DMR'!$BI$11,'DMR 001C NEW'!$A$2:$O$2,0)),"")</f>
        <v/>
      </c>
      <c r="BJ18" s="58" t="str">
        <f t="shared" si="7"/>
        <v/>
      </c>
      <c r="BK18" s="57" t="str">
        <f t="shared" si="8"/>
        <v/>
      </c>
      <c r="BL18" s="58" t="str">
        <f t="array" ref="BL18">_xlfn.IFNA((INDEX('DMR 001C NEW'!$A$3:$O$9999,MATCH(('001-C DMR'!$BG$6&amp;'001-C DMR'!$BK$10&amp;'001-C DMR'!$B18),('DMR 001C NEW'!$E$3:$E$7246&amp;'DMR 001C NEW'!$B$3:$B$7246&amp;'DMR 001C NEW'!$A$3:$A$7246),0),MATCH('001-C DMR'!$BH$11,'DMR 001C NEW'!$A$2:$O$2,0))),"")</f>
        <v/>
      </c>
      <c r="BM18" s="58" t="str">
        <f t="array" ref="BM18">_xlfn.IFNA(INDEX('DMR 001C NEW'!$A$3:$O$9999,MATCH(('001-C DMR'!$BG$6&amp;'001-C DMR'!$BK$10&amp;'001-C DMR'!$B18),('DMR 001C NEW'!$E$3:$E$7246&amp;'DMR 001C NEW'!$B$3:$B$7246&amp;'DMR 001C NEW'!$A$3:$A$7246),0),MATCH('001-C DMR'!$BI$11,'DMR 001C NEW'!$A$2:$O$2,0)),"")</f>
        <v/>
      </c>
      <c r="BN18" s="58" t="str">
        <f t="shared" si="9"/>
        <v/>
      </c>
      <c r="BO18" s="56" t="str">
        <f t="array" ref="BO18">IFERROR((($BJ18*$EI18)+($BN18*$EJ18))/($EK18),"")</f>
        <v/>
      </c>
      <c r="BP18" s="64">
        <f t="shared" si="32"/>
        <v>3</v>
      </c>
      <c r="BQ18" s="280" t="str">
        <f t="array" ref="BQ18">_xlfn.IFNA(INDEX('DMR 001C NEW'!$A$3:$O$999,MATCH(('001-C DMR'!$BG$6&amp;'001-C DMR'!BQ$10&amp;'001-C DMR'!$B18),('DMR 001C NEW'!$E$3:$E$1112&amp;'DMR 001C NEW'!$B$3:$B$1112&amp;'DMR 001C NEW'!$A$3:$A$1112),0),MATCH('001-C DMR'!$BQ$11,'DMR 001C NEW'!$A$2:$O$2,0)),"")</f>
        <v/>
      </c>
      <c r="BR18" s="280" t="str">
        <f t="array" ref="BR18">_xlfn.IFNA(INDEX('DMR 001C NEW'!$A$3:$O$999,MATCH(('001-C DMR'!$BG$6&amp;'001-C DMR'!BR$10&amp;'001-C DMR'!$B18),('DMR 001C NEW'!$E$3:$E$1112&amp;'DMR 001C NEW'!$B$3:$B$1112&amp;'DMR 001C NEW'!$A$3:$A$1112),0),MATCH('001-C DMR'!$BQ$11,'DMR 001C NEW'!$A$2:$O$2,0)),"")</f>
        <v/>
      </c>
      <c r="BS18" s="280" t="str">
        <f t="array" ref="BS18">_xlfn.IFNA(INDEX('DMR 001C NEW'!$A$3:$O$999,MATCH(('001-C DMR'!$BG$6&amp;'001-C DMR'!BS$10&amp;'001-C DMR'!$B18),('DMR 001C NEW'!$E$3:$E$1112&amp;'DMR 001C NEW'!$B$3:$B$1112&amp;'DMR 001C NEW'!$A$3:$A$1112),0),MATCH('001-C DMR'!$BQ$11,'DMR 001C NEW'!$A$2:$O$2,0)),"")</f>
        <v/>
      </c>
      <c r="BT18" s="280" t="str">
        <f t="array" ref="BT18">_xlfn.IFNA(INDEX('DMR 001C NEW'!$A$3:$O$999,MATCH(('001-C DMR'!$BG$6&amp;'001-C DMR'!BT$10&amp;'001-C DMR'!$B18),('DMR 001C NEW'!$E$3:$E$1112&amp;'DMR 001C NEW'!$B$3:$B$1112&amp;'DMR 001C NEW'!$A$3:$A$1112),0),MATCH('001-C DMR'!$BQ$11,'DMR 001C NEW'!$A$2:$O$2,0)),"")</f>
        <v/>
      </c>
      <c r="BU18" s="280" t="str">
        <f t="array" ref="BU18">_xlfn.IFNA(INDEX('DMR 001C NEW'!$A$3:$O$999,MATCH(('001-C DMR'!$BG$6&amp;'001-C DMR'!BU$10&amp;'001-C DMR'!$B18),('DMR 001C NEW'!$E$3:$E$1112&amp;'DMR 001C NEW'!$B$3:$B$1112&amp;'DMR 001C NEW'!$A$3:$A$1112),0),MATCH('001-C DMR'!$BQ$11,'DMR 001C NEW'!$A$2:$O$2,0)),"")</f>
        <v/>
      </c>
      <c r="BV18" s="280" t="str">
        <f t="array" ref="BV18">_xlfn.IFNA(INDEX('DMR 001C NEW'!$A$3:$O$999,MATCH(('001-C DMR'!$BG$6&amp;'001-C DMR'!BV$10&amp;'001-C DMR'!$B18),('DMR 001C NEW'!$E$3:$E$1112&amp;'DMR 001C NEW'!$B$3:$B$1112&amp;'DMR 001C NEW'!$A$3:$A$1112),0),MATCH('001-C DMR'!$BQ$11,'DMR 001C NEW'!$A$2:$O$2,0)),"")</f>
        <v/>
      </c>
      <c r="BW18" s="65"/>
      <c r="BX18" s="65"/>
      <c r="BY18" s="57" t="str">
        <f t="shared" si="10"/>
        <v/>
      </c>
      <c r="BZ18" s="58" t="str">
        <f t="array" ref="BZ18">_xlfn.IFNA((INDEX('DMR 001C NEW'!$A$3:$O$9999,MATCH(('001-C DMR'!$BY$6&amp;'001-C DMR'!$BY$10&amp;'001-C DMR'!$B18),('DMR 001C NEW'!$E$3:$E$7246&amp;'DMR 001C NEW'!$B$3:$B$7246&amp;'DMR 001C NEW'!$A$3:$A$7246),0),MATCH('001-C DMR'!$BZ$11,'DMR 001C NEW'!$A$2:$O$2,0))),"")</f>
        <v/>
      </c>
      <c r="CA18" s="138" t="str">
        <f t="array" ref="CA18">_xlfn.IFNA(INDEX('DMR 001C NEW'!$A$3:$O$9999,MATCH(('001-C DMR'!$BY$6&amp;'001-C DMR'!$BY$10&amp;'001-C DMR'!$B18),('DMR 001C NEW'!$E$3:$E$7246&amp;'DMR 001C NEW'!$B$3:$B$7246&amp;'DMR 001C NEW'!$A$3:$A$7246),0),MATCH('001-C DMR'!$CA$11,'DMR 001C NEW'!$A$2:$O$2,0)),"")</f>
        <v/>
      </c>
      <c r="CB18" s="57" t="str">
        <f t="shared" si="11"/>
        <v/>
      </c>
      <c r="CC18" s="58" t="str">
        <f t="array" ref="CC18">_xlfn.IFNA((INDEX('DMR 001C NEW'!$A$3:$O$9999,MATCH(('001-C DMR'!$BY$6&amp;'001-C DMR'!$CB$10&amp;'001-C DMR'!$B18),('DMR 001C NEW'!$E$3:$E$7246&amp;'DMR 001C NEW'!$B$3:$B$7246&amp;'DMR 001C NEW'!$A$3:$A$7246),0),MATCH('001-C DMR'!$BZ$11,'DMR 001C NEW'!$A$2:$O$2,0))),"")</f>
        <v/>
      </c>
      <c r="CD18" s="138" t="str">
        <f t="array" ref="CD18">_xlfn.IFNA(INDEX('DMR 001C NEW'!$A$3:$O$9999,MATCH(('001-C DMR'!$BY$6&amp;'001-C DMR'!$CB$10&amp;'001-C DMR'!$B18),('DMR 001C NEW'!$E$3:$E$7246&amp;'DMR 001C NEW'!$B$3:$B$7246&amp;'DMR 001C NEW'!$A$3:$A$7246),0),MATCH('001-C DMR'!$CA$11,'DMR 001C NEW'!$A$2:$O$2,0)),"")</f>
        <v/>
      </c>
      <c r="CE18" s="138" t="str">
        <f t="array" ref="CE18">IFERROR((($CA18*$EI18)+($CD18*$EJ18))/($EK18),"")</f>
        <v/>
      </c>
      <c r="CF18" s="64">
        <f t="shared" si="33"/>
        <v>1</v>
      </c>
      <c r="CG18" s="280" t="str">
        <f t="array" ref="CG18">_xlfn.IFNA(INDEX('DMR 001C NEW'!$A$3:$O$999,MATCH(('001-C DMR'!$BY$6&amp;'001-C DMR'!CG$10&amp;'001-C DMR'!$B18),('DMR 001C NEW'!$E$3:$E$1112&amp;'DMR 001C NEW'!$B$3:$B$1112&amp;'DMR 001C NEW'!$A$3:$A$1112),0),MATCH('001-C DMR'!$CA$11,'DMR 001C NEW'!$A$2:$O$2,0)),"")</f>
        <v/>
      </c>
      <c r="CH18" s="280" t="str">
        <f t="array" ref="CH18">_xlfn.IFNA(INDEX('DMR 001C NEW'!$A$3:$O$999,MATCH(('001-C DMR'!$BY$6&amp;'001-C DMR'!CH$10&amp;'001-C DMR'!$B18),('DMR 001C NEW'!$E$3:$E$1112&amp;'DMR 001C NEW'!$B$3:$B$1112&amp;'DMR 001C NEW'!$A$3:$A$1112),0),MATCH('001-C DMR'!$CA$11,'DMR 001C NEW'!$A$2:$O$2,0)),"")</f>
        <v/>
      </c>
      <c r="CI18" s="280" t="str">
        <f t="array" ref="CI18">_xlfn.IFNA(INDEX('DMR 001C NEW'!$A$3:$O$999,MATCH(('001-C DMR'!$BY$6&amp;'001-C DMR'!CI$10&amp;'001-C DMR'!$B18),('DMR 001C NEW'!$E$3:$E$1112&amp;'DMR 001C NEW'!$B$3:$B$1112&amp;'DMR 001C NEW'!$A$3:$A$1112),0),MATCH('001-C DMR'!$CA$11,'DMR 001C NEW'!$A$2:$O$2,0)),"")</f>
        <v/>
      </c>
      <c r="CJ18" s="280" t="str">
        <f t="array" ref="CJ18">_xlfn.IFNA(INDEX('DMR 001C NEW'!$A$3:$O$999,MATCH(('001-C DMR'!$BY$6&amp;'001-C DMR'!CJ$10&amp;'001-C DMR'!$B18),('DMR 001C NEW'!$E$3:$E$1112&amp;'DMR 001C NEW'!$B$3:$B$1112&amp;'DMR 001C NEW'!$A$3:$A$1112),0),MATCH('001-C DMR'!$CA$11,'DMR 001C NEW'!$A$2:$O$2,0)),"")</f>
        <v/>
      </c>
      <c r="CK18" s="280" t="str">
        <f t="array" ref="CK18">_xlfn.IFNA(INDEX('DMR 001C NEW'!$A$3:$O$999,MATCH(('001-C DMR'!$BY$6&amp;'001-C DMR'!CK$10&amp;'001-C DMR'!$B18),('DMR 001C NEW'!$E$3:$E$1112&amp;'DMR 001C NEW'!$B$3:$B$1112&amp;'DMR 001C NEW'!$A$3:$A$1112),0),MATCH('001-C DMR'!$CA$11,'DMR 001C NEW'!$A$2:$O$2,0)),"")</f>
        <v/>
      </c>
      <c r="CL18" s="280" t="str">
        <f t="array" ref="CL18">_xlfn.IFNA(INDEX('DMR 001C NEW'!$A$3:$O$999,MATCH(('001-C DMR'!$BY$6&amp;'001-C DMR'!CL$10&amp;'001-C DMR'!$B18),('DMR 001C NEW'!$E$3:$E$1112&amp;'DMR 001C NEW'!$B$3:$B$1112&amp;'DMR 001C NEW'!$A$3:$A$1112),0),MATCH('001-C DMR'!$CA$11,'DMR 001C NEW'!$A$2:$O$2,0)),"")</f>
        <v/>
      </c>
      <c r="CM18" s="61" t="str">
        <f t="shared" si="12"/>
        <v/>
      </c>
      <c r="CN18" s="138" t="str">
        <f t="array" ref="CN18">_xlfn.IFNA((INDEX('DMR 001C NEW'!$A$3:$O$9999,MATCH(('001-C DMR'!$CM$6&amp;'001-C DMR'!$CM$10&amp;'001-C DMR'!$B18),('DMR 001C NEW'!$E$3:$E$9018&amp;'DMR 001C NEW'!$B$3:$B$9018&amp;'DMR 001C NEW'!$A$3:$A$9018),0),MATCH('001-C DMR'!$CN$11,'DMR 001C NEW'!$A$2:$O$2,0))*1000),"")</f>
        <v/>
      </c>
      <c r="CO18" s="138" t="str">
        <f t="array" ref="CO18">_xlfn.IFNA(INDEX('DMR 001C NEW'!$A$3:$O$9999,MATCH(('001-C DMR'!$CM$6&amp;'001-C DMR'!$CM$10&amp;'001-C DMR'!$B18),('DMR 001C NEW'!$E$3:$E$9018&amp;'DMR 001C NEW'!$B$3:$B$9018&amp;'DMR 001C NEW'!$A$3:$A$9018),0),MATCH('001-C DMR'!$CO$11,'DMR 001C NEW'!$A$2:$O$2,0))*1000,"")</f>
        <v/>
      </c>
      <c r="CP18" s="138" t="str">
        <f t="shared" si="13"/>
        <v/>
      </c>
      <c r="CQ18" s="64">
        <f t="shared" si="34"/>
        <v>1</v>
      </c>
      <c r="CR18" s="280" t="str">
        <f t="array" ref="CR18">_xlfn.IFNA(INDEX('DMR 001C NEW'!$A$3:$O$999,MATCH(('001-C DMR'!$CM$6&amp;'001-C DMR'!CR$10&amp;'001-C DMR'!$B18),('DMR 001C NEW'!$E$3:$E$1112&amp;'DMR 001C NEW'!$B$3:$B$1112&amp;'DMR 001C NEW'!$A$3:$A$1112),0),MATCH('001-C DMR'!$CO$11,'DMR 001C NEW'!$A$2:$O$2,0)),"")</f>
        <v/>
      </c>
      <c r="CS18" s="280" t="str">
        <f t="array" ref="CS18">_xlfn.IFNA(INDEX('DMR 001C NEW'!$A$3:$O$999,MATCH(('001-C DMR'!$CM$6&amp;'001-C DMR'!CS$10&amp;'001-C DMR'!$B18),('DMR 001C NEW'!$E$3:$E$1112&amp;'DMR 001C NEW'!$B$3:$B$1112&amp;'DMR 001C NEW'!$A$3:$A$1112),0),MATCH('001-C DMR'!$CO$11,'DMR 001C NEW'!$A$2:$O$2,0)),"")</f>
        <v/>
      </c>
      <c r="CT18" s="280" t="str">
        <f t="array" ref="CT18">_xlfn.IFNA(INDEX('DMR 001C NEW'!$A$3:$O$999,MATCH(('001-C DMR'!$CM$6&amp;'001-C DMR'!CT$10&amp;'001-C DMR'!$B18),('DMR 001C NEW'!$E$3:$E$1112&amp;'DMR 001C NEW'!$B$3:$B$1112&amp;'DMR 001C NEW'!$A$3:$A$1112),0),MATCH('001-C DMR'!$CO$11,'DMR 001C NEW'!$A$2:$O$2,0)),"")</f>
        <v/>
      </c>
      <c r="CU18" s="280" t="str">
        <f t="array" ref="CU18">_xlfn.IFNA(INDEX('DMR 001C NEW'!$A$3:$O$999,MATCH(('001-C DMR'!$CM$6&amp;'001-C DMR'!CU$10&amp;'001-C DMR'!$B18),('DMR 001C NEW'!$E$3:$E$1112&amp;'DMR 001C NEW'!$B$3:$B$1112&amp;'DMR 001C NEW'!$A$3:$A$1112),0),MATCH('001-C DMR'!$CO$11,'DMR 001C NEW'!$A$2:$O$2,0)),"")</f>
        <v/>
      </c>
      <c r="CV18" s="280" t="str">
        <f t="array" ref="CV18">_xlfn.IFNA(INDEX('DMR 001C NEW'!$A$3:$O$999,MATCH(('001-C DMR'!$CM$6&amp;'001-C DMR'!CV$10&amp;'001-C DMR'!$B18),('DMR 001C NEW'!$E$3:$E$1112&amp;'DMR 001C NEW'!$B$3:$B$1112&amp;'DMR 001C NEW'!$A$3:$A$1112),0),MATCH('001-C DMR'!$CO$11,'DMR 001C NEW'!$A$2:$O$2,0)),"")</f>
        <v/>
      </c>
      <c r="CW18" s="280" t="str">
        <f t="array" ref="CW18">_xlfn.IFNA(INDEX('DMR 001C NEW'!$A$3:$O$999,MATCH(('001-C DMR'!$CM$6&amp;'001-C DMR'!CW$10&amp;'001-C DMR'!$B18),('DMR 001C NEW'!$E$3:$E$1112&amp;'DMR 001C NEW'!$B$3:$B$1112&amp;'DMR 001C NEW'!$A$3:$A$1112),0),MATCH('001-C DMR'!$CO$11,'DMR 001C NEW'!$A$2:$O$2,0)),"")</f>
        <v/>
      </c>
      <c r="CX18" s="280" t="str">
        <f t="array" ref="CX18">_xlfn.IFNA(INDEX('DMR 001C NEW'!$A$3:$O$999,MATCH(('001-C DMR'!$CM$6&amp;'001-C DMR'!CX$10&amp;'001-C DMR'!$B18),('DMR 001C NEW'!$E$3:$E$1112&amp;'DMR 001C NEW'!$B$3:$B$1112&amp;'DMR 001C NEW'!$A$3:$A$1112),0),MATCH('001-C DMR'!$CO$11,'DMR 001C NEW'!$A$2:$O$2,0)),"")</f>
        <v/>
      </c>
      <c r="CY18" s="61" t="str">
        <f t="shared" si="14"/>
        <v/>
      </c>
      <c r="CZ18" s="138" t="str">
        <f t="array" ref="CZ18">_xlfn.IFNA((INDEX('DMR 001C NEW'!$A$3:$O$9999,MATCH(('001-C DMR'!$CY$6&amp;'001-C DMR'!$CY$10&amp;'001-C DMR'!$B18),('DMR 001C NEW'!$E$3:$E$9018&amp;'DMR 001C NEW'!$B$3:$B$9018&amp;'DMR 001C NEW'!$A$3:$A$9018),0),MATCH('001-C DMR'!$CZ$11,'DMR 001C NEW'!$A$2:$O$2,0))*1000),"")</f>
        <v/>
      </c>
      <c r="DA18" s="138" t="str">
        <f t="array" ref="DA18">_xlfn.IFNA(INDEX('DMR 001C NEW'!$A$3:$O$9999,MATCH(('001-C DMR'!$CY$6&amp;'001-C DMR'!$CY$10&amp;'001-C DMR'!$B18),('DMR 001C NEW'!$E$3:$E$9018&amp;'DMR 001C NEW'!$B$3:$B$9018&amp;'DMR 001C NEW'!$A$3:$A$9018),0),MATCH('001-C DMR'!$DA$11,'DMR 001C NEW'!$A$2:$O$2,0))*1000,"")</f>
        <v/>
      </c>
      <c r="DB18" s="138" t="str">
        <f t="shared" si="15"/>
        <v/>
      </c>
      <c r="DC18" s="64">
        <f t="shared" si="35"/>
        <v>1</v>
      </c>
      <c r="DD18" s="280" t="str">
        <f t="array" ref="DD18">_xlfn.IFNA(INDEX('DMR 001C NEW'!$A$3:$O$999,MATCH(('001-C DMR'!$CY$6&amp;'001-C DMR'!DD$10&amp;'001-C DMR'!$B18),('DMR 001C NEW'!$E$3:$E$1112&amp;'DMR 001C NEW'!$B$3:$B$1112&amp;'DMR 001C NEW'!$A$3:$A$1112),0),MATCH('001-C DMR'!$DA$11,'DMR 001C NEW'!$A$2:$O$2,0)),"")</f>
        <v/>
      </c>
      <c r="DE18" s="280" t="str">
        <f t="array" ref="DE18">_xlfn.IFNA(INDEX('DMR 001C NEW'!$A$3:$O$999,MATCH(('001-C DMR'!$CY$6&amp;'001-C DMR'!DE$10&amp;'001-C DMR'!$B18),('DMR 001C NEW'!$E$3:$E$1112&amp;'DMR 001C NEW'!$B$3:$B$1112&amp;'DMR 001C NEW'!$A$3:$A$1112),0),MATCH('001-C DMR'!$DA$11,'DMR 001C NEW'!$A$2:$O$2,0)),"")</f>
        <v/>
      </c>
      <c r="DF18" s="280" t="str">
        <f t="array" ref="DF18">_xlfn.IFNA(INDEX('DMR 001C NEW'!$A$3:$O$999,MATCH(('001-C DMR'!$CY$6&amp;'001-C DMR'!DF$10&amp;'001-C DMR'!$B18),('DMR 001C NEW'!$E$3:$E$1112&amp;'DMR 001C NEW'!$B$3:$B$1112&amp;'DMR 001C NEW'!$A$3:$A$1112),0),MATCH('001-C DMR'!$DA$11,'DMR 001C NEW'!$A$2:$O$2,0)),"")</f>
        <v/>
      </c>
      <c r="DG18" s="280" t="str">
        <f t="array" ref="DG18">_xlfn.IFNA(INDEX('DMR 001C NEW'!$A$3:$O$999,MATCH(('001-C DMR'!$CY$6&amp;'001-C DMR'!DG$10&amp;'001-C DMR'!$B18),('DMR 001C NEW'!$E$3:$E$1112&amp;'DMR 001C NEW'!$B$3:$B$1112&amp;'DMR 001C NEW'!$A$3:$A$1112),0),MATCH('001-C DMR'!$DA$11,'DMR 001C NEW'!$A$2:$O$2,0)),"")</f>
        <v/>
      </c>
      <c r="DH18" s="280" t="str">
        <f t="array" ref="DH18">_xlfn.IFNA(INDEX('DMR 001C NEW'!$A$3:$O$999,MATCH(('001-C DMR'!$CY$6&amp;'001-C DMR'!DH$10&amp;'001-C DMR'!$B18),('DMR 001C NEW'!$E$3:$E$1112&amp;'DMR 001C NEW'!$B$3:$B$1112&amp;'DMR 001C NEW'!$A$3:$A$1112),0),MATCH('001-C DMR'!$DA$11,'DMR 001C NEW'!$A$2:$O$2,0)),"")</f>
        <v/>
      </c>
      <c r="DI18" s="280" t="str">
        <f t="array" ref="DI18">_xlfn.IFNA(INDEX('DMR 001C NEW'!$A$3:$O$999,MATCH(('001-C DMR'!$CY$6&amp;'001-C DMR'!DI$10&amp;'001-C DMR'!$B18),('DMR 001C NEW'!$E$3:$E$1112&amp;'DMR 001C NEW'!$B$3:$B$1112&amp;'DMR 001C NEW'!$A$3:$A$1112),0),MATCH('001-C DMR'!$DA$11,'DMR 001C NEW'!$A$2:$O$2,0)),"")</f>
        <v/>
      </c>
      <c r="DJ18" s="280" t="str">
        <f t="array" ref="DJ18">_xlfn.IFNA(INDEX('DMR 001C NEW'!$A$3:$O$999,MATCH(('001-C DMR'!$CY$6&amp;'001-C DMR'!DJ$10&amp;'001-C DMR'!$B18),('DMR 001C NEW'!$E$3:$E$1112&amp;'DMR 001C NEW'!$B$3:$B$1112&amp;'DMR 001C NEW'!$A$3:$A$1112),0),MATCH('001-C DMR'!$DA$11,'DMR 001C NEW'!$A$2:$O$2,0)),"")</f>
        <v/>
      </c>
      <c r="DK18" s="61" t="str">
        <f t="shared" si="16"/>
        <v/>
      </c>
      <c r="DL18" s="58" t="str">
        <f t="array" ref="DL18">_xlfn.IFNA((INDEX('DMR 001C NEW'!$A$3:$O$9999,MATCH(('001-C DMR'!$DK$6&amp;'001-C DMR'!$DK$10&amp;'001-C DMR'!$B18),('DMR 001C NEW'!$E$3:$E$9018&amp;'DMR 001C NEW'!$B$3:$B$9018&amp;'DMR 001C NEW'!$A$3:$A$9018),0),MATCH('001-C DMR'!$DL$11,'DMR 001C NEW'!$A$2:$O$2,0))),"")</f>
        <v/>
      </c>
      <c r="DM18" s="58" t="str">
        <f t="array" ref="DM18">_xlfn.IFNA(INDEX('DMR 001C NEW'!$A$3:$O$9999,MATCH(('001-C DMR'!$DK$6&amp;'001-C DMR'!$DK$10&amp;'001-C DMR'!$B18),('DMR 001C NEW'!$E$3:$E$9018&amp;'DMR 001C NEW'!$B$3:$B$9018&amp;'DMR 001C NEW'!$A$3:$A$9018),0),MATCH('001-C DMR'!$DM$11,'DMR 001C NEW'!$A$2:$O$2,0)),"")</f>
        <v/>
      </c>
      <c r="DN18" s="58" t="str">
        <f t="shared" si="17"/>
        <v/>
      </c>
      <c r="DO18" s="223"/>
      <c r="DP18" s="224"/>
      <c r="DQ18" s="64">
        <f t="shared" si="18"/>
        <v>1</v>
      </c>
      <c r="DR18" s="280" t="str">
        <f t="array" ref="DR18">_xlfn.IFNA(INDEX('DMR 001C NEW'!$A$3:$O$999,MATCH(('001-C DMR'!$DK$6&amp;'001-C DMR'!DR$10&amp;'001-C DMR'!$B18),('DMR 001C NEW'!$E$3:$E$1112&amp;'DMR 001C NEW'!$B$3:$B$1112&amp;'DMR 001C NEW'!$A$3:$A$1112),0),MATCH('001-C DMR'!$DR$11,'DMR 001C NEW'!$A$2:$O$2,0)),"")</f>
        <v/>
      </c>
      <c r="DS18" s="280" t="str">
        <f t="array" ref="DS18">_xlfn.IFNA(INDEX('DMR 001C NEW'!$A$3:$O$999,MATCH(('001-C DMR'!$DK$6&amp;'001-C DMR'!DS$10&amp;'001-C DMR'!$B18),('DMR 001C NEW'!$E$3:$E$1112&amp;'DMR 001C NEW'!$B$3:$B$1112&amp;'DMR 001C NEW'!$A$3:$A$1112),0),MATCH('001-C DMR'!$DR$11,'DMR 001C NEW'!$A$2:$O$2,0)),"")</f>
        <v/>
      </c>
      <c r="DT18" s="280" t="str">
        <f t="array" ref="DT18">_xlfn.IFNA(INDEX('DMR 001C NEW'!$A$3:$O$999,MATCH(('001-C DMR'!$DK$6&amp;'001-C DMR'!DT$10&amp;'001-C DMR'!$B18),('DMR 001C NEW'!$E$3:$E$1112&amp;'DMR 001C NEW'!$B$3:$B$1112&amp;'DMR 001C NEW'!$A$3:$A$1112),0),MATCH('001-C DMR'!$DR$11,'DMR 001C NEW'!$A$2:$O$2,0)),"")</f>
        <v/>
      </c>
      <c r="DU18" s="280" t="str">
        <f t="array" ref="DU18">_xlfn.IFNA(INDEX('DMR 001C NEW'!$A$3:$O$999,MATCH(('001-C DMR'!$DK$6&amp;'001-C DMR'!DU$10&amp;'001-C DMR'!$B18),('DMR 001C NEW'!$E$3:$E$1112&amp;'DMR 001C NEW'!$B$3:$B$1112&amp;'DMR 001C NEW'!$A$3:$A$1112),0),MATCH('001-C DMR'!$DR$11,'DMR 001C NEW'!$A$2:$O$2,0)),"")</f>
        <v/>
      </c>
      <c r="DV18" s="280" t="str">
        <f t="array" ref="DV18">_xlfn.IFNA(INDEX('DMR 001C NEW'!$A$3:$O$999,MATCH(('001-C DMR'!$DK$6&amp;'001-C DMR'!DV$10&amp;'001-C DMR'!$B18),('DMR 001C NEW'!$E$3:$E$1112&amp;'DMR 001C NEW'!$B$3:$B$1112&amp;'DMR 001C NEW'!$A$3:$A$1112),0),MATCH('001-C DMR'!$DR$11,'DMR 001C NEW'!$A$2:$O$2,0)),"")</f>
        <v/>
      </c>
      <c r="DW18" s="280" t="str">
        <f t="array" ref="DW18">_xlfn.IFNA(INDEX('DMR 001C NEW'!$A$3:$O$999,MATCH(('001-C DMR'!$DK$6&amp;'001-C DMR'!DW$10&amp;'001-C DMR'!$B18),('DMR 001C NEW'!$E$3:$E$1112&amp;'DMR 001C NEW'!$B$3:$B$1112&amp;'DMR 001C NEW'!$A$3:$A$1112),0),MATCH('001-C DMR'!$DR$11,'DMR 001C NEW'!$A$2:$O$2,0)),"")</f>
        <v/>
      </c>
      <c r="DX18" s="280" t="str">
        <f t="array" ref="DX18">_xlfn.IFNA(INDEX('DMR 001C NEW'!$A$3:$O$999,MATCH(('001-C DMR'!$DK$6&amp;'001-C DMR'!DX$10&amp;'001-C DMR'!$B18),('DMR 001C NEW'!$E$3:$E$1112&amp;'DMR 001C NEW'!$B$3:$B$1112&amp;'DMR 001C NEW'!$A$3:$A$1112),0),MATCH('001-C DMR'!$DR$11,'DMR 001C NEW'!$A$2:$O$2,0)),"")</f>
        <v/>
      </c>
      <c r="DY18" s="61" t="str">
        <f t="shared" si="28"/>
        <v/>
      </c>
      <c r="DZ18" s="249" t="str">
        <f t="array" ref="DZ18">_xlfn.IFNA((INDEX('DMR 001C NEW'!$A$3:$O$9999,MATCH(('001-C DMR'!$DY$6&amp;'001-C DMR'!$DY$10&amp;'001-C DMR'!$B18),('DMR 001C NEW'!$E$3:$E$9018&amp;'DMR 001C NEW'!$B$3:$B$9018&amp;'DMR 001C NEW'!$A$3:$A$9018),0),MATCH('001-C DMR'!$DZ$11,'DMR 001C NEW'!$A$2:$O$2,0))),"")</f>
        <v/>
      </c>
      <c r="EA18" s="249" t="str">
        <f t="array" ref="EA18">_xlfn.IFNA((INDEX('DMR 001C NEW'!$A$3:$O$9999,MATCH(('001-C DMR'!$DY$6&amp;'001-C DMR'!$DY$10&amp;'001-C DMR'!$B18),('DMR 001C NEW'!$E$3:$E$9018&amp;'DMR 001C NEW'!$B$3:$B$9018&amp;'DMR 001C NEW'!$A$3:$A$9018),0),MATCH('001-C DMR'!$EA$11,'DMR 001C NEW'!$A$2:$O$2,0))),"")</f>
        <v/>
      </c>
      <c r="EB18" s="249" t="str">
        <f t="array" ref="EB18">IF(EA18="SCRATCHED","",IF(EA18&lt;DZ18,0,EA18))</f>
        <v/>
      </c>
      <c r="EC18" s="249" t="str">
        <f t="shared" si="29"/>
        <v/>
      </c>
      <c r="ED18" s="249" t="str">
        <f t="array" ref="ED18">_xlfn.IFNA((INDEX('DMR 001C NEW'!$A$3:$O$9999,MATCH(('001-C DMR'!$DY$6&amp;'001-C DMR'!$EC$10&amp;'001-C DMR'!$B18),('DMR 001C NEW'!$E$3:$E$9018&amp;'DMR 001C NEW'!$B$3:$B$9018&amp;'DMR 001C NEW'!$A$3:$A$9018),0),MATCH('001-C DMR'!$DZ$11,'DMR 001C NEW'!$A$2:$O$2,0))),"")</f>
        <v/>
      </c>
      <c r="EE18" s="249" t="str">
        <f t="array" ref="EE18">_xlfn.IFNA((INDEX('DMR 001C NEW'!$A$3:$O$9999,MATCH(('001-C DMR'!$DY$6&amp;'001-C DMR'!$EC$10&amp;'001-C DMR'!$B18),('DMR 001C NEW'!$E$3:$E$9018&amp;'DMR 001C NEW'!$B$3:$B$9018&amp;'DMR 001C NEW'!$A$3:$A$9018),0),MATCH('001-C DMR'!$EE$11,'DMR 001C NEW'!$A$2:$O$2,0))),"")</f>
        <v/>
      </c>
      <c r="EF18" s="249" t="str">
        <f t="array" ref="EF18">IF(EE18="SCRATCHED","",IF(EE18&lt;ED18,0,EE18))</f>
        <v/>
      </c>
      <c r="EG18" s="249"/>
      <c r="EH18" s="195"/>
      <c r="EI18" s="194">
        <f t="array" ref="EI18">_xlfn.IFNA(INDEX('DMR Flows-Effluent'!$A$3:$F$186,MATCH(($EI$10&amp;$B18),('DMR Flows-Effluent'!$B$3:$B$186&amp;'DMR Flows-Effluent'!$A$3:$A$186),0),MATCH($EI$8,'DMR Flows-Effluent'!$A$2:$F$2,0)),"")</f>
        <v>53.453699999999998</v>
      </c>
      <c r="EJ18" s="56">
        <f t="array" ref="EJ18">_xlfn.IFNA(INDEX('DMR Flows-Effluent'!$A$3:$F$186,MATCH(($EJ$10&amp;$B18),('DMR Flows-Effluent'!$B$3:$B$186&amp;'DMR Flows-Effluent'!$A$3:$A$186),0),MATCH($EI$8,'DMR Flows-Effluent'!$A$2:$F$2,0)),"")</f>
        <v>70.555999999999997</v>
      </c>
      <c r="EK18" s="168">
        <f t="shared" si="19"/>
        <v>124.0097</v>
      </c>
      <c r="EL18" s="63"/>
      <c r="EM18" s="63"/>
      <c r="EN18" s="63"/>
      <c r="EO18" s="63"/>
      <c r="EP18" s="62"/>
      <c r="EQ18" s="157">
        <f>'E.Coli Calculations'!R12</f>
        <v>57.997635497931427</v>
      </c>
      <c r="ER18" s="56">
        <f>'E.Coli Calculations'!S12</f>
        <v>101.5631923531012</v>
      </c>
      <c r="ES18" s="64">
        <f>IF($A18="Sat",COUNT(EQ12:EQ18),"")</f>
        <v>7</v>
      </c>
      <c r="ET18" s="61" t="str">
        <f t="shared" si="20"/>
        <v/>
      </c>
      <c r="EU18" s="58" t="str">
        <f t="array" ref="EU18">_xlfn.IFNA((INDEX('DMR 001C NEW'!$A$3:$O$9999,MATCH(('001-C DMR'!$ET$6&amp;'001-C DMR'!$ET$10&amp;'001-C DMR'!$B18),('DMR 001C NEW'!$E$3:$E$9018&amp;'DMR 001C NEW'!$B$3:$B$9018&amp;'DMR 001C NEW'!$A$3:$A$9018),0),MATCH('001-C DMR'!$EU$11,'DMR 001C NEW'!$A$2:$O$2,0))),"")</f>
        <v/>
      </c>
      <c r="EV18" s="58" t="str">
        <f t="array" ref="EV18">_xlfn.IFNA(INDEX('DMR 001C NEW'!$A$3:$O$9999,MATCH(('001-C DMR'!$ET$6&amp;'001-C DMR'!$ET$10&amp;'001-C DMR'!$B18),('DMR 001C NEW'!$E$3:$E$9018&amp;'DMR 001C NEW'!$B$3:$B$9018&amp;'DMR 001C NEW'!$A$3:$A$9018),0),MATCH('001-C DMR'!$EV$11,'DMR 001C NEW'!$A$2:$O$2,0)),"")</f>
        <v/>
      </c>
      <c r="EW18" s="56" t="str">
        <f t="shared" si="21"/>
        <v/>
      </c>
      <c r="EX18" s="64"/>
      <c r="EY18" s="279" t="str">
        <f t="array" ref="EY18">_xlfn.IFNA(INDEX('DMR 001C NEW'!$A$3:$O$999,MATCH(('001-C DMR'!$ET$6&amp;'001-C DMR'!EY$10&amp;'001-C DMR'!$B18),('DMR 001C NEW'!$E$3:$E$1112&amp;'DMR 001C NEW'!$B$3:$B$1112&amp;'DMR 001C NEW'!$A$3:$A$1112),0),MATCH('001-C DMR'!$EY$11,'DMR 001C NEW'!$A$2:$O$2,0)),"")</f>
        <v/>
      </c>
      <c r="EZ18" s="280" t="str">
        <f t="array" ref="EZ18">_xlfn.IFNA(INDEX('DMR 001C NEW'!$A$3:$O$999,MATCH(('001-C DMR'!$ET$6&amp;'001-C DMR'!EZ$10&amp;'001-C DMR'!$B18),('DMR 001C NEW'!$E$3:$E$1112&amp;'DMR 001C NEW'!$B$3:$B$1112&amp;'DMR 001C NEW'!$A$3:$A$1112),0),MATCH('001-C DMR'!$EY$11,'DMR 001C NEW'!$A$2:$O$2,0)),"")</f>
        <v/>
      </c>
      <c r="FA18" s="280" t="str">
        <f t="array" ref="FA18">_xlfn.IFNA(INDEX('DMR 001C NEW'!$A$3:$O$999,MATCH(('001-C DMR'!$ET$6&amp;'001-C DMR'!FA$10&amp;'001-C DMR'!$B18),('DMR 001C NEW'!$E$3:$E$1112&amp;'DMR 001C NEW'!$B$3:$B$1112&amp;'DMR 001C NEW'!$A$3:$A$1112),0),MATCH('001-C DMR'!$EY$11,'DMR 001C NEW'!$A$2:$O$2,0)),"")</f>
        <v/>
      </c>
      <c r="FB18" s="280" t="str">
        <f t="array" ref="FB18">_xlfn.IFNA(INDEX('DMR 001C NEW'!$A$3:$O$999,MATCH(('001-C DMR'!$ET$6&amp;'001-C DMR'!FB$10&amp;'001-C DMR'!$B18),('DMR 001C NEW'!$E$3:$E$1112&amp;'DMR 001C NEW'!$B$3:$B$1112&amp;'DMR 001C NEW'!$A$3:$A$1112),0),MATCH('001-C DMR'!$EY$11,'DMR 001C NEW'!$A$2:$O$2,0)),"")</f>
        <v/>
      </c>
      <c r="FC18" s="280" t="str">
        <f t="array" ref="FC18">_xlfn.IFNA(INDEX('DMR 001C NEW'!$A$3:$O$999,MATCH(('001-C DMR'!$ET$6&amp;'001-C DMR'!FC$10&amp;'001-C DMR'!$B18),('DMR 001C NEW'!$E$3:$E$1112&amp;'DMR 001C NEW'!$B$3:$B$1112&amp;'DMR 001C NEW'!$A$3:$A$1112),0),MATCH('001-C DMR'!$EY$11,'DMR 001C NEW'!$A$2:$O$2,0)),"")</f>
        <v/>
      </c>
      <c r="FD18" s="280" t="str">
        <f t="array" ref="FD18">_xlfn.IFNA(INDEX('DMR 001C NEW'!$A$3:$O$999,MATCH(('001-C DMR'!$ET$6&amp;'001-C DMR'!FD$10&amp;'001-C DMR'!$B18),('DMR 001C NEW'!$E$3:$E$1112&amp;'DMR 001C NEW'!$B$3:$B$1112&amp;'DMR 001C NEW'!$A$3:$A$1112),0),MATCH('001-C DMR'!$EY$11,'DMR 001C NEW'!$A$2:$O$2,0)),"")</f>
        <v/>
      </c>
      <c r="FE18" s="281" t="str">
        <f t="array" ref="FE18">_xlfn.IFNA(INDEX('DMR 001C NEW'!$A$3:$O$999,MATCH(('001-C DMR'!$ET$6&amp;'001-C DMR'!FE$10&amp;'001-C DMR'!$B18),('DMR 001C NEW'!$E$3:$E$1112&amp;'DMR 001C NEW'!$B$3:$B$1112&amp;'DMR 001C NEW'!$A$3:$A$1112),0),MATCH('001-C DMR'!$EY$11,'DMR 001C NEW'!$A$2:$O$2,0)),"")</f>
        <v/>
      </c>
      <c r="FF18" s="57" t="str">
        <f t="shared" si="22"/>
        <v/>
      </c>
      <c r="FG18" s="56">
        <f t="array" ref="FG18">_xlfn.IFNA(INDEX('DMR 001C NEW'!$A$3:$O$9999,MATCH(('001-C DMR'!$FF$6&amp;'001-C DMR'!$FF$10&amp;'001-C DMR'!$B18),('DMR 001C NEW'!$E$3:$E$7246&amp;'DMR 001C NEW'!$B$3:$B$7246&amp;'DMR 001C NEW'!$A$3:$A$7246),0),MATCH('001-C DMR'!$FG$11,'DMR 001C NEW'!$A$2:$O$2,0)),"")</f>
        <v>0</v>
      </c>
      <c r="FH18" s="56" t="str">
        <f t="array" ref="FH18">_xlfn.IFNA(INDEX('DMR 001C NEW'!$A$3:$O$9999,MATCH(('001-C DMR'!$FF$6&amp;'001-C DMR'!$FF$10&amp;'001-C DMR'!$B18),('DMR 001C NEW'!$E$3:$E$7246&amp;'DMR 001C NEW'!$B$3:$B$7246&amp;'DMR 001C NEW'!$A$3:$A$7246),0),MATCH('001-C DMR'!$FH$11,'DMR 001C NEW'!$A$2:$O$2,0)),"")</f>
        <v>Scratched</v>
      </c>
      <c r="FI18" s="57" t="str">
        <f t="shared" si="23"/>
        <v/>
      </c>
      <c r="FJ18" s="56">
        <f t="array" ref="FJ18">_xlfn.IFNA(INDEX('DMR 001C NEW'!$A$3:$O$9999,MATCH(('001-C DMR'!$FF$6&amp;'001-C DMR'!$FI$10&amp;'001-C DMR'!$B18),('DMR 001C NEW'!$E$3:$E$7246&amp;'DMR 001C NEW'!$B$3:$B$7246&amp;'DMR 001C NEW'!$A$3:$A$7246),0),MATCH('001-C DMR'!$FG$11,'DMR 001C NEW'!$A$2:$O$2,0)),"")</f>
        <v>0</v>
      </c>
      <c r="FK18" s="56" t="str">
        <f t="array" ref="FK18">_xlfn.IFNA(INDEX('DMR 001C NEW'!$A$3:$O$9999,MATCH(('001-C DMR'!$FF$6&amp;'001-C DMR'!$FI$10&amp;'001-C DMR'!$B18),('DMR 001C NEW'!$E$3:$E$7246&amp;'DMR 001C NEW'!$B$3:$B$7246&amp;'DMR 001C NEW'!$A$3:$A$7246),0),MATCH('001-C DMR'!$FH$11,'DMR 001C NEW'!$A$2:$O$2,0)),"")</f>
        <v>Scratched</v>
      </c>
      <c r="FL18" s="56" t="str">
        <f t="array" ref="FL18">IFERROR((($FH18*$EI18)+($FK18*$EJ18))/($EK18),"")</f>
        <v/>
      </c>
      <c r="FM18" s="56">
        <f>IF($A18="Sat",(AVERAGE(FL12:FL18)),"")</f>
        <v>3.7393747967564663</v>
      </c>
      <c r="FN18" s="64">
        <f t="shared" si="37"/>
        <v>6</v>
      </c>
      <c r="FO18" s="66"/>
      <c r="FP18" s="280" t="str">
        <f t="array" ref="FP18">_xlfn.IFNA(INDEX('DMR 001C NEW'!$A$3:$O$999,MATCH(('001-C DMR'!$FF$6&amp;'001-C DMR'!FP$10&amp;'001-C DMR'!$B18),('DMR 001C NEW'!$E$3:$E$1112&amp;'DMR 001C NEW'!$B$3:$B$1112&amp;'DMR 001C NEW'!$A$3:$A$1112),0),MATCH('001-C DMR'!$FH$11,'DMR 001C NEW'!$A$2:$O$2,0)),"")</f>
        <v/>
      </c>
      <c r="FQ18" s="280" t="str">
        <f t="array" ref="FQ18">_xlfn.IFNA(INDEX('DMR 001C NEW'!$A$3:$O$999,MATCH(('001-C DMR'!$FF$6&amp;'001-C DMR'!FQ$10&amp;'001-C DMR'!$B18),('DMR 001C NEW'!$E$3:$E$1112&amp;'DMR 001C NEW'!$B$3:$B$1112&amp;'DMR 001C NEW'!$A$3:$A$1112),0),MATCH('001-C DMR'!$FH$11,'DMR 001C NEW'!$A$2:$O$2,0)),"")</f>
        <v/>
      </c>
      <c r="FR18" s="280" t="str">
        <f t="array" ref="FR18">_xlfn.IFNA(INDEX('DMR 001C NEW'!$A$3:$O$999,MATCH(('001-C DMR'!$FF$6&amp;'001-C DMR'!FR$10&amp;'001-C DMR'!$B18),('DMR 001C NEW'!$E$3:$E$1112&amp;'DMR 001C NEW'!$B$3:$B$1112&amp;'DMR 001C NEW'!$A$3:$A$1112),0),MATCH('001-C DMR'!$FH$11,'DMR 001C NEW'!$A$2:$O$2,0)),"")</f>
        <v/>
      </c>
      <c r="FS18" s="280" t="str">
        <f t="array" ref="FS18">_xlfn.IFNA(INDEX('DMR 001C NEW'!$A$3:$O$999,MATCH(('001-C DMR'!$FF$6&amp;'001-C DMR'!FS$10&amp;'001-C DMR'!$B18),('DMR 001C NEW'!$E$3:$E$1112&amp;'DMR 001C NEW'!$B$3:$B$1112&amp;'DMR 001C NEW'!$A$3:$A$1112),0),MATCH('001-C DMR'!$FH$11,'DMR 001C NEW'!$A$2:$O$2,0)),"")</f>
        <v/>
      </c>
      <c r="FT18" s="280" t="str">
        <f t="array" ref="FT18">_xlfn.IFNA(INDEX('DMR 001C NEW'!$A$3:$O$999,MATCH(('001-C DMR'!$FF$6&amp;'001-C DMR'!FT$10&amp;'001-C DMR'!$B18),('DMR 001C NEW'!$E$3:$E$1112&amp;'DMR 001C NEW'!$B$3:$B$1112&amp;'DMR 001C NEW'!$A$3:$A$1112),0),MATCH('001-C DMR'!$FH$11,'DMR 001C NEW'!$A$2:$O$2,0)),"")</f>
        <v/>
      </c>
      <c r="FU18" s="280" t="str">
        <f t="array" ref="FU18">_xlfn.IFNA(INDEX('DMR 001C NEW'!$A$3:$O$999,MATCH(('001-C DMR'!$FF$6&amp;'001-C DMR'!FU$10&amp;'001-C DMR'!$B18),('DMR 001C NEW'!$E$3:$E$1112&amp;'DMR 001C NEW'!$B$3:$B$1112&amp;'DMR 001C NEW'!$A$3:$A$1112),0),MATCH('001-C DMR'!$FH$11,'DMR 001C NEW'!$A$2:$O$2,0)),"")</f>
        <v/>
      </c>
      <c r="FV18" s="66"/>
      <c r="FW18" s="61" t="str">
        <f t="shared" si="24"/>
        <v/>
      </c>
      <c r="FX18" s="58" t="str">
        <f t="array" ref="FX18">_xlfn.IFNA(INDEX('DMR 001C NEW'!$A$3:$O$9999,MATCH(('001-C DMR'!$FW$6&amp;'001-C DMR'!$FW$10&amp;'001-C DMR'!$B18),('DMR 001C NEW'!$E$3:$E$7246&amp;'DMR 001C NEW'!$B$3:$B$7246&amp;'DMR 001C NEW'!$A$3:$A$7246),0),MATCH('001-C DMR'!$FX$11,'DMR 001C NEW'!$A$2:$O$2,0)),"")</f>
        <v/>
      </c>
      <c r="FY18" s="58" t="str">
        <f t="array" ref="FY18">_xlfn.IFNA(INDEX('DMR 001C NEW'!$A$3:$O$9999,MATCH(('001-C DMR'!$FW$6&amp;'001-C DMR'!$FW$10&amp;'001-C DMR'!$B18),('DMR 001C NEW'!$E$3:$E$7246&amp;'DMR 001C NEW'!$B$3:$B$7246&amp;'DMR 001C NEW'!$A$3:$A$7246),0),MATCH('001-C DMR'!$FY$11,'DMR 001C NEW'!$A$2:$O$2,0)),"")</f>
        <v/>
      </c>
      <c r="FZ18" s="57" t="str">
        <f t="shared" si="25"/>
        <v/>
      </c>
      <c r="GA18" s="58" t="str">
        <f t="array" ref="GA18">_xlfn.IFNA(INDEX('DMR 001C NEW'!$A$3:$O$9999,MATCH(('001-C DMR'!$FW$6&amp;'001-C DMR'!$FZ$10&amp;'001-C DMR'!$B18),('DMR 001C NEW'!$E$3:$E$7246&amp;'DMR 001C NEW'!$B$3:$B$7246&amp;'DMR 001C NEW'!$A$3:$A$7246),0),MATCH('001-C DMR'!$FX$11,'DMR 001C NEW'!$A$2:$O$2,0)),"")</f>
        <v/>
      </c>
      <c r="GB18" s="58" t="str">
        <f t="array" ref="GB18">_xlfn.IFNA(INDEX('DMR 001C NEW'!$A$3:$O$9999,MATCH(('001-C DMR'!$FW$6&amp;'001-C DMR'!$FZ$10&amp;'001-C DMR'!$B18),('DMR 001C NEW'!$E$3:$E$7246&amp;'DMR 001C NEW'!$B$3:$B$7246&amp;'DMR 001C NEW'!$A$3:$A$7246),0),MATCH('001-C DMR'!$GB$11,'DMR 001C NEW'!$A$2:$O$2,0)),"")</f>
        <v/>
      </c>
      <c r="GC18" s="56" t="str">
        <f t="shared" si="4"/>
        <v/>
      </c>
      <c r="GD18" s="64">
        <f t="shared" si="38"/>
        <v>1</v>
      </c>
      <c r="GE18" s="279" t="str">
        <f t="array" ref="GE18">_xlfn.IFNA(INDEX('DMR 001C NEW'!$A$3:$O$999,MATCH(('001-C DMR'!$FW$6&amp;'001-C DMR'!GE$10&amp;'001-C DMR'!$B18),('DMR 001C NEW'!$E$3:$E$1112&amp;'DMR 001C NEW'!$B$3:$B$1112&amp;'DMR 001C NEW'!$A$3:$A$1112),0),MATCH('001-C DMR'!$FY$11,'DMR 001C NEW'!$A$2:$O$2,0)),"")</f>
        <v/>
      </c>
      <c r="GF18" s="280" t="str">
        <f t="array" ref="GF18">_xlfn.IFNA(INDEX('DMR 001C NEW'!$A$3:$O$999,MATCH(('001-C DMR'!$FW$6&amp;'001-C DMR'!GF$10&amp;'001-C DMR'!$B18),('DMR 001C NEW'!$E$3:$E$1112&amp;'DMR 001C NEW'!$B$3:$B$1112&amp;'DMR 001C NEW'!$A$3:$A$1112),0),MATCH('001-C DMR'!$FY$11,'DMR 001C NEW'!$A$2:$O$2,0)),"")</f>
        <v/>
      </c>
      <c r="GG18" s="280" t="str">
        <f t="array" ref="GG18">_xlfn.IFNA(INDEX('DMR 001C NEW'!$A$3:$O$999,MATCH(('001-C DMR'!$FW$6&amp;'001-C DMR'!GG$10&amp;'001-C DMR'!$B18),('DMR 001C NEW'!$E$3:$E$1112&amp;'DMR 001C NEW'!$B$3:$B$1112&amp;'DMR 001C NEW'!$A$3:$A$1112),0),MATCH('001-C DMR'!$FY$11,'DMR 001C NEW'!$A$2:$O$2,0)),"")</f>
        <v/>
      </c>
      <c r="GH18" s="280" t="str">
        <f t="array" ref="GH18">_xlfn.IFNA(INDEX('DMR 001C NEW'!$A$3:$O$999,MATCH(('001-C DMR'!$FW$6&amp;'001-C DMR'!GH$10&amp;'001-C DMR'!$B18),('DMR 001C NEW'!$E$3:$E$1112&amp;'DMR 001C NEW'!$B$3:$B$1112&amp;'DMR 001C NEW'!$A$3:$A$1112),0),MATCH('001-C DMR'!$FY$11,'DMR 001C NEW'!$A$2:$O$2,0)),"")</f>
        <v/>
      </c>
      <c r="GI18" s="280" t="str">
        <f t="array" ref="GI18">_xlfn.IFNA(INDEX('DMR 001C NEW'!$A$3:$O$999,MATCH(('001-C DMR'!$FW$6&amp;'001-C DMR'!GI$10&amp;'001-C DMR'!$B18),('DMR 001C NEW'!$E$3:$E$1112&amp;'DMR 001C NEW'!$B$3:$B$1112&amp;'DMR 001C NEW'!$A$3:$A$1112),0),MATCH('001-C DMR'!$FY$11,'DMR 001C NEW'!$A$2:$O$2,0)),"")</f>
        <v/>
      </c>
      <c r="GJ18" s="281" t="str">
        <f t="array" ref="GJ18">_xlfn.IFNA(INDEX('DMR 001C NEW'!$A$3:$O$999,MATCH(('001-C DMR'!$FW$6&amp;'001-C DMR'!GJ$10&amp;'001-C DMR'!$B18),('DMR 001C NEW'!$E$3:$E$1112&amp;'DMR 001C NEW'!$B$3:$B$1112&amp;'DMR 001C NEW'!$A$3:$A$1112),0),MATCH('001-C DMR'!$FY$11,'DMR 001C NEW'!$A$2:$O$2,0)),"")</f>
        <v/>
      </c>
      <c r="GK18" s="58" t="str">
        <f t="array" ref="GK18">_xlfn.IFNA(INDEX('DMR 001C NEW'!$A$3:$O$9999,MATCH(('001-C DMR'!$GK$6&amp;'001-C DMR'!$GK$10&amp;'001-C DMR'!$B18),('DMR 001C NEW'!$E$3:$E$9018&amp;'DMR 001C NEW'!$B$3:$B$9018&amp;'DMR 001C NEW'!$A$3:$A$9018),0),MATCH('001-C DMR'!$GK$11,'DMR 001C NEW'!$A$2:$O$2,0)),"")</f>
        <v>n</v>
      </c>
      <c r="GL18" s="58" t="str">
        <f t="array" ref="GL18">_xlfn.IFNA(INDEX('DMR 001C NEW'!$A$3:$O$9999,MATCH(('001-C DMR'!$GK$6&amp;'001-C DMR'!$GL$10&amp;'001-C DMR'!$B18),('DMR 001C NEW'!$E$3:$E$9018&amp;'DMR 001C NEW'!$B$3:$B$9018&amp;'DMR 001C NEW'!$A$3:$A$9018),0),MATCH('001-C DMR'!$GK$11,'DMR 001C NEW'!$A$2:$O$2,0)),"")</f>
        <v>n</v>
      </c>
      <c r="GM18" s="134"/>
      <c r="GN18" s="64">
        <f>IF($A18="Sat",COUNTIF(GL12:GL18,"*n"),"")</f>
        <v>7</v>
      </c>
    </row>
    <row r="19" spans="1:282" s="51" customFormat="1" x14ac:dyDescent="0.25">
      <c r="A19" s="67" t="str">
        <f t="shared" si="5"/>
        <v>Sun</v>
      </c>
      <c r="B19" s="216">
        <f t="shared" si="26"/>
        <v>43681</v>
      </c>
      <c r="C19" s="93">
        <f t="array" ref="C19">INDEX('DMR 001C NEW'!$A$3:$N$10020,MATCH(('001-C DMR'!$C$6:$K$6&amp;'001-C DMR'!$C$10:$E$10&amp;'001-C DMR'!$B19),('DMR 001C NEW'!$E$3:$E$7246&amp;'DMR 001C NEW'!$B$3:$B$7246&amp;'DMR 001C NEW'!$A$3:$A$7246),0),MATCH('001-C DMR'!$C$11,'DMR 001C NEW'!$A$2:$O$2,0))</f>
        <v>5.9</v>
      </c>
      <c r="D19" s="56" t="str">
        <f t="array" ref="D19">INDEX('DMR 001C NEW'!$A$3:$N$11771,MATCH(('001-C DMR'!$C$6:$K$6&amp;'001-C DMR'!$C$10:$E$10&amp;'001-C DMR'!$B19),('DMR 001C NEW'!$E$3:$E$9018&amp;'DMR 001C NEW'!$B$3:$B$9018&amp;'DMR 001C NEW'!$A$3:$A$9018),0),MATCH('001-C DMR'!$D$11,'DMR 001C NEW'!$A$2:$O$2,0))</f>
        <v>AE68197</v>
      </c>
      <c r="E19" s="56">
        <f t="array" ref="E19">INDEX('DMR 001C NEW'!$A$3:$N$9999,MATCH(('001-C DMR'!$E$11&amp;'001-C DMR'!$C$10:$E$10&amp;'001-C DMR'!$B19&amp;$D19),('DMR 001C NEW'!$E$3:$E$7246&amp;'DMR 001C NEW'!$B$3:$B$7246&amp;'DMR 001C NEW'!$A$3:$A$7246&amp;'DMR 001C NEW'!$M$3:$M$7188),0),MATCH($C$11,'DMR 001C NEW'!$A$2:$O$2,0))</f>
        <v>35.56</v>
      </c>
      <c r="F19" s="56">
        <f t="array" ref="F19">INDEX('DMR 001C NEW'!$A$3:$N$9999,MATCH('001-C DMR'!$C$6:$K$6&amp;'001-C DMR'!$F$10&amp;'001-C DMR'!$B19,('DMR 001C NEW'!$E$3:$E$7246&amp;'DMR 001C NEW'!$B$3:$B$7246&amp;'DMR 001C NEW'!$A$3:$A$7246),0),MATCH('001-C DMR'!$C$11,'DMR 001C NEW'!$A$2:$O$2,0))</f>
        <v>6.6</v>
      </c>
      <c r="G19" s="56" t="str">
        <f t="array" ref="G19">INDEX('DMR 001C NEW'!$A$3:$N$3865,MATCH(('001-C DMR'!$C$6:$K$6&amp;'001-C DMR'!$F$10&amp;'001-C DMR'!$B19),('DMR 001C NEW'!$E$3:$E$1112&amp;'DMR 001C NEW'!$B$3:$B$1112&amp;'DMR 001C NEW'!$A$3:$A$1112),0),MATCH('001-C DMR'!$D$11,'DMR 001C NEW'!$A$2:$O$2,0))</f>
        <v>AE68198</v>
      </c>
      <c r="H19" s="56">
        <f t="array" ref="H19">INDEX('DMR 001C NEW'!$A$3:$N$9999,MATCH(('001-C DMR'!$E$11&amp;'001-C DMR'!$F$10&amp;'001-C DMR'!$B19&amp;$G19),('DMR 001C NEW'!$E$3:$E$7246&amp;'DMR 001C NEW'!$B$3:$B$7246&amp;'DMR 001C NEW'!$A$3:$A$7246&amp;'DMR 001C NEW'!$M$3:$M$7188),0),MATCH($C$11,'DMR 001C NEW'!$A$2:$O$2,0))</f>
        <v>67.040000000000006</v>
      </c>
      <c r="I19" s="56">
        <f t="shared" si="0"/>
        <v>6.3573879142300189</v>
      </c>
      <c r="J19" s="58" t="str">
        <f t="shared" si="39"/>
        <v/>
      </c>
      <c r="K19" s="64" t="str">
        <f t="shared" si="40"/>
        <v/>
      </c>
      <c r="L19" s="262" t="str">
        <f t="array" ref="L19">_xlfn.IFNA(INDEX('DMR 001C NEW'!$A$3:$N$3865,MATCH(('001-C DMR'!$C$6:$K$6&amp;'001-C DMR'!L$10&amp;'001-C DMR'!$B19),('DMR 001C NEW'!$E$3:$E$1112&amp;'DMR 001C NEW'!$B$3:$B$1112&amp;'DMR 001C NEW'!$A$3:$A$1112),0),MATCH('001-C DMR'!$C$11,'DMR 001C NEW'!$A$2:$O$2,0)),"")</f>
        <v/>
      </c>
      <c r="M19" s="262" t="str">
        <f t="array" ref="M19">_xlfn.IFNA(INDEX('DMR 001C NEW'!$A$3:$N$3865,MATCH(('001-C DMR'!$C$6:$K$6&amp;'001-C DMR'!M$10&amp;'001-C DMR'!$B19),('DMR 001C NEW'!$E$3:$E$1112&amp;'DMR 001C NEW'!$B$3:$B$1112&amp;'DMR 001C NEW'!$A$3:$A$1112),0),MATCH('001-C DMR'!$C$11,'DMR 001C NEW'!$A$2:$O$2,0)),"")</f>
        <v/>
      </c>
      <c r="N19" s="262" t="str">
        <f t="array" ref="N19">_xlfn.IFNA(INDEX('DMR 001C NEW'!$A$3:$N$3865,MATCH(('001-C DMR'!$C$6:$K$6&amp;'001-C DMR'!N$10&amp;'001-C DMR'!$B19),('DMR 001C NEW'!$E$3:$E$1112&amp;'DMR 001C NEW'!$B$3:$B$1112&amp;'DMR 001C NEW'!$A$3:$A$1112),0),MATCH('001-C DMR'!$C$11,'DMR 001C NEW'!$A$2:$O$2,0)),"")</f>
        <v/>
      </c>
      <c r="O19" s="262" t="str">
        <f t="array" ref="O19">_xlfn.IFNA(INDEX('DMR 001C NEW'!$A$3:$N$3865,MATCH(('001-C DMR'!$C$6:$K$6&amp;'001-C DMR'!O$10&amp;'001-C DMR'!$B19),('DMR 001C NEW'!$E$3:$E$1112&amp;'DMR 001C NEW'!$B$3:$B$1112&amp;'DMR 001C NEW'!$A$3:$A$1112),0),MATCH('001-C DMR'!$C$11,'DMR 001C NEW'!$A$2:$O$2,0)),"")</f>
        <v/>
      </c>
      <c r="P19" s="262" t="str">
        <f t="array" ref="P19">_xlfn.IFNA(INDEX('DMR 001C NEW'!$A$3:$N$3865,MATCH(('001-C DMR'!$C$6:$K$6&amp;'001-C DMR'!P$10&amp;'001-C DMR'!$B19),('DMR 001C NEW'!$E$3:$E$1112&amp;'DMR 001C NEW'!$B$3:$B$1112&amp;'DMR 001C NEW'!$A$3:$A$1112),0),MATCH('001-C DMR'!$C$11,'DMR 001C NEW'!$A$2:$O$2,0)),"")</f>
        <v/>
      </c>
      <c r="Q19" s="120" t="e">
        <f t="array" ref="Q19">INDEX('DMR 001C NEW'!$A$3:$N$3865,MATCH(('001-C DMR'!$C$6:$K$6&amp;'001-C DMR'!Q$10&amp;'001-C DMR'!$B19),('DMR 001C NEW'!$E$3:$E$1112&amp;'DMR 001C NEW'!$B$3:$B$1112&amp;'DMR 001C NEW'!$A$3:$A$1112),0),MATCH('001-C DMR'!$C$11,'DMR 001C NEW'!$A$2:$O$2,0))</f>
        <v>#N/A</v>
      </c>
      <c r="R19" s="61"/>
      <c r="S19" s="56">
        <f t="array" ref="S19">_xlfn.IFNA(INDEX('DMR 001C NEW'!$A$3:$N$11771,MATCH(('001-C DMR'!$R$6:$T$6&amp;'001-C DMR'!$R$10&amp;'001-C DMR'!$B19),('DMR 001C NEW'!$E$3:$E$9018&amp;'DMR 001C NEW'!$B$3:$B$9018&amp;'DMR 001C NEW'!$A$3:$A$9018),0),MATCH('001-C DMR'!$S$11,'DMR 001C NEW'!$A$2:$O$2,0)),"")</f>
        <v>7</v>
      </c>
      <c r="T19" s="64" t="str">
        <f t="shared" ref="T19:T46" si="41">IF($A19="Sat",COUNT(S13:S19),"")</f>
        <v/>
      </c>
      <c r="U19" s="262" t="str">
        <f t="array" ref="U19">_xlfn.IFNA(INDEX('DMR 001C NEW'!$A$3:$O$591,MATCH('001-C DMR'!$R$6:$T$6&amp;'001-C DMR'!U$10&amp;'001-C DMR'!$B19,('DMR 001C NEW'!$E$3:$E$704&amp;'DMR 001C NEW'!$B$3:$B$704&amp;'DMR 001C NEW'!$A$3:$A$704),0),MATCH('001-C DMR'!$U$11,'DMR 001C NEW'!$A$2:$O$2,0)),"")</f>
        <v/>
      </c>
      <c r="V19" s="262" t="str">
        <f t="array" ref="V19">_xlfn.IFNA(INDEX('DMR 001C NEW'!$A$3:$O$591,MATCH('001-C DMR'!$R$6:$T$6&amp;'001-C DMR'!V$10&amp;'001-C DMR'!$B19,('DMR 001C NEW'!$E$3:$E$704&amp;'DMR 001C NEW'!$B$3:$B$704&amp;'DMR 001C NEW'!$A$3:$A$704),0),MATCH('001-C DMR'!$U$11,'DMR 001C NEW'!$A$2:$O$2,0)),"")</f>
        <v/>
      </c>
      <c r="W19" s="262" t="str">
        <f t="array" ref="W19">_xlfn.IFNA(INDEX('DMR 001C NEW'!$A$3:$O$591,MATCH('001-C DMR'!$R$6:$T$6&amp;'001-C DMR'!W$10&amp;'001-C DMR'!$B19,('DMR 001C NEW'!$E$3:$E$704&amp;'DMR 001C NEW'!$B$3:$B$704&amp;'DMR 001C NEW'!$A$3:$A$704),0),MATCH('001-C DMR'!$U$11,'DMR 001C NEW'!$A$2:$O$2,0)),"")</f>
        <v/>
      </c>
      <c r="X19" s="262" t="str">
        <f t="array" ref="X19">_xlfn.IFNA(INDEX('DMR 001C NEW'!$A$3:$O$591,MATCH('001-C DMR'!$R$6:$T$6&amp;'001-C DMR'!X$10&amp;'001-C DMR'!$B19,('DMR 001C NEW'!$E$3:$E$704&amp;'DMR 001C NEW'!$B$3:$B$704&amp;'DMR 001C NEW'!$A$3:$A$704),0),MATCH('001-C DMR'!$U$11,'DMR 001C NEW'!$A$2:$O$2,0)),"")</f>
        <v/>
      </c>
      <c r="Y19" s="262" t="str">
        <f t="array" ref="Y19">_xlfn.IFNA(INDEX('DMR 001C NEW'!$A$3:$O$591,MATCH('001-C DMR'!$R$6:$T$6&amp;'001-C DMR'!Y$10&amp;'001-C DMR'!$B19,('DMR 001C NEW'!$E$3:$E$704&amp;'DMR 001C NEW'!$B$3:$B$704&amp;'DMR 001C NEW'!$A$3:$A$704),0),MATCH('001-C DMR'!$U$11,'DMR 001C NEW'!$A$2:$O$2,0)),"")</f>
        <v/>
      </c>
      <c r="Z19" s="262" t="str">
        <f t="array" ref="Z19">_xlfn.IFNA(INDEX('DMR 001C NEW'!$A$3:$O$591,MATCH('001-C DMR'!$R$6:$T$6&amp;'001-C DMR'!Z$10&amp;'001-C DMR'!$B19,('DMR 001C NEW'!$E$3:$E$704&amp;'DMR 001C NEW'!$B$3:$B$704&amp;'DMR 001C NEW'!$A$3:$A$704),0),MATCH('001-C DMR'!$U$11,'DMR 001C NEW'!$A$2:$O$2,0)),"")</f>
        <v/>
      </c>
      <c r="AA19" s="262" t="str">
        <f t="array" ref="AA19">_xlfn.IFNA(INDEX('DMR 001C NEW'!$A$3:$O$591,MATCH('001-C DMR'!$R$6:$T$6&amp;'001-C DMR'!AA$10&amp;'001-C DMR'!$B19,('DMR 001C NEW'!$E$3:$E$704&amp;'DMR 001C NEW'!$B$3:$B$704&amp;'DMR 001C NEW'!$A$3:$A$704),0),MATCH('001-C DMR'!$U$11,'DMR 001C NEW'!$A$2:$O$2,0)),"")</f>
        <v/>
      </c>
      <c r="AB19" s="61" t="str">
        <f t="array" ref="AB19">IF(AD19&lt;AC19,"&lt;","")</f>
        <v/>
      </c>
      <c r="AC19" s="56">
        <f t="array" ref="AC19">_xlfn.IFNA(INDEX('DMR 001C NEW'!$A$3:$O$9999,MATCH(('001-C DMR'!$AB$6:$AJ$6&amp;'001-C DMR'!$AB$10:$AD$10&amp;'001-C DMR'!$B19),('DMR 001C NEW'!$E$3:$E$7246&amp;'DMR 001C NEW'!$B$3:$B$7246&amp;'DMR 001C NEW'!$A$3:$A$7246),0),MATCH('001-C DMR'!$AC$11,'DMR 001C NEW'!$A$2:$O$2,0)),"")</f>
        <v>3</v>
      </c>
      <c r="AD19" s="56">
        <f t="array" ref="AD19">_xlfn.IFNA(INDEX('DMR 001C NEW'!$A$3:$O$9999,MATCH(('001-C DMR'!$AB$6:$AJ$6&amp;'001-C DMR'!$AB$10:$AD$10&amp;'001-C DMR'!$B19),('DMR 001C NEW'!$E$3:$E$7246&amp;'DMR 001C NEW'!$B$3:$B$7246&amp;'DMR 001C NEW'!$A$3:$A$7246),0),MATCH('001-C DMR'!$AD$11,'DMR 001C NEW'!$A$2:$O$2,0)),"")</f>
        <v>13</v>
      </c>
      <c r="AE19" s="57" t="str">
        <f t="array" ref="AE19">IF(AG19&lt;AF19,"&lt;","")</f>
        <v/>
      </c>
      <c r="AF19" s="56">
        <f t="array" ref="AF19">_xlfn.IFNA(INDEX('DMR 001C NEW'!$A$3:$O$9999,MATCH(('001-C DMR'!$AB$6:$AJ$6&amp;'001-C DMR'!$AE$10&amp;'001-C DMR'!$B19),('DMR 001C NEW'!$E$3:$E$9018&amp;'DMR 001C NEW'!$B$3:$B$9018&amp;'DMR 001C NEW'!$A$3:$A$9018),0),MATCH('001-C DMR'!$AF$11,'DMR 001C NEW'!$A$2:$O$2,0)),"")</f>
        <v>3</v>
      </c>
      <c r="AG19" s="56">
        <f t="array" ref="AG19">_xlfn.IFNA(INDEX('DMR 001C NEW'!$A$3:$O$9999,MATCH(('001-C DMR'!$AB$6:$AJ$6&amp;'001-C DMR'!$AE$10&amp;'001-C DMR'!$B19),('DMR 001C NEW'!$E$3:$E$9018&amp;'DMR 001C NEW'!$B$3:$B$9018&amp;'DMR 001C NEW'!$A$3:$A$9018),0),MATCH('001-C DMR'!$AG$11,'DMR 001C NEW'!$A$2:$O$2,0)),"")</f>
        <v>11</v>
      </c>
      <c r="AH19" s="56">
        <f t="array" ref="AH19">IFERROR((($AD19*$EI19)+($AG19*$EJ19))/($EK19),"")</f>
        <v>11.859545676372665</v>
      </c>
      <c r="AI19" s="56" t="str">
        <f t="shared" ref="AI19:AI46" si="42">IF($A19="Sat",(AVERAGE(AH13:AH19)),"")</f>
        <v/>
      </c>
      <c r="AJ19" s="64" t="str">
        <f t="shared" si="30"/>
        <v/>
      </c>
      <c r="AK19" s="262" t="str">
        <f t="array" ref="AK19">_xlfn.IFNA(INDEX('DMR 001C NEW'!$A$3:$O$999,MATCH(('001-C DMR'!$AB$6:$AJ$6&amp;'001-C DMR'!AK$10&amp;'001-C DMR'!$B19),('DMR 001C NEW'!$E$3:$E$1112&amp;'DMR 001C NEW'!$B$3:$B$1112&amp;'DMR 001C NEW'!$A$3:$A$1112),0),MATCH('001-C DMR'!$AD$11,'DMR 001C NEW'!$A$2:$O$2,0)),"")</f>
        <v/>
      </c>
      <c r="AL19" s="262" t="str">
        <f t="array" ref="AL19">_xlfn.IFNA(INDEX('DMR 001C NEW'!$A$3:$O$999,MATCH(('001-C DMR'!$AB$6:$AJ$6&amp;'001-C DMR'!AL$10&amp;'001-C DMR'!$B19),('DMR 001C NEW'!$E$3:$E$1112&amp;'DMR 001C NEW'!$B$3:$B$1112&amp;'DMR 001C NEW'!$A$3:$A$1112),0),MATCH('001-C DMR'!$AD$11,'DMR 001C NEW'!$A$2:$O$2,0)),"")</f>
        <v/>
      </c>
      <c r="AM19" s="262" t="str">
        <f t="array" ref="AM19">_xlfn.IFNA(INDEX('DMR 001C NEW'!$A$3:$O$999,MATCH(('001-C DMR'!$AB$6:$AJ$6&amp;'001-C DMR'!AM$10&amp;'001-C DMR'!$B19),('DMR 001C NEW'!$E$3:$E$1112&amp;'DMR 001C NEW'!$B$3:$B$1112&amp;'DMR 001C NEW'!$A$3:$A$1112),0),MATCH('001-C DMR'!$AD$11,'DMR 001C NEW'!$A$2:$O$2,0)),"")</f>
        <v/>
      </c>
      <c r="AN19" s="262" t="str">
        <f t="array" ref="AN19">_xlfn.IFNA(INDEX('DMR 001C NEW'!$A$3:$O$999,MATCH(('001-C DMR'!$AB$6:$AJ$6&amp;'001-C DMR'!AN$10&amp;'001-C DMR'!$B19),('DMR 001C NEW'!$E$3:$E$1112&amp;'DMR 001C NEW'!$B$3:$B$1112&amp;'DMR 001C NEW'!$A$3:$A$1112),0),MATCH('001-C DMR'!$AD$11,'DMR 001C NEW'!$A$2:$O$2,0)),"")</f>
        <v/>
      </c>
      <c r="AO19" s="262" t="str">
        <f t="array" ref="AO19">_xlfn.IFNA(INDEX('DMR 001C NEW'!$A$3:$O$999,MATCH(('001-C DMR'!$AB$6:$AJ$6&amp;'001-C DMR'!AO$10&amp;'001-C DMR'!$B19),('DMR 001C NEW'!$E$3:$E$1112&amp;'DMR 001C NEW'!$B$3:$B$1112&amp;'DMR 001C NEW'!$A$3:$A$1112),0),MATCH('001-C DMR'!$AD$11,'DMR 001C NEW'!$A$2:$O$2,0)),"")</f>
        <v/>
      </c>
      <c r="AP19" s="262" t="str">
        <f t="array" ref="AP19">_xlfn.IFNA(INDEX('DMR 001C NEW'!$A$3:$O$999,MATCH(('001-C DMR'!$AB$6:$AJ$6&amp;'001-C DMR'!AP$10&amp;'001-C DMR'!$B19),('DMR 001C NEW'!$E$3:$E$1112&amp;'DMR 001C NEW'!$B$3:$B$1112&amp;'DMR 001C NEW'!$A$3:$A$1112),0),MATCH('001-C DMR'!$AD$11,'DMR 001C NEW'!$A$2:$O$2,0)),"")</f>
        <v/>
      </c>
      <c r="AQ19" s="61" t="str">
        <f t="array" ref="AQ19">IF(AS19&lt;AR19,"&lt;","")</f>
        <v/>
      </c>
      <c r="AR19" s="58">
        <f t="array" ref="AR19">_xlfn.IFNA((INDEX('DMR 001C NEW'!$A$3:$O$9999,MATCH(('001-C DMR'!$AQ$6:$AZ$6&amp;'001-C DMR'!$AQ$10:$AS$10&amp;'001-C DMR'!$B19),('DMR 001C NEW'!$E$3:$E$7246&amp;'DMR 001C NEW'!$B$3:$B$7246&amp;'DMR 001C NEW'!$A$3:$A$7246),0),MATCH('001-C DMR'!$AR$11,'DMR 001C NEW'!$A$2:$O$2,0))),"")</f>
        <v>0.15</v>
      </c>
      <c r="AS19" s="58">
        <f t="array" ref="AS19">_xlfn.IFNA(INDEX('DMR 001C NEW'!$A$3:$O$9999,MATCH(('001-C DMR'!$AQ$6:$AZ$6&amp;'001-C DMR'!$AQ$10:$AS$10&amp;'001-C DMR'!$B19),('DMR 001C NEW'!$E$3:$E$7246&amp;'DMR 001C NEW'!$B$3:$B$7246&amp;'DMR 001C NEW'!$A$3:$A$7246),0),MATCH('001-C DMR'!$AS$11,'DMR 001C NEW'!$A$2:$O$2,0)),"")</f>
        <v>0.38</v>
      </c>
      <c r="AT19" s="58">
        <f t="shared" si="27"/>
        <v>0.38</v>
      </c>
      <c r="AU19" s="57" t="str">
        <f t="array" ref="AU19">IF(AW19&lt;AV19,"&lt;","")</f>
        <v/>
      </c>
      <c r="AV19" s="58">
        <f t="array" ref="AV19">_xlfn.IFNA((INDEX('DMR 001C NEW'!$A$3:$O$9999,MATCH(('001-C DMR'!$AQ$6:$AZ$6&amp;'001-C DMR'!$AU$10&amp;'001-C DMR'!$B19),('DMR 001C NEW'!$E$3:$E$7246&amp;'DMR 001C NEW'!$B$3:$B$7246&amp;'DMR 001C NEW'!$A$3:$A$7246),0),MATCH('001-C DMR'!$AR$11,'DMR 001C NEW'!$A$2:$O$2,0))),"")</f>
        <v>0.15</v>
      </c>
      <c r="AW19" s="58">
        <f t="array" ref="AW19">_xlfn.IFNA(INDEX('DMR 001C NEW'!$A$3:$O$9999,MATCH(('001-C DMR'!$AQ$6:$AZ$6&amp;'001-C DMR'!$AU$10&amp;'001-C DMR'!$B19),('DMR 001C NEW'!$E$3:$E$7246&amp;'DMR 001C NEW'!$B$3:$B$7246&amp;'DMR 001C NEW'!$A$3:$A$7246),0),MATCH('001-C DMR'!$AW$11,'DMR 001C NEW'!$A$2:$O$2,0)),"")</f>
        <v>0.6</v>
      </c>
      <c r="AX19" s="58">
        <f t="shared" si="6"/>
        <v>0.6</v>
      </c>
      <c r="AY19" s="56">
        <f t="array" ref="AY19">IFERROR((($AT19*$EI19)+($AX19*$EJ19))/($EK19),"")</f>
        <v>0.50544997559900684</v>
      </c>
      <c r="AZ19" s="64" t="str">
        <f t="shared" si="31"/>
        <v/>
      </c>
      <c r="BA19" s="279" t="str">
        <f t="array" ref="BA19">_xlfn.IFNA(INDEX('DMR 001C NEW'!$A$3:$O$9999,MATCH(('001-C DMR'!$AQ$6:$AZ$6&amp;'001-C DMR'!BA$10&amp;'001-C DMR'!$B19),('DMR 001C NEW'!$E$3:$E$1112&amp;'DMR 001C NEW'!$B$3:$B$1112&amp;'DMR 001C NEW'!$A$3:$A$1112),0),MATCH('001-C DMR'!$BA$11,'DMR 001C NEW'!$A$2:$O$2,0)),"")</f>
        <v/>
      </c>
      <c r="BB19" s="280" t="str">
        <f t="array" ref="BB19">_xlfn.IFNA(INDEX('DMR 001C NEW'!$A$3:$O$9999,MATCH(('001-C DMR'!$AQ$6:$AZ$6&amp;'001-C DMR'!BB$10&amp;'001-C DMR'!$B19),('DMR 001C NEW'!$E$3:$E$1112&amp;'DMR 001C NEW'!$B$3:$B$1112&amp;'DMR 001C NEW'!$A$3:$A$1112),0),MATCH('001-C DMR'!$BA$11,'DMR 001C NEW'!$A$2:$O$2,0)),"")</f>
        <v/>
      </c>
      <c r="BC19" s="280" t="str">
        <f t="array" ref="BC19">_xlfn.IFNA(INDEX('DMR 001C NEW'!$A$3:$O$9999,MATCH(('001-C DMR'!$AQ$6:$AZ$6&amp;'001-C DMR'!BC$10&amp;'001-C DMR'!$B19),('DMR 001C NEW'!$E$3:$E$1112&amp;'DMR 001C NEW'!$B$3:$B$1112&amp;'DMR 001C NEW'!$A$3:$A$1112),0),MATCH('001-C DMR'!$BA$11,'DMR 001C NEW'!$A$2:$O$2,0)),"")</f>
        <v/>
      </c>
      <c r="BD19" s="280" t="str">
        <f t="array" ref="BD19">_xlfn.IFNA(INDEX('DMR 001C NEW'!$A$3:$O$9999,MATCH(('001-C DMR'!$AQ$6:$AZ$6&amp;'001-C DMR'!BD$10&amp;'001-C DMR'!$B19),('DMR 001C NEW'!$E$3:$E$1112&amp;'DMR 001C NEW'!$B$3:$B$1112&amp;'DMR 001C NEW'!$A$3:$A$1112),0),MATCH('001-C DMR'!$BA$11,'DMR 001C NEW'!$A$2:$O$2,0)),"")</f>
        <v/>
      </c>
      <c r="BE19" s="280" t="str">
        <f t="array" ref="BE19">_xlfn.IFNA(INDEX('DMR 001C NEW'!$A$3:$O$9999,MATCH(('001-C DMR'!$AQ$6:$AZ$6&amp;'001-C DMR'!BE$10&amp;'001-C DMR'!$B19),('DMR 001C NEW'!$E$3:$E$1112&amp;'DMR 001C NEW'!$B$3:$B$1112&amp;'DMR 001C NEW'!$A$3:$A$1112),0),MATCH('001-C DMR'!$BA$11,'DMR 001C NEW'!$A$2:$O$2,0)),"")</f>
        <v/>
      </c>
      <c r="BF19" s="281" t="str">
        <f t="array" ref="BF19">_xlfn.IFNA(INDEX('DMR 001C NEW'!$A$3:$O$9999,MATCH(('001-C DMR'!$AQ$6:$AZ$6&amp;'001-C DMR'!BF$10&amp;'001-C DMR'!$B19),('DMR 001C NEW'!$E$3:$E$1112&amp;'DMR 001C NEW'!$B$3:$B$1112&amp;'DMR 001C NEW'!$A$3:$A$1112),0),MATCH('001-C DMR'!$BA$11,'DMR 001C NEW'!$A$2:$O$2,0)),"")</f>
        <v/>
      </c>
      <c r="BG19" s="57"/>
      <c r="BH19" s="58">
        <f t="array" ref="BH19">_xlfn.IFNA((INDEX('DMR 001C NEW'!$A$3:$O$9999,MATCH(('001-C DMR'!$BG$6&amp;'001-C DMR'!$BG$10&amp;'001-C DMR'!$B19),('DMR 001C NEW'!$E$3:$E$7246&amp;'DMR 001C NEW'!$B$3:$B$7246&amp;'DMR 001C NEW'!$A$3:$A$7246),0),MATCH('001-C DMR'!$BH$11,'DMR 001C NEW'!$A$2:$O$2,0))),"")</f>
        <v>0.06</v>
      </c>
      <c r="BI19" s="58">
        <f t="array" ref="BI19">_xlfn.IFNA(INDEX('DMR 001C NEW'!$A$3:$O$9999,MATCH(('001-C DMR'!$BG$6&amp;'001-C DMR'!$BG$10&amp;'001-C DMR'!$B19),('DMR 001C NEW'!$E$3:$E$7246&amp;'DMR 001C NEW'!$B$3:$B$7246&amp;'DMR 001C NEW'!$A$3:$A$7246),0),MATCH('001-C DMR'!$BI$11,'DMR 001C NEW'!$A$2:$O$2,0)),"")</f>
        <v>5.37</v>
      </c>
      <c r="BJ19" s="58">
        <f t="shared" si="7"/>
        <v>5.37</v>
      </c>
      <c r="BK19" s="57" t="str">
        <f t="shared" si="8"/>
        <v/>
      </c>
      <c r="BL19" s="58">
        <f t="array" ref="BL19">_xlfn.IFNA((INDEX('DMR 001C NEW'!$A$3:$O$9999,MATCH(('001-C DMR'!$BG$6&amp;'001-C DMR'!$BK$10&amp;'001-C DMR'!$B19),('DMR 001C NEW'!$E$3:$E$7246&amp;'DMR 001C NEW'!$B$3:$B$7246&amp;'DMR 001C NEW'!$A$3:$A$7246),0),MATCH('001-C DMR'!$BH$11,'DMR 001C NEW'!$A$2:$O$2,0))),"")</f>
        <v>0.06</v>
      </c>
      <c r="BM19" s="58">
        <f t="array" ref="BM19">_xlfn.IFNA(INDEX('DMR 001C NEW'!$A$3:$O$9999,MATCH(('001-C DMR'!$BG$6&amp;'001-C DMR'!$BK$10&amp;'001-C DMR'!$B19),('DMR 001C NEW'!$E$3:$E$7246&amp;'DMR 001C NEW'!$B$3:$B$7246&amp;'DMR 001C NEW'!$A$3:$A$7246),0),MATCH('001-C DMR'!$BI$11,'DMR 001C NEW'!$A$2:$O$2,0)),"")</f>
        <v>5.47</v>
      </c>
      <c r="BN19" s="58">
        <f t="shared" si="9"/>
        <v>5.47</v>
      </c>
      <c r="BO19" s="56">
        <f t="array" ref="BO19">IFERROR((($BJ19*$EI19)+($BN19*$EJ19))/($EK19),"")</f>
        <v>5.4270227161813667</v>
      </c>
      <c r="BP19" s="64" t="str">
        <f t="shared" si="32"/>
        <v/>
      </c>
      <c r="BQ19" s="280" t="str">
        <f t="array" ref="BQ19">_xlfn.IFNA(INDEX('DMR 001C NEW'!$A$3:$O$999,MATCH(('001-C DMR'!$BG$6&amp;'001-C DMR'!BQ$10&amp;'001-C DMR'!$B19),('DMR 001C NEW'!$E$3:$E$1112&amp;'DMR 001C NEW'!$B$3:$B$1112&amp;'DMR 001C NEW'!$A$3:$A$1112),0),MATCH('001-C DMR'!$BQ$11,'DMR 001C NEW'!$A$2:$O$2,0)),"")</f>
        <v/>
      </c>
      <c r="BR19" s="280" t="str">
        <f t="array" ref="BR19">_xlfn.IFNA(INDEX('DMR 001C NEW'!$A$3:$O$999,MATCH(('001-C DMR'!$BG$6&amp;'001-C DMR'!BR$10&amp;'001-C DMR'!$B19),('DMR 001C NEW'!$E$3:$E$1112&amp;'DMR 001C NEW'!$B$3:$B$1112&amp;'DMR 001C NEW'!$A$3:$A$1112),0),MATCH('001-C DMR'!$BQ$11,'DMR 001C NEW'!$A$2:$O$2,0)),"")</f>
        <v/>
      </c>
      <c r="BS19" s="280" t="str">
        <f t="array" ref="BS19">_xlfn.IFNA(INDEX('DMR 001C NEW'!$A$3:$O$999,MATCH(('001-C DMR'!$BG$6&amp;'001-C DMR'!BS$10&amp;'001-C DMR'!$B19),('DMR 001C NEW'!$E$3:$E$1112&amp;'DMR 001C NEW'!$B$3:$B$1112&amp;'DMR 001C NEW'!$A$3:$A$1112),0),MATCH('001-C DMR'!$BQ$11,'DMR 001C NEW'!$A$2:$O$2,0)),"")</f>
        <v/>
      </c>
      <c r="BT19" s="280" t="str">
        <f t="array" ref="BT19">_xlfn.IFNA(INDEX('DMR 001C NEW'!$A$3:$O$999,MATCH(('001-C DMR'!$BG$6&amp;'001-C DMR'!BT$10&amp;'001-C DMR'!$B19),('DMR 001C NEW'!$E$3:$E$1112&amp;'DMR 001C NEW'!$B$3:$B$1112&amp;'DMR 001C NEW'!$A$3:$A$1112),0),MATCH('001-C DMR'!$BQ$11,'DMR 001C NEW'!$A$2:$O$2,0)),"")</f>
        <v/>
      </c>
      <c r="BU19" s="280" t="str">
        <f t="array" ref="BU19">_xlfn.IFNA(INDEX('DMR 001C NEW'!$A$3:$O$999,MATCH(('001-C DMR'!$BG$6&amp;'001-C DMR'!BU$10&amp;'001-C DMR'!$B19),('DMR 001C NEW'!$E$3:$E$1112&amp;'DMR 001C NEW'!$B$3:$B$1112&amp;'DMR 001C NEW'!$A$3:$A$1112),0),MATCH('001-C DMR'!$BQ$11,'DMR 001C NEW'!$A$2:$O$2,0)),"")</f>
        <v/>
      </c>
      <c r="BV19" s="280" t="str">
        <f t="array" ref="BV19">_xlfn.IFNA(INDEX('DMR 001C NEW'!$A$3:$O$999,MATCH(('001-C DMR'!$BG$6&amp;'001-C DMR'!BV$10&amp;'001-C DMR'!$B19),('DMR 001C NEW'!$E$3:$E$1112&amp;'DMR 001C NEW'!$B$3:$B$1112&amp;'DMR 001C NEW'!$A$3:$A$1112),0),MATCH('001-C DMR'!$BQ$11,'DMR 001C NEW'!$A$2:$O$2,0)),"")</f>
        <v/>
      </c>
      <c r="BW19" s="65"/>
      <c r="BX19" s="65"/>
      <c r="BY19" s="57" t="str">
        <f t="shared" si="10"/>
        <v/>
      </c>
      <c r="BZ19" s="58" t="str">
        <f t="array" ref="BZ19">_xlfn.IFNA((INDEX('DMR 001C NEW'!$A$3:$O$9999,MATCH(('001-C DMR'!$BY$6&amp;'001-C DMR'!$BY$10&amp;'001-C DMR'!$B19),('DMR 001C NEW'!$E$3:$E$7246&amp;'DMR 001C NEW'!$B$3:$B$7246&amp;'DMR 001C NEW'!$A$3:$A$7246),0),MATCH('001-C DMR'!$BZ$11,'DMR 001C NEW'!$A$2:$O$2,0))),"")</f>
        <v/>
      </c>
      <c r="CA19" s="138" t="str">
        <f t="array" ref="CA19">_xlfn.IFNA(INDEX('DMR 001C NEW'!$A$3:$O$9999,MATCH(('001-C DMR'!$BY$6&amp;'001-C DMR'!$BY$10&amp;'001-C DMR'!$B19),('DMR 001C NEW'!$E$3:$E$7246&amp;'DMR 001C NEW'!$B$3:$B$7246&amp;'DMR 001C NEW'!$A$3:$A$7246),0),MATCH('001-C DMR'!$CA$11,'DMR 001C NEW'!$A$2:$O$2,0)),"")</f>
        <v/>
      </c>
      <c r="CB19" s="57" t="str">
        <f t="shared" si="11"/>
        <v/>
      </c>
      <c r="CC19" s="58" t="str">
        <f t="array" ref="CC19">_xlfn.IFNA((INDEX('DMR 001C NEW'!$A$3:$O$9999,MATCH(('001-C DMR'!$BY$6&amp;'001-C DMR'!$CB$10&amp;'001-C DMR'!$B19),('DMR 001C NEW'!$E$3:$E$7246&amp;'DMR 001C NEW'!$B$3:$B$7246&amp;'DMR 001C NEW'!$A$3:$A$7246),0),MATCH('001-C DMR'!$BZ$11,'DMR 001C NEW'!$A$2:$O$2,0))),"")</f>
        <v/>
      </c>
      <c r="CD19" s="138" t="str">
        <f t="array" ref="CD19">_xlfn.IFNA(INDEX('DMR 001C NEW'!$A$3:$O$9999,MATCH(('001-C DMR'!$BY$6&amp;'001-C DMR'!$CB$10&amp;'001-C DMR'!$B19),('DMR 001C NEW'!$E$3:$E$7246&amp;'DMR 001C NEW'!$B$3:$B$7246&amp;'DMR 001C NEW'!$A$3:$A$7246),0),MATCH('001-C DMR'!$CA$11,'DMR 001C NEW'!$A$2:$O$2,0)),"")</f>
        <v/>
      </c>
      <c r="CE19" s="138" t="str">
        <f t="array" ref="CE19">IFERROR((($CA19*$EI19)+($CD19*$EJ19))/($EK19),"")</f>
        <v/>
      </c>
      <c r="CF19" s="64" t="str">
        <f t="shared" si="33"/>
        <v/>
      </c>
      <c r="CG19" s="280" t="str">
        <f t="array" ref="CG19">_xlfn.IFNA(INDEX('DMR 001C NEW'!$A$3:$O$999,MATCH(('001-C DMR'!$BY$6&amp;'001-C DMR'!CG$10&amp;'001-C DMR'!$B19),('DMR 001C NEW'!$E$3:$E$1112&amp;'DMR 001C NEW'!$B$3:$B$1112&amp;'DMR 001C NEW'!$A$3:$A$1112),0),MATCH('001-C DMR'!$CA$11,'DMR 001C NEW'!$A$2:$O$2,0)),"")</f>
        <v/>
      </c>
      <c r="CH19" s="280" t="str">
        <f t="array" ref="CH19">_xlfn.IFNA(INDEX('DMR 001C NEW'!$A$3:$O$999,MATCH(('001-C DMR'!$BY$6&amp;'001-C DMR'!CH$10&amp;'001-C DMR'!$B19),('DMR 001C NEW'!$E$3:$E$1112&amp;'DMR 001C NEW'!$B$3:$B$1112&amp;'DMR 001C NEW'!$A$3:$A$1112),0),MATCH('001-C DMR'!$CA$11,'DMR 001C NEW'!$A$2:$O$2,0)),"")</f>
        <v/>
      </c>
      <c r="CI19" s="280" t="str">
        <f t="array" ref="CI19">_xlfn.IFNA(INDEX('DMR 001C NEW'!$A$3:$O$999,MATCH(('001-C DMR'!$BY$6&amp;'001-C DMR'!CI$10&amp;'001-C DMR'!$B19),('DMR 001C NEW'!$E$3:$E$1112&amp;'DMR 001C NEW'!$B$3:$B$1112&amp;'DMR 001C NEW'!$A$3:$A$1112),0),MATCH('001-C DMR'!$CA$11,'DMR 001C NEW'!$A$2:$O$2,0)),"")</f>
        <v/>
      </c>
      <c r="CJ19" s="280" t="str">
        <f t="array" ref="CJ19">_xlfn.IFNA(INDEX('DMR 001C NEW'!$A$3:$O$999,MATCH(('001-C DMR'!$BY$6&amp;'001-C DMR'!CJ$10&amp;'001-C DMR'!$B19),('DMR 001C NEW'!$E$3:$E$1112&amp;'DMR 001C NEW'!$B$3:$B$1112&amp;'DMR 001C NEW'!$A$3:$A$1112),0),MATCH('001-C DMR'!$CA$11,'DMR 001C NEW'!$A$2:$O$2,0)),"")</f>
        <v/>
      </c>
      <c r="CK19" s="280" t="str">
        <f t="array" ref="CK19">_xlfn.IFNA(INDEX('DMR 001C NEW'!$A$3:$O$999,MATCH(('001-C DMR'!$BY$6&amp;'001-C DMR'!CK$10&amp;'001-C DMR'!$B19),('DMR 001C NEW'!$E$3:$E$1112&amp;'DMR 001C NEW'!$B$3:$B$1112&amp;'DMR 001C NEW'!$A$3:$A$1112),0),MATCH('001-C DMR'!$CA$11,'DMR 001C NEW'!$A$2:$O$2,0)),"")</f>
        <v/>
      </c>
      <c r="CL19" s="280" t="str">
        <f t="array" ref="CL19">_xlfn.IFNA(INDEX('DMR 001C NEW'!$A$3:$O$999,MATCH(('001-C DMR'!$BY$6&amp;'001-C DMR'!CL$10&amp;'001-C DMR'!$B19),('DMR 001C NEW'!$E$3:$E$1112&amp;'DMR 001C NEW'!$B$3:$B$1112&amp;'DMR 001C NEW'!$A$3:$A$1112),0),MATCH('001-C DMR'!$CA$11,'DMR 001C NEW'!$A$2:$O$2,0)),"")</f>
        <v/>
      </c>
      <c r="CM19" s="61" t="str">
        <f t="shared" si="12"/>
        <v/>
      </c>
      <c r="CN19" s="138" t="str">
        <f t="array" ref="CN19">_xlfn.IFNA((INDEX('DMR 001C NEW'!$A$3:$O$9999,MATCH(('001-C DMR'!$CM$6&amp;'001-C DMR'!$CM$10&amp;'001-C DMR'!$B19),('DMR 001C NEW'!$E$3:$E$9018&amp;'DMR 001C NEW'!$B$3:$B$9018&amp;'DMR 001C NEW'!$A$3:$A$9018),0),MATCH('001-C DMR'!$CN$11,'DMR 001C NEW'!$A$2:$O$2,0))*1000),"")</f>
        <v/>
      </c>
      <c r="CO19" s="138" t="str">
        <f t="array" ref="CO19">_xlfn.IFNA(INDEX('DMR 001C NEW'!$A$3:$O$9999,MATCH(('001-C DMR'!$CM$6&amp;'001-C DMR'!$CM$10&amp;'001-C DMR'!$B19),('DMR 001C NEW'!$E$3:$E$9018&amp;'DMR 001C NEW'!$B$3:$B$9018&amp;'DMR 001C NEW'!$A$3:$A$9018),0),MATCH('001-C DMR'!$CO$11,'DMR 001C NEW'!$A$2:$O$2,0))*1000,"")</f>
        <v/>
      </c>
      <c r="CP19" s="138" t="str">
        <f t="shared" si="13"/>
        <v/>
      </c>
      <c r="CQ19" s="64" t="str">
        <f t="shared" si="34"/>
        <v/>
      </c>
      <c r="CR19" s="280" t="str">
        <f t="array" ref="CR19">_xlfn.IFNA(INDEX('DMR 001C NEW'!$A$3:$O$999,MATCH(('001-C DMR'!$CM$6&amp;'001-C DMR'!CR$10&amp;'001-C DMR'!$B19),('DMR 001C NEW'!$E$3:$E$1112&amp;'DMR 001C NEW'!$B$3:$B$1112&amp;'DMR 001C NEW'!$A$3:$A$1112),0),MATCH('001-C DMR'!$CO$11,'DMR 001C NEW'!$A$2:$O$2,0)),"")</f>
        <v/>
      </c>
      <c r="CS19" s="280" t="str">
        <f t="array" ref="CS19">_xlfn.IFNA(INDEX('DMR 001C NEW'!$A$3:$O$999,MATCH(('001-C DMR'!$CM$6&amp;'001-C DMR'!CS$10&amp;'001-C DMR'!$B19),('DMR 001C NEW'!$E$3:$E$1112&amp;'DMR 001C NEW'!$B$3:$B$1112&amp;'DMR 001C NEW'!$A$3:$A$1112),0),MATCH('001-C DMR'!$CO$11,'DMR 001C NEW'!$A$2:$O$2,0)),"")</f>
        <v/>
      </c>
      <c r="CT19" s="280" t="str">
        <f t="array" ref="CT19">_xlfn.IFNA(INDEX('DMR 001C NEW'!$A$3:$O$999,MATCH(('001-C DMR'!$CM$6&amp;'001-C DMR'!CT$10&amp;'001-C DMR'!$B19),('DMR 001C NEW'!$E$3:$E$1112&amp;'DMR 001C NEW'!$B$3:$B$1112&amp;'DMR 001C NEW'!$A$3:$A$1112),0),MATCH('001-C DMR'!$CO$11,'DMR 001C NEW'!$A$2:$O$2,0)),"")</f>
        <v/>
      </c>
      <c r="CU19" s="280" t="str">
        <f t="array" ref="CU19">_xlfn.IFNA(INDEX('DMR 001C NEW'!$A$3:$O$999,MATCH(('001-C DMR'!$CM$6&amp;'001-C DMR'!CU$10&amp;'001-C DMR'!$B19),('DMR 001C NEW'!$E$3:$E$1112&amp;'DMR 001C NEW'!$B$3:$B$1112&amp;'DMR 001C NEW'!$A$3:$A$1112),0),MATCH('001-C DMR'!$CO$11,'DMR 001C NEW'!$A$2:$O$2,0)),"")</f>
        <v/>
      </c>
      <c r="CV19" s="280" t="str">
        <f t="array" ref="CV19">_xlfn.IFNA(INDEX('DMR 001C NEW'!$A$3:$O$999,MATCH(('001-C DMR'!$CM$6&amp;'001-C DMR'!CV$10&amp;'001-C DMR'!$B19),('DMR 001C NEW'!$E$3:$E$1112&amp;'DMR 001C NEW'!$B$3:$B$1112&amp;'DMR 001C NEW'!$A$3:$A$1112),0),MATCH('001-C DMR'!$CO$11,'DMR 001C NEW'!$A$2:$O$2,0)),"")</f>
        <v/>
      </c>
      <c r="CW19" s="280" t="str">
        <f t="array" ref="CW19">_xlfn.IFNA(INDEX('DMR 001C NEW'!$A$3:$O$999,MATCH(('001-C DMR'!$CM$6&amp;'001-C DMR'!CW$10&amp;'001-C DMR'!$B19),('DMR 001C NEW'!$E$3:$E$1112&amp;'DMR 001C NEW'!$B$3:$B$1112&amp;'DMR 001C NEW'!$A$3:$A$1112),0),MATCH('001-C DMR'!$CO$11,'DMR 001C NEW'!$A$2:$O$2,0)),"")</f>
        <v/>
      </c>
      <c r="CX19" s="280" t="str">
        <f t="array" ref="CX19">_xlfn.IFNA(INDEX('DMR 001C NEW'!$A$3:$O$999,MATCH(('001-C DMR'!$CM$6&amp;'001-C DMR'!CX$10&amp;'001-C DMR'!$B19),('DMR 001C NEW'!$E$3:$E$1112&amp;'DMR 001C NEW'!$B$3:$B$1112&amp;'DMR 001C NEW'!$A$3:$A$1112),0),MATCH('001-C DMR'!$CO$11,'DMR 001C NEW'!$A$2:$O$2,0)),"")</f>
        <v/>
      </c>
      <c r="CY19" s="61" t="str">
        <f t="shared" si="14"/>
        <v/>
      </c>
      <c r="CZ19" s="138" t="str">
        <f t="array" ref="CZ19">_xlfn.IFNA((INDEX('DMR 001C NEW'!$A$3:$O$9999,MATCH(('001-C DMR'!$CY$6&amp;'001-C DMR'!$CY$10&amp;'001-C DMR'!$B19),('DMR 001C NEW'!$E$3:$E$9018&amp;'DMR 001C NEW'!$B$3:$B$9018&amp;'DMR 001C NEW'!$A$3:$A$9018),0),MATCH('001-C DMR'!$CZ$11,'DMR 001C NEW'!$A$2:$O$2,0))*1000),"")</f>
        <v/>
      </c>
      <c r="DA19" s="138" t="str">
        <f t="array" ref="DA19">_xlfn.IFNA(INDEX('DMR 001C NEW'!$A$3:$O$9999,MATCH(('001-C DMR'!$CY$6&amp;'001-C DMR'!$CY$10&amp;'001-C DMR'!$B19),('DMR 001C NEW'!$E$3:$E$9018&amp;'DMR 001C NEW'!$B$3:$B$9018&amp;'DMR 001C NEW'!$A$3:$A$9018),0),MATCH('001-C DMR'!$DA$11,'DMR 001C NEW'!$A$2:$O$2,0))*1000,"")</f>
        <v/>
      </c>
      <c r="DB19" s="138" t="str">
        <f t="shared" si="15"/>
        <v/>
      </c>
      <c r="DC19" s="64" t="str">
        <f t="shared" si="35"/>
        <v/>
      </c>
      <c r="DD19" s="280" t="str">
        <f t="array" ref="DD19">_xlfn.IFNA(INDEX('DMR 001C NEW'!$A$3:$O$999,MATCH(('001-C DMR'!$CY$6&amp;'001-C DMR'!DD$10&amp;'001-C DMR'!$B19),('DMR 001C NEW'!$E$3:$E$1112&amp;'DMR 001C NEW'!$B$3:$B$1112&amp;'DMR 001C NEW'!$A$3:$A$1112),0),MATCH('001-C DMR'!$DA$11,'DMR 001C NEW'!$A$2:$O$2,0)),"")</f>
        <v/>
      </c>
      <c r="DE19" s="280" t="str">
        <f t="array" ref="DE19">_xlfn.IFNA(INDEX('DMR 001C NEW'!$A$3:$O$999,MATCH(('001-C DMR'!$CY$6&amp;'001-C DMR'!DE$10&amp;'001-C DMR'!$B19),('DMR 001C NEW'!$E$3:$E$1112&amp;'DMR 001C NEW'!$B$3:$B$1112&amp;'DMR 001C NEW'!$A$3:$A$1112),0),MATCH('001-C DMR'!$DA$11,'DMR 001C NEW'!$A$2:$O$2,0)),"")</f>
        <v/>
      </c>
      <c r="DF19" s="280" t="str">
        <f t="array" ref="DF19">_xlfn.IFNA(INDEX('DMR 001C NEW'!$A$3:$O$999,MATCH(('001-C DMR'!$CY$6&amp;'001-C DMR'!DF$10&amp;'001-C DMR'!$B19),('DMR 001C NEW'!$E$3:$E$1112&amp;'DMR 001C NEW'!$B$3:$B$1112&amp;'DMR 001C NEW'!$A$3:$A$1112),0),MATCH('001-C DMR'!$DA$11,'DMR 001C NEW'!$A$2:$O$2,0)),"")</f>
        <v/>
      </c>
      <c r="DG19" s="280" t="str">
        <f t="array" ref="DG19">_xlfn.IFNA(INDEX('DMR 001C NEW'!$A$3:$O$999,MATCH(('001-C DMR'!$CY$6&amp;'001-C DMR'!DG$10&amp;'001-C DMR'!$B19),('DMR 001C NEW'!$E$3:$E$1112&amp;'DMR 001C NEW'!$B$3:$B$1112&amp;'DMR 001C NEW'!$A$3:$A$1112),0),MATCH('001-C DMR'!$DA$11,'DMR 001C NEW'!$A$2:$O$2,0)),"")</f>
        <v/>
      </c>
      <c r="DH19" s="280" t="str">
        <f t="array" ref="DH19">_xlfn.IFNA(INDEX('DMR 001C NEW'!$A$3:$O$999,MATCH(('001-C DMR'!$CY$6&amp;'001-C DMR'!DH$10&amp;'001-C DMR'!$B19),('DMR 001C NEW'!$E$3:$E$1112&amp;'DMR 001C NEW'!$B$3:$B$1112&amp;'DMR 001C NEW'!$A$3:$A$1112),0),MATCH('001-C DMR'!$DA$11,'DMR 001C NEW'!$A$2:$O$2,0)),"")</f>
        <v/>
      </c>
      <c r="DI19" s="280" t="str">
        <f t="array" ref="DI19">_xlfn.IFNA(INDEX('DMR 001C NEW'!$A$3:$O$999,MATCH(('001-C DMR'!$CY$6&amp;'001-C DMR'!DI$10&amp;'001-C DMR'!$B19),('DMR 001C NEW'!$E$3:$E$1112&amp;'DMR 001C NEW'!$B$3:$B$1112&amp;'DMR 001C NEW'!$A$3:$A$1112),0),MATCH('001-C DMR'!$DA$11,'DMR 001C NEW'!$A$2:$O$2,0)),"")</f>
        <v/>
      </c>
      <c r="DJ19" s="280" t="str">
        <f t="array" ref="DJ19">_xlfn.IFNA(INDEX('DMR 001C NEW'!$A$3:$O$999,MATCH(('001-C DMR'!$CY$6&amp;'001-C DMR'!DJ$10&amp;'001-C DMR'!$B19),('DMR 001C NEW'!$E$3:$E$1112&amp;'DMR 001C NEW'!$B$3:$B$1112&amp;'DMR 001C NEW'!$A$3:$A$1112),0),MATCH('001-C DMR'!$DA$11,'DMR 001C NEW'!$A$2:$O$2,0)),"")</f>
        <v/>
      </c>
      <c r="DK19" s="61" t="str">
        <f t="shared" si="16"/>
        <v/>
      </c>
      <c r="DL19" s="58" t="str">
        <f t="array" ref="DL19">_xlfn.IFNA((INDEX('DMR 001C NEW'!$A$3:$O$9999,MATCH(('001-C DMR'!$DK$6&amp;'001-C DMR'!$DK$10&amp;'001-C DMR'!$B19),('DMR 001C NEW'!$E$3:$E$9018&amp;'DMR 001C NEW'!$B$3:$B$9018&amp;'DMR 001C NEW'!$A$3:$A$9018),0),MATCH('001-C DMR'!$DL$11,'DMR 001C NEW'!$A$2:$O$2,0))),"")</f>
        <v/>
      </c>
      <c r="DM19" s="58" t="str">
        <f t="array" ref="DM19">_xlfn.IFNA(INDEX('DMR 001C NEW'!$A$3:$O$9999,MATCH(('001-C DMR'!$DK$6&amp;'001-C DMR'!$DK$10&amp;'001-C DMR'!$B19),('DMR 001C NEW'!$E$3:$E$9018&amp;'DMR 001C NEW'!$B$3:$B$9018&amp;'DMR 001C NEW'!$A$3:$A$9018),0),MATCH('001-C DMR'!$DM$11,'DMR 001C NEW'!$A$2:$O$2,0)),"")</f>
        <v/>
      </c>
      <c r="DN19" s="58" t="str">
        <f t="shared" si="17"/>
        <v/>
      </c>
      <c r="DO19" s="223"/>
      <c r="DP19" s="224"/>
      <c r="DQ19" s="64" t="str">
        <f t="shared" si="18"/>
        <v/>
      </c>
      <c r="DR19" s="280" t="str">
        <f t="array" ref="DR19">_xlfn.IFNA(INDEX('DMR 001C NEW'!$A$3:$O$999,MATCH(('001-C DMR'!$DK$6&amp;'001-C DMR'!DR$10&amp;'001-C DMR'!$B19),('DMR 001C NEW'!$E$3:$E$1112&amp;'DMR 001C NEW'!$B$3:$B$1112&amp;'DMR 001C NEW'!$A$3:$A$1112),0),MATCH('001-C DMR'!$DR$11,'DMR 001C NEW'!$A$2:$O$2,0)),"")</f>
        <v/>
      </c>
      <c r="DS19" s="280" t="str">
        <f t="array" ref="DS19">_xlfn.IFNA(INDEX('DMR 001C NEW'!$A$3:$O$999,MATCH(('001-C DMR'!$DK$6&amp;'001-C DMR'!DS$10&amp;'001-C DMR'!$B19),('DMR 001C NEW'!$E$3:$E$1112&amp;'DMR 001C NEW'!$B$3:$B$1112&amp;'DMR 001C NEW'!$A$3:$A$1112),0),MATCH('001-C DMR'!$DR$11,'DMR 001C NEW'!$A$2:$O$2,0)),"")</f>
        <v/>
      </c>
      <c r="DT19" s="280" t="str">
        <f t="array" ref="DT19">_xlfn.IFNA(INDEX('DMR 001C NEW'!$A$3:$O$999,MATCH(('001-C DMR'!$DK$6&amp;'001-C DMR'!DT$10&amp;'001-C DMR'!$B19),('DMR 001C NEW'!$E$3:$E$1112&amp;'DMR 001C NEW'!$B$3:$B$1112&amp;'DMR 001C NEW'!$A$3:$A$1112),0),MATCH('001-C DMR'!$DR$11,'DMR 001C NEW'!$A$2:$O$2,0)),"")</f>
        <v/>
      </c>
      <c r="DU19" s="280" t="str">
        <f t="array" ref="DU19">_xlfn.IFNA(INDEX('DMR 001C NEW'!$A$3:$O$999,MATCH(('001-C DMR'!$DK$6&amp;'001-C DMR'!DU$10&amp;'001-C DMR'!$B19),('DMR 001C NEW'!$E$3:$E$1112&amp;'DMR 001C NEW'!$B$3:$B$1112&amp;'DMR 001C NEW'!$A$3:$A$1112),0),MATCH('001-C DMR'!$DR$11,'DMR 001C NEW'!$A$2:$O$2,0)),"")</f>
        <v/>
      </c>
      <c r="DV19" s="280" t="str">
        <f t="array" ref="DV19">_xlfn.IFNA(INDEX('DMR 001C NEW'!$A$3:$O$999,MATCH(('001-C DMR'!$DK$6&amp;'001-C DMR'!DV$10&amp;'001-C DMR'!$B19),('DMR 001C NEW'!$E$3:$E$1112&amp;'DMR 001C NEW'!$B$3:$B$1112&amp;'DMR 001C NEW'!$A$3:$A$1112),0),MATCH('001-C DMR'!$DR$11,'DMR 001C NEW'!$A$2:$O$2,0)),"")</f>
        <v/>
      </c>
      <c r="DW19" s="280" t="str">
        <f t="array" ref="DW19">_xlfn.IFNA(INDEX('DMR 001C NEW'!$A$3:$O$999,MATCH(('001-C DMR'!$DK$6&amp;'001-C DMR'!DW$10&amp;'001-C DMR'!$B19),('DMR 001C NEW'!$E$3:$E$1112&amp;'DMR 001C NEW'!$B$3:$B$1112&amp;'DMR 001C NEW'!$A$3:$A$1112),0),MATCH('001-C DMR'!$DR$11,'DMR 001C NEW'!$A$2:$O$2,0)),"")</f>
        <v/>
      </c>
      <c r="DX19" s="280" t="str">
        <f t="array" ref="DX19">_xlfn.IFNA(INDEX('DMR 001C NEW'!$A$3:$O$999,MATCH(('001-C DMR'!$DK$6&amp;'001-C DMR'!DX$10&amp;'001-C DMR'!$B19),('DMR 001C NEW'!$E$3:$E$1112&amp;'DMR 001C NEW'!$B$3:$B$1112&amp;'DMR 001C NEW'!$A$3:$A$1112),0),MATCH('001-C DMR'!$DR$11,'DMR 001C NEW'!$A$2:$O$2,0)),"")</f>
        <v/>
      </c>
      <c r="DY19" s="61" t="str">
        <f t="shared" si="28"/>
        <v/>
      </c>
      <c r="DZ19" s="249" t="str">
        <f t="array" ref="DZ19">_xlfn.IFNA((INDEX('DMR 001C NEW'!$A$3:$O$9999,MATCH(('001-C DMR'!$DY$6&amp;'001-C DMR'!$DY$10&amp;'001-C DMR'!$B19),('DMR 001C NEW'!$E$3:$E$9018&amp;'DMR 001C NEW'!$B$3:$B$9018&amp;'DMR 001C NEW'!$A$3:$A$9018),0),MATCH('001-C DMR'!$DZ$11,'DMR 001C NEW'!$A$2:$O$2,0))),"")</f>
        <v/>
      </c>
      <c r="EA19" s="249" t="str">
        <f t="array" ref="EA19">_xlfn.IFNA((INDEX('DMR 001C NEW'!$A$3:$O$9999,MATCH(('001-C DMR'!$DY$6&amp;'001-C DMR'!$DY$10&amp;'001-C DMR'!$B19),('DMR 001C NEW'!$E$3:$E$9018&amp;'DMR 001C NEW'!$B$3:$B$9018&amp;'DMR 001C NEW'!$A$3:$A$9018),0),MATCH('001-C DMR'!$EA$11,'DMR 001C NEW'!$A$2:$O$2,0))),"")</f>
        <v/>
      </c>
      <c r="EB19" s="249" t="str">
        <f t="array" ref="EB19">IF(EA19="SCRATCHED","",IF(EA19&lt;DZ19,0,EA19))</f>
        <v/>
      </c>
      <c r="EC19" s="249" t="str">
        <f t="shared" si="29"/>
        <v/>
      </c>
      <c r="ED19" s="249" t="str">
        <f t="array" ref="ED19">_xlfn.IFNA((INDEX('DMR 001C NEW'!$A$3:$O$9999,MATCH(('001-C DMR'!$DY$6&amp;'001-C DMR'!$EC$10&amp;'001-C DMR'!$B19),('DMR 001C NEW'!$E$3:$E$9018&amp;'DMR 001C NEW'!$B$3:$B$9018&amp;'DMR 001C NEW'!$A$3:$A$9018),0),MATCH('001-C DMR'!$DZ$11,'DMR 001C NEW'!$A$2:$O$2,0))),"")</f>
        <v/>
      </c>
      <c r="EE19" s="249" t="str">
        <f t="array" ref="EE19">_xlfn.IFNA((INDEX('DMR 001C NEW'!$A$3:$O$9999,MATCH(('001-C DMR'!$DY$6&amp;'001-C DMR'!$EC$10&amp;'001-C DMR'!$B19),('DMR 001C NEW'!$E$3:$E$9018&amp;'DMR 001C NEW'!$B$3:$B$9018&amp;'DMR 001C NEW'!$A$3:$A$9018),0),MATCH('001-C DMR'!$EE$11,'DMR 001C NEW'!$A$2:$O$2,0))),"")</f>
        <v/>
      </c>
      <c r="EF19" s="249" t="str">
        <f t="array" ref="EF19">IF(EE19="SCRATCHED","",IF(EE19&lt;ED19,0,EE19))</f>
        <v/>
      </c>
      <c r="EG19" s="249"/>
      <c r="EH19" s="195"/>
      <c r="EI19" s="194">
        <f t="array" ref="EI19">_xlfn.IFNA(INDEX('DMR Flows-Effluent'!$A$3:$F$186,MATCH(($EI$10&amp;$B19),('DMR Flows-Effluent'!$B$3:$B$186&amp;'DMR Flows-Effluent'!$A$3:$A$186),0),MATCH($EI$8,'DMR Flows-Effluent'!$A$2:$F$2,0)),"")</f>
        <v>54.512</v>
      </c>
      <c r="EJ19" s="56">
        <f t="array" ref="EJ19">_xlfn.IFNA(INDEX('DMR Flows-Effluent'!$A$3:$F$186,MATCH(($EJ$10&amp;$B19),('DMR Flows-Effluent'!$B$3:$B$186&amp;'DMR Flows-Effluent'!$A$3:$A$186),0),MATCH($EI$8,'DMR Flows-Effluent'!$A$2:$F$2,0)),"")</f>
        <v>72.327100000000002</v>
      </c>
      <c r="EK19" s="168">
        <f t="shared" si="19"/>
        <v>126.8391</v>
      </c>
      <c r="EL19" s="63"/>
      <c r="EM19" s="63"/>
      <c r="EN19" s="63"/>
      <c r="EO19" s="63"/>
      <c r="EP19" s="62"/>
      <c r="EQ19" s="157">
        <f>'E.Coli Calculations'!R13</f>
        <v>47.019678678206851</v>
      </c>
      <c r="ER19" s="56"/>
      <c r="ES19" s="64" t="str">
        <f t="shared" si="36"/>
        <v/>
      </c>
      <c r="ET19" s="61" t="str">
        <f t="shared" si="20"/>
        <v/>
      </c>
      <c r="EU19" s="58" t="str">
        <f t="array" ref="EU19">_xlfn.IFNA((INDEX('DMR 001C NEW'!$A$3:$O$9999,MATCH(('001-C DMR'!$ET$6&amp;'001-C DMR'!$ET$10&amp;'001-C DMR'!$B19),('DMR 001C NEW'!$E$3:$E$9018&amp;'DMR 001C NEW'!$B$3:$B$9018&amp;'DMR 001C NEW'!$A$3:$A$9018),0),MATCH('001-C DMR'!$EU$11,'DMR 001C NEW'!$A$2:$O$2,0))),"")</f>
        <v/>
      </c>
      <c r="EV19" s="58" t="str">
        <f t="array" ref="EV19">_xlfn.IFNA(INDEX('DMR 001C NEW'!$A$3:$O$9999,MATCH(('001-C DMR'!$ET$6&amp;'001-C DMR'!$ET$10&amp;'001-C DMR'!$B19),('DMR 001C NEW'!$E$3:$E$9018&amp;'DMR 001C NEW'!$B$3:$B$9018&amp;'DMR 001C NEW'!$A$3:$A$9018),0),MATCH('001-C DMR'!$EV$11,'DMR 001C NEW'!$A$2:$O$2,0)),"")</f>
        <v/>
      </c>
      <c r="EW19" s="56" t="str">
        <f t="shared" si="21"/>
        <v/>
      </c>
      <c r="EX19" s="64"/>
      <c r="EY19" s="279" t="str">
        <f t="array" ref="EY19">_xlfn.IFNA(INDEX('DMR 001C NEW'!$A$3:$O$999,MATCH(('001-C DMR'!$ET$6&amp;'001-C DMR'!EY$10&amp;'001-C DMR'!$B19),('DMR 001C NEW'!$E$3:$E$1112&amp;'DMR 001C NEW'!$B$3:$B$1112&amp;'DMR 001C NEW'!$A$3:$A$1112),0),MATCH('001-C DMR'!$EY$11,'DMR 001C NEW'!$A$2:$O$2,0)),"")</f>
        <v/>
      </c>
      <c r="EZ19" s="280" t="str">
        <f t="array" ref="EZ19">_xlfn.IFNA(INDEX('DMR 001C NEW'!$A$3:$O$999,MATCH(('001-C DMR'!$ET$6&amp;'001-C DMR'!EZ$10&amp;'001-C DMR'!$B19),('DMR 001C NEW'!$E$3:$E$1112&amp;'DMR 001C NEW'!$B$3:$B$1112&amp;'DMR 001C NEW'!$A$3:$A$1112),0),MATCH('001-C DMR'!$EY$11,'DMR 001C NEW'!$A$2:$O$2,0)),"")</f>
        <v/>
      </c>
      <c r="FA19" s="280" t="str">
        <f t="array" ref="FA19">_xlfn.IFNA(INDEX('DMR 001C NEW'!$A$3:$O$999,MATCH(('001-C DMR'!$ET$6&amp;'001-C DMR'!FA$10&amp;'001-C DMR'!$B19),('DMR 001C NEW'!$E$3:$E$1112&amp;'DMR 001C NEW'!$B$3:$B$1112&amp;'DMR 001C NEW'!$A$3:$A$1112),0),MATCH('001-C DMR'!$EY$11,'DMR 001C NEW'!$A$2:$O$2,0)),"")</f>
        <v/>
      </c>
      <c r="FB19" s="280" t="str">
        <f t="array" ref="FB19">_xlfn.IFNA(INDEX('DMR 001C NEW'!$A$3:$O$999,MATCH(('001-C DMR'!$ET$6&amp;'001-C DMR'!FB$10&amp;'001-C DMR'!$B19),('DMR 001C NEW'!$E$3:$E$1112&amp;'DMR 001C NEW'!$B$3:$B$1112&amp;'DMR 001C NEW'!$A$3:$A$1112),0),MATCH('001-C DMR'!$EY$11,'DMR 001C NEW'!$A$2:$O$2,0)),"")</f>
        <v/>
      </c>
      <c r="FC19" s="280" t="str">
        <f t="array" ref="FC19">_xlfn.IFNA(INDEX('DMR 001C NEW'!$A$3:$O$999,MATCH(('001-C DMR'!$ET$6&amp;'001-C DMR'!FC$10&amp;'001-C DMR'!$B19),('DMR 001C NEW'!$E$3:$E$1112&amp;'DMR 001C NEW'!$B$3:$B$1112&amp;'DMR 001C NEW'!$A$3:$A$1112),0),MATCH('001-C DMR'!$EY$11,'DMR 001C NEW'!$A$2:$O$2,0)),"")</f>
        <v/>
      </c>
      <c r="FD19" s="280" t="str">
        <f t="array" ref="FD19">_xlfn.IFNA(INDEX('DMR 001C NEW'!$A$3:$O$999,MATCH(('001-C DMR'!$ET$6&amp;'001-C DMR'!FD$10&amp;'001-C DMR'!$B19),('DMR 001C NEW'!$E$3:$E$1112&amp;'DMR 001C NEW'!$B$3:$B$1112&amp;'DMR 001C NEW'!$A$3:$A$1112),0),MATCH('001-C DMR'!$EY$11,'DMR 001C NEW'!$A$2:$O$2,0)),"")</f>
        <v/>
      </c>
      <c r="FE19" s="281" t="str">
        <f t="array" ref="FE19">_xlfn.IFNA(INDEX('DMR 001C NEW'!$A$3:$O$999,MATCH(('001-C DMR'!$ET$6&amp;'001-C DMR'!FE$10&amp;'001-C DMR'!$B19),('DMR 001C NEW'!$E$3:$E$1112&amp;'DMR 001C NEW'!$B$3:$B$1112&amp;'DMR 001C NEW'!$A$3:$A$1112),0),MATCH('001-C DMR'!$EY$11,'DMR 001C NEW'!$A$2:$O$2,0)),"")</f>
        <v/>
      </c>
      <c r="FF19" s="57" t="str">
        <f t="shared" si="22"/>
        <v/>
      </c>
      <c r="FG19" s="56">
        <f t="array" ref="FG19">_xlfn.IFNA(INDEX('DMR 001C NEW'!$A$3:$O$9999,MATCH(('001-C DMR'!$FF$6&amp;'001-C DMR'!$FF$10&amp;'001-C DMR'!$B19),('DMR 001C NEW'!$E$3:$E$7246&amp;'DMR 001C NEW'!$B$3:$B$7246&amp;'DMR 001C NEW'!$A$3:$A$7246),0),MATCH('001-C DMR'!$FG$11,'DMR 001C NEW'!$A$2:$O$2,0)),"")</f>
        <v>0</v>
      </c>
      <c r="FH19" s="56">
        <f t="array" ref="FH19">_xlfn.IFNA(INDEX('DMR 001C NEW'!$A$3:$O$9999,MATCH(('001-C DMR'!$FF$6&amp;'001-C DMR'!$FF$10&amp;'001-C DMR'!$B19),('DMR 001C NEW'!$E$3:$E$7246&amp;'DMR 001C NEW'!$B$3:$B$7246&amp;'DMR 001C NEW'!$A$3:$A$7246),0),MATCH('001-C DMR'!$FH$11,'DMR 001C NEW'!$A$2:$O$2,0)),"")</f>
        <v>4</v>
      </c>
      <c r="FI19" s="57" t="str">
        <f t="shared" si="23"/>
        <v/>
      </c>
      <c r="FJ19" s="56">
        <f t="array" ref="FJ19">_xlfn.IFNA(INDEX('DMR 001C NEW'!$A$3:$O$9999,MATCH(('001-C DMR'!$FF$6&amp;'001-C DMR'!$FI$10&amp;'001-C DMR'!$B19),('DMR 001C NEW'!$E$3:$E$7246&amp;'DMR 001C NEW'!$B$3:$B$7246&amp;'DMR 001C NEW'!$A$3:$A$7246),0),MATCH('001-C DMR'!$FG$11,'DMR 001C NEW'!$A$2:$O$2,0)),"")</f>
        <v>0</v>
      </c>
      <c r="FK19" s="56">
        <f t="array" ref="FK19">_xlfn.IFNA(INDEX('DMR 001C NEW'!$A$3:$O$9999,MATCH(('001-C DMR'!$FF$6&amp;'001-C DMR'!$FI$10&amp;'001-C DMR'!$B19),('DMR 001C NEW'!$E$3:$E$7246&amp;'DMR 001C NEW'!$B$3:$B$7246&amp;'DMR 001C NEW'!$A$3:$A$7246),0),MATCH('001-C DMR'!$FH$11,'DMR 001C NEW'!$A$2:$O$2,0)),"")</f>
        <v>5</v>
      </c>
      <c r="FL19" s="56">
        <f t="array" ref="FL19">IFERROR((($FH19*$EI19)+($FK19*$EJ19))/($EK19),"")</f>
        <v>4.5702271618136674</v>
      </c>
      <c r="FM19" s="56" t="str">
        <f t="shared" ref="FM19:FM46" si="43">IF($A19="Sat",(AVERAGE(FL13:FL19)),"")</f>
        <v/>
      </c>
      <c r="FN19" s="64" t="str">
        <f t="shared" si="37"/>
        <v/>
      </c>
      <c r="FO19" s="66"/>
      <c r="FP19" s="280" t="str">
        <f t="array" ref="FP19">_xlfn.IFNA(INDEX('DMR 001C NEW'!$A$3:$O$999,MATCH(('001-C DMR'!$FF$6&amp;'001-C DMR'!FP$10&amp;'001-C DMR'!$B19),('DMR 001C NEW'!$E$3:$E$1112&amp;'DMR 001C NEW'!$B$3:$B$1112&amp;'DMR 001C NEW'!$A$3:$A$1112),0),MATCH('001-C DMR'!$FH$11,'DMR 001C NEW'!$A$2:$O$2,0)),"")</f>
        <v/>
      </c>
      <c r="FQ19" s="280" t="str">
        <f t="array" ref="FQ19">_xlfn.IFNA(INDEX('DMR 001C NEW'!$A$3:$O$999,MATCH(('001-C DMR'!$FF$6&amp;'001-C DMR'!FQ$10&amp;'001-C DMR'!$B19),('DMR 001C NEW'!$E$3:$E$1112&amp;'DMR 001C NEW'!$B$3:$B$1112&amp;'DMR 001C NEW'!$A$3:$A$1112),0),MATCH('001-C DMR'!$FH$11,'DMR 001C NEW'!$A$2:$O$2,0)),"")</f>
        <v/>
      </c>
      <c r="FR19" s="280" t="str">
        <f t="array" ref="FR19">_xlfn.IFNA(INDEX('DMR 001C NEW'!$A$3:$O$999,MATCH(('001-C DMR'!$FF$6&amp;'001-C DMR'!FR$10&amp;'001-C DMR'!$B19),('DMR 001C NEW'!$E$3:$E$1112&amp;'DMR 001C NEW'!$B$3:$B$1112&amp;'DMR 001C NEW'!$A$3:$A$1112),0),MATCH('001-C DMR'!$FH$11,'DMR 001C NEW'!$A$2:$O$2,0)),"")</f>
        <v/>
      </c>
      <c r="FS19" s="280" t="str">
        <f t="array" ref="FS19">_xlfn.IFNA(INDEX('DMR 001C NEW'!$A$3:$O$999,MATCH(('001-C DMR'!$FF$6&amp;'001-C DMR'!FS$10&amp;'001-C DMR'!$B19),('DMR 001C NEW'!$E$3:$E$1112&amp;'DMR 001C NEW'!$B$3:$B$1112&amp;'DMR 001C NEW'!$A$3:$A$1112),0),MATCH('001-C DMR'!$FH$11,'DMR 001C NEW'!$A$2:$O$2,0)),"")</f>
        <v/>
      </c>
      <c r="FT19" s="280" t="str">
        <f t="array" ref="FT19">_xlfn.IFNA(INDEX('DMR 001C NEW'!$A$3:$O$999,MATCH(('001-C DMR'!$FF$6&amp;'001-C DMR'!FT$10&amp;'001-C DMR'!$B19),('DMR 001C NEW'!$E$3:$E$1112&amp;'DMR 001C NEW'!$B$3:$B$1112&amp;'DMR 001C NEW'!$A$3:$A$1112),0),MATCH('001-C DMR'!$FH$11,'DMR 001C NEW'!$A$2:$O$2,0)),"")</f>
        <v/>
      </c>
      <c r="FU19" s="280" t="str">
        <f t="array" ref="FU19">_xlfn.IFNA(INDEX('DMR 001C NEW'!$A$3:$O$999,MATCH(('001-C DMR'!$FF$6&amp;'001-C DMR'!FU$10&amp;'001-C DMR'!$B19),('DMR 001C NEW'!$E$3:$E$1112&amp;'DMR 001C NEW'!$B$3:$B$1112&amp;'DMR 001C NEW'!$A$3:$A$1112),0),MATCH('001-C DMR'!$FH$11,'DMR 001C NEW'!$A$2:$O$2,0)),"")</f>
        <v/>
      </c>
      <c r="FV19" s="66"/>
      <c r="FW19" s="61" t="str">
        <f t="shared" si="24"/>
        <v/>
      </c>
      <c r="FX19" s="58" t="str">
        <f t="array" ref="FX19">_xlfn.IFNA(INDEX('DMR 001C NEW'!$A$3:$O$9999,MATCH(('001-C DMR'!$FW$6&amp;'001-C DMR'!$FW$10&amp;'001-C DMR'!$B19),('DMR 001C NEW'!$E$3:$E$7246&amp;'DMR 001C NEW'!$B$3:$B$7246&amp;'DMR 001C NEW'!$A$3:$A$7246),0),MATCH('001-C DMR'!$FX$11,'DMR 001C NEW'!$A$2:$O$2,0)),"")</f>
        <v/>
      </c>
      <c r="FY19" s="58" t="str">
        <f t="array" ref="FY19">_xlfn.IFNA(INDEX('DMR 001C NEW'!$A$3:$O$9999,MATCH(('001-C DMR'!$FW$6&amp;'001-C DMR'!$FW$10&amp;'001-C DMR'!$B19),('DMR 001C NEW'!$E$3:$E$7246&amp;'DMR 001C NEW'!$B$3:$B$7246&amp;'DMR 001C NEW'!$A$3:$A$7246),0),MATCH('001-C DMR'!$FY$11,'DMR 001C NEW'!$A$2:$O$2,0)),"")</f>
        <v/>
      </c>
      <c r="FZ19" s="57" t="str">
        <f t="shared" si="25"/>
        <v/>
      </c>
      <c r="GA19" s="58" t="str">
        <f t="array" ref="GA19">_xlfn.IFNA(INDEX('DMR 001C NEW'!$A$3:$O$9999,MATCH(('001-C DMR'!$FW$6&amp;'001-C DMR'!$FZ$10&amp;'001-C DMR'!$B19),('DMR 001C NEW'!$E$3:$E$7246&amp;'DMR 001C NEW'!$B$3:$B$7246&amp;'DMR 001C NEW'!$A$3:$A$7246),0),MATCH('001-C DMR'!$FX$11,'DMR 001C NEW'!$A$2:$O$2,0)),"")</f>
        <v/>
      </c>
      <c r="GB19" s="58" t="str">
        <f t="array" ref="GB19">_xlfn.IFNA(INDEX('DMR 001C NEW'!$A$3:$O$9999,MATCH(('001-C DMR'!$FW$6&amp;'001-C DMR'!$FZ$10&amp;'001-C DMR'!$B19),('DMR 001C NEW'!$E$3:$E$7246&amp;'DMR 001C NEW'!$B$3:$B$7246&amp;'DMR 001C NEW'!$A$3:$A$7246),0),MATCH('001-C DMR'!$GB$11,'DMR 001C NEW'!$A$2:$O$2,0)),"")</f>
        <v/>
      </c>
      <c r="GC19" s="138" t="str">
        <f t="shared" si="4"/>
        <v/>
      </c>
      <c r="GD19" s="64" t="str">
        <f t="shared" si="38"/>
        <v/>
      </c>
      <c r="GE19" s="279" t="str">
        <f t="array" ref="GE19">_xlfn.IFNA(INDEX('DMR 001C NEW'!$A$3:$O$999,MATCH(('001-C DMR'!$FW$6&amp;'001-C DMR'!GE$10&amp;'001-C DMR'!$B19),('DMR 001C NEW'!$E$3:$E$1112&amp;'DMR 001C NEW'!$B$3:$B$1112&amp;'DMR 001C NEW'!$A$3:$A$1112),0),MATCH('001-C DMR'!$FY$11,'DMR 001C NEW'!$A$2:$O$2,0)),"")</f>
        <v/>
      </c>
      <c r="GF19" s="280" t="str">
        <f t="array" ref="GF19">_xlfn.IFNA(INDEX('DMR 001C NEW'!$A$3:$O$999,MATCH(('001-C DMR'!$FW$6&amp;'001-C DMR'!GF$10&amp;'001-C DMR'!$B19),('DMR 001C NEW'!$E$3:$E$1112&amp;'DMR 001C NEW'!$B$3:$B$1112&amp;'DMR 001C NEW'!$A$3:$A$1112),0),MATCH('001-C DMR'!$FY$11,'DMR 001C NEW'!$A$2:$O$2,0)),"")</f>
        <v/>
      </c>
      <c r="GG19" s="280" t="str">
        <f t="array" ref="GG19">_xlfn.IFNA(INDEX('DMR 001C NEW'!$A$3:$O$999,MATCH(('001-C DMR'!$FW$6&amp;'001-C DMR'!GG$10&amp;'001-C DMR'!$B19),('DMR 001C NEW'!$E$3:$E$1112&amp;'DMR 001C NEW'!$B$3:$B$1112&amp;'DMR 001C NEW'!$A$3:$A$1112),0),MATCH('001-C DMR'!$FY$11,'DMR 001C NEW'!$A$2:$O$2,0)),"")</f>
        <v/>
      </c>
      <c r="GH19" s="280" t="str">
        <f t="array" ref="GH19">_xlfn.IFNA(INDEX('DMR 001C NEW'!$A$3:$O$999,MATCH(('001-C DMR'!$FW$6&amp;'001-C DMR'!GH$10&amp;'001-C DMR'!$B19),('DMR 001C NEW'!$E$3:$E$1112&amp;'DMR 001C NEW'!$B$3:$B$1112&amp;'DMR 001C NEW'!$A$3:$A$1112),0),MATCH('001-C DMR'!$FY$11,'DMR 001C NEW'!$A$2:$O$2,0)),"")</f>
        <v/>
      </c>
      <c r="GI19" s="280" t="str">
        <f t="array" ref="GI19">_xlfn.IFNA(INDEX('DMR 001C NEW'!$A$3:$O$999,MATCH(('001-C DMR'!$FW$6&amp;'001-C DMR'!GI$10&amp;'001-C DMR'!$B19),('DMR 001C NEW'!$E$3:$E$1112&amp;'DMR 001C NEW'!$B$3:$B$1112&amp;'DMR 001C NEW'!$A$3:$A$1112),0),MATCH('001-C DMR'!$FY$11,'DMR 001C NEW'!$A$2:$O$2,0)),"")</f>
        <v/>
      </c>
      <c r="GJ19" s="281" t="str">
        <f t="array" ref="GJ19">_xlfn.IFNA(INDEX('DMR 001C NEW'!$A$3:$O$999,MATCH(('001-C DMR'!$FW$6&amp;'001-C DMR'!GJ$10&amp;'001-C DMR'!$B19),('DMR 001C NEW'!$E$3:$E$1112&amp;'DMR 001C NEW'!$B$3:$B$1112&amp;'DMR 001C NEW'!$A$3:$A$1112),0),MATCH('001-C DMR'!$FY$11,'DMR 001C NEW'!$A$2:$O$2,0)),"")</f>
        <v/>
      </c>
      <c r="GK19" s="58" t="str">
        <f t="array" ref="GK19">_xlfn.IFNA(INDEX('DMR 001C NEW'!$A$3:$O$9999,MATCH(('001-C DMR'!$GK$6&amp;'001-C DMR'!$GK$10&amp;'001-C DMR'!$B19),('DMR 001C NEW'!$E$3:$E$9018&amp;'DMR 001C NEW'!$B$3:$B$9018&amp;'DMR 001C NEW'!$A$3:$A$9018),0),MATCH('001-C DMR'!$GK$11,'DMR 001C NEW'!$A$2:$O$2,0)),"")</f>
        <v>n</v>
      </c>
      <c r="GL19" s="58" t="str">
        <f t="array" ref="GL19">_xlfn.IFNA(INDEX('DMR 001C NEW'!$A$3:$O$9999,MATCH(('001-C DMR'!$GK$6&amp;'001-C DMR'!$GL$10&amp;'001-C DMR'!$B19),('DMR 001C NEW'!$E$3:$E$9018&amp;'DMR 001C NEW'!$B$3:$B$9018&amp;'DMR 001C NEW'!$A$3:$A$9018),0),MATCH('001-C DMR'!$GK$11,'DMR 001C NEW'!$A$2:$O$2,0)),"")</f>
        <v>n</v>
      </c>
      <c r="GM19" s="134"/>
      <c r="GN19" s="64" t="str">
        <f t="shared" ref="GN19:GN46" si="44">IF($A19="Sat",COUNTIF(GL13:GL19,"*n"),"")</f>
        <v/>
      </c>
    </row>
    <row r="20" spans="1:282" s="51" customFormat="1" x14ac:dyDescent="0.25">
      <c r="A20" s="67" t="str">
        <f t="shared" si="5"/>
        <v>Mon</v>
      </c>
      <c r="B20" s="216">
        <f t="shared" si="26"/>
        <v>43682</v>
      </c>
      <c r="C20" s="93">
        <f t="array" ref="C20">INDEX('DMR 001C NEW'!$A$3:$N$10020,MATCH(('001-C DMR'!$C$6:$K$6&amp;'001-C DMR'!$C$10:$E$10&amp;'001-C DMR'!$B20),('DMR 001C NEW'!$E$3:$E$7246&amp;'DMR 001C NEW'!$B$3:$B$7246&amp;'DMR 001C NEW'!$A$3:$A$7246),0),MATCH('001-C DMR'!$C$11,'DMR 001C NEW'!$A$2:$O$2,0))</f>
        <v>5.9</v>
      </c>
      <c r="D20" s="56" t="str">
        <f t="array" ref="D20">INDEX('DMR 001C NEW'!$A$3:$N$11771,MATCH(('001-C DMR'!$C$6:$K$6&amp;'001-C DMR'!$C$10:$E$10&amp;'001-C DMR'!$B20),('DMR 001C NEW'!$E$3:$E$9018&amp;'DMR 001C NEW'!$B$3:$B$9018&amp;'DMR 001C NEW'!$A$3:$A$9018),0),MATCH('001-C DMR'!$D$11,'DMR 001C NEW'!$A$2:$O$2,0))</f>
        <v>AE68257</v>
      </c>
      <c r="E20" s="56">
        <f t="array" ref="E20">INDEX('DMR 001C NEW'!$A$3:$N$9999,MATCH(('001-C DMR'!$E$11&amp;'001-C DMR'!$C$10:$E$10&amp;'001-C DMR'!$B20&amp;$D20),('DMR 001C NEW'!$E$3:$E$7246&amp;'DMR 001C NEW'!$B$3:$B$7246&amp;'DMR 001C NEW'!$A$3:$A$7246&amp;'DMR 001C NEW'!$M$3:$M$7188),0),MATCH($C$11,'DMR 001C NEW'!$A$2:$O$2,0))</f>
        <v>50.31</v>
      </c>
      <c r="F20" s="56">
        <f t="array" ref="F20">INDEX('DMR 001C NEW'!$A$3:$N$9999,MATCH('001-C DMR'!$C$6:$K$6&amp;'001-C DMR'!$F$10&amp;'001-C DMR'!$B20,('DMR 001C NEW'!$E$3:$E$7246&amp;'DMR 001C NEW'!$B$3:$B$7246&amp;'DMR 001C NEW'!$A$3:$A$7246),0),MATCH('001-C DMR'!$C$11,'DMR 001C NEW'!$A$2:$O$2,0))</f>
        <v>6.7</v>
      </c>
      <c r="G20" s="56" t="str">
        <f t="array" ref="G20">INDEX('DMR 001C NEW'!$A$3:$N$3865,MATCH(('001-C DMR'!$C$6:$K$6&amp;'001-C DMR'!$F$10&amp;'001-C DMR'!$B20),('DMR 001C NEW'!$E$3:$E$1112&amp;'DMR 001C NEW'!$B$3:$B$1112&amp;'DMR 001C NEW'!$A$3:$A$1112),0),MATCH('001-C DMR'!$D$11,'DMR 001C NEW'!$A$2:$O$2,0))</f>
        <v>AE68258</v>
      </c>
      <c r="H20" s="56">
        <f t="array" ref="H20">INDEX('DMR 001C NEW'!$A$3:$N$9999,MATCH(('001-C DMR'!$E$11&amp;'001-C DMR'!$F$10&amp;'001-C DMR'!$B20&amp;$G20),('DMR 001C NEW'!$E$3:$E$7246&amp;'DMR 001C NEW'!$B$3:$B$7246&amp;'DMR 001C NEW'!$A$3:$A$7246&amp;'DMR 001C NEW'!$M$3:$M$7188),0),MATCH($C$11,'DMR 001C NEW'!$A$2:$O$2,0))</f>
        <v>60.6</v>
      </c>
      <c r="I20" s="56">
        <f t="shared" si="0"/>
        <v>6.3371111712199086</v>
      </c>
      <c r="J20" s="58" t="str">
        <f t="shared" si="39"/>
        <v/>
      </c>
      <c r="K20" s="64" t="str">
        <f t="shared" si="40"/>
        <v/>
      </c>
      <c r="L20" s="262" t="str">
        <f t="array" ref="L20">_xlfn.IFNA(INDEX('DMR 001C NEW'!$A$3:$N$3865,MATCH(('001-C DMR'!$C$6:$K$6&amp;'001-C DMR'!L$10&amp;'001-C DMR'!$B20),('DMR 001C NEW'!$E$3:$E$1112&amp;'DMR 001C NEW'!$B$3:$B$1112&amp;'DMR 001C NEW'!$A$3:$A$1112),0),MATCH('001-C DMR'!$C$11,'DMR 001C NEW'!$A$2:$O$2,0)),"")</f>
        <v/>
      </c>
      <c r="M20" s="262" t="str">
        <f t="array" ref="M20">_xlfn.IFNA(INDEX('DMR 001C NEW'!$A$3:$N$3865,MATCH(('001-C DMR'!$C$6:$K$6&amp;'001-C DMR'!M$10&amp;'001-C DMR'!$B20),('DMR 001C NEW'!$E$3:$E$1112&amp;'DMR 001C NEW'!$B$3:$B$1112&amp;'DMR 001C NEW'!$A$3:$A$1112),0),MATCH('001-C DMR'!$C$11,'DMR 001C NEW'!$A$2:$O$2,0)),"")</f>
        <v/>
      </c>
      <c r="N20" s="262" t="str">
        <f t="array" ref="N20">_xlfn.IFNA(INDEX('DMR 001C NEW'!$A$3:$N$3865,MATCH(('001-C DMR'!$C$6:$K$6&amp;'001-C DMR'!N$10&amp;'001-C DMR'!$B20),('DMR 001C NEW'!$E$3:$E$1112&amp;'DMR 001C NEW'!$B$3:$B$1112&amp;'DMR 001C NEW'!$A$3:$A$1112),0),MATCH('001-C DMR'!$C$11,'DMR 001C NEW'!$A$2:$O$2,0)),"")</f>
        <v/>
      </c>
      <c r="O20" s="262" t="str">
        <f t="array" ref="O20">_xlfn.IFNA(INDEX('DMR 001C NEW'!$A$3:$N$3865,MATCH(('001-C DMR'!$C$6:$K$6&amp;'001-C DMR'!O$10&amp;'001-C DMR'!$B20),('DMR 001C NEW'!$E$3:$E$1112&amp;'DMR 001C NEW'!$B$3:$B$1112&amp;'DMR 001C NEW'!$A$3:$A$1112),0),MATCH('001-C DMR'!$C$11,'DMR 001C NEW'!$A$2:$O$2,0)),"")</f>
        <v/>
      </c>
      <c r="P20" s="262" t="str">
        <f t="array" ref="P20">_xlfn.IFNA(INDEX('DMR 001C NEW'!$A$3:$N$3865,MATCH(('001-C DMR'!$C$6:$K$6&amp;'001-C DMR'!P$10&amp;'001-C DMR'!$B20),('DMR 001C NEW'!$E$3:$E$1112&amp;'DMR 001C NEW'!$B$3:$B$1112&amp;'DMR 001C NEW'!$A$3:$A$1112),0),MATCH('001-C DMR'!$C$11,'DMR 001C NEW'!$A$2:$O$2,0)),"")</f>
        <v/>
      </c>
      <c r="Q20" s="120" t="e">
        <f t="array" ref="Q20">INDEX('DMR 001C NEW'!$A$3:$N$3865,MATCH(('001-C DMR'!$C$6:$K$6&amp;'001-C DMR'!Q$10&amp;'001-C DMR'!$B20),('DMR 001C NEW'!$E$3:$E$1112&amp;'DMR 001C NEW'!$B$3:$B$1112&amp;'DMR 001C NEW'!$A$3:$A$1112),0),MATCH('001-C DMR'!$C$11,'DMR 001C NEW'!$A$2:$O$2,0))</f>
        <v>#N/A</v>
      </c>
      <c r="R20" s="61"/>
      <c r="S20" s="56">
        <f t="array" ref="S20">_xlfn.IFNA(INDEX('DMR 001C NEW'!$A$3:$N$11771,MATCH(('001-C DMR'!$R$6:$T$6&amp;'001-C DMR'!$R$10&amp;'001-C DMR'!$B20),('DMR 001C NEW'!$E$3:$E$9018&amp;'DMR 001C NEW'!$B$3:$B$9018&amp;'DMR 001C NEW'!$A$3:$A$9018),0),MATCH('001-C DMR'!$S$11,'DMR 001C NEW'!$A$2:$O$2,0)),"")</f>
        <v>7</v>
      </c>
      <c r="T20" s="64" t="str">
        <f t="shared" si="41"/>
        <v/>
      </c>
      <c r="U20" s="262" t="str">
        <f t="array" ref="U20">_xlfn.IFNA(INDEX('DMR 001C NEW'!$A$3:$O$591,MATCH('001-C DMR'!$R$6:$T$6&amp;'001-C DMR'!U$10&amp;'001-C DMR'!$B20,('DMR 001C NEW'!$E$3:$E$704&amp;'DMR 001C NEW'!$B$3:$B$704&amp;'DMR 001C NEW'!$A$3:$A$704),0),MATCH('001-C DMR'!$U$11,'DMR 001C NEW'!$A$2:$O$2,0)),"")</f>
        <v/>
      </c>
      <c r="V20" s="262" t="str">
        <f t="array" ref="V20">_xlfn.IFNA(INDEX('DMR 001C NEW'!$A$3:$O$591,MATCH('001-C DMR'!$R$6:$T$6&amp;'001-C DMR'!V$10&amp;'001-C DMR'!$B20,('DMR 001C NEW'!$E$3:$E$704&amp;'DMR 001C NEW'!$B$3:$B$704&amp;'DMR 001C NEW'!$A$3:$A$704),0),MATCH('001-C DMR'!$U$11,'DMR 001C NEW'!$A$2:$O$2,0)),"")</f>
        <v/>
      </c>
      <c r="W20" s="262" t="str">
        <f t="array" ref="W20">_xlfn.IFNA(INDEX('DMR 001C NEW'!$A$3:$O$591,MATCH('001-C DMR'!$R$6:$T$6&amp;'001-C DMR'!W$10&amp;'001-C DMR'!$B20,('DMR 001C NEW'!$E$3:$E$704&amp;'DMR 001C NEW'!$B$3:$B$704&amp;'DMR 001C NEW'!$A$3:$A$704),0),MATCH('001-C DMR'!$U$11,'DMR 001C NEW'!$A$2:$O$2,0)),"")</f>
        <v/>
      </c>
      <c r="X20" s="262" t="str">
        <f t="array" ref="X20">_xlfn.IFNA(INDEX('DMR 001C NEW'!$A$3:$O$591,MATCH('001-C DMR'!$R$6:$T$6&amp;'001-C DMR'!X$10&amp;'001-C DMR'!$B20,('DMR 001C NEW'!$E$3:$E$704&amp;'DMR 001C NEW'!$B$3:$B$704&amp;'DMR 001C NEW'!$A$3:$A$704),0),MATCH('001-C DMR'!$U$11,'DMR 001C NEW'!$A$2:$O$2,0)),"")</f>
        <v/>
      </c>
      <c r="Y20" s="262" t="str">
        <f t="array" ref="Y20">_xlfn.IFNA(INDEX('DMR 001C NEW'!$A$3:$O$591,MATCH('001-C DMR'!$R$6:$T$6&amp;'001-C DMR'!Y$10&amp;'001-C DMR'!$B20,('DMR 001C NEW'!$E$3:$E$704&amp;'DMR 001C NEW'!$B$3:$B$704&amp;'DMR 001C NEW'!$A$3:$A$704),0),MATCH('001-C DMR'!$U$11,'DMR 001C NEW'!$A$2:$O$2,0)),"")</f>
        <v/>
      </c>
      <c r="Z20" s="262" t="str">
        <f t="array" ref="Z20">_xlfn.IFNA(INDEX('DMR 001C NEW'!$A$3:$O$591,MATCH('001-C DMR'!$R$6:$T$6&amp;'001-C DMR'!Z$10&amp;'001-C DMR'!$B20,('DMR 001C NEW'!$E$3:$E$704&amp;'DMR 001C NEW'!$B$3:$B$704&amp;'DMR 001C NEW'!$A$3:$A$704),0),MATCH('001-C DMR'!$U$11,'DMR 001C NEW'!$A$2:$O$2,0)),"")</f>
        <v/>
      </c>
      <c r="AA20" s="262" t="str">
        <f t="array" ref="AA20">_xlfn.IFNA(INDEX('DMR 001C NEW'!$A$3:$O$591,MATCH('001-C DMR'!$R$6:$T$6&amp;'001-C DMR'!AA$10&amp;'001-C DMR'!$B20,('DMR 001C NEW'!$E$3:$E$704&amp;'DMR 001C NEW'!$B$3:$B$704&amp;'DMR 001C NEW'!$A$3:$A$704),0),MATCH('001-C DMR'!$U$11,'DMR 001C NEW'!$A$2:$O$2,0)),"")</f>
        <v/>
      </c>
      <c r="AB20" s="61" t="str">
        <f t="array" ref="AB20">IF(AD20&lt;AC20,"&lt;","")</f>
        <v/>
      </c>
      <c r="AC20" s="56">
        <f t="array" ref="AC20">_xlfn.IFNA(INDEX('DMR 001C NEW'!$A$3:$O$9999,MATCH(('001-C DMR'!$AB$6:$AJ$6&amp;'001-C DMR'!$AB$10:$AD$10&amp;'001-C DMR'!$B20),('DMR 001C NEW'!$E$3:$E$7246&amp;'DMR 001C NEW'!$B$3:$B$7246&amp;'DMR 001C NEW'!$A$3:$A$7246),0),MATCH('001-C DMR'!$AC$11,'DMR 001C NEW'!$A$2:$O$2,0)),"")</f>
        <v>3</v>
      </c>
      <c r="AD20" s="56">
        <f t="array" ref="AD20">_xlfn.IFNA(INDEX('DMR 001C NEW'!$A$3:$O$9999,MATCH(('001-C DMR'!$AB$6:$AJ$6&amp;'001-C DMR'!$AB$10:$AD$10&amp;'001-C DMR'!$B20),('DMR 001C NEW'!$E$3:$E$7246&amp;'DMR 001C NEW'!$B$3:$B$7246&amp;'DMR 001C NEW'!$A$3:$A$7246),0),MATCH('001-C DMR'!$AD$11,'DMR 001C NEW'!$A$2:$O$2,0)),"")</f>
        <v>13</v>
      </c>
      <c r="AE20" s="57" t="str">
        <f t="array" ref="AE20">IF(AG20&lt;AF20,"&lt;","")</f>
        <v/>
      </c>
      <c r="AF20" s="56">
        <f t="array" ref="AF20">_xlfn.IFNA(INDEX('DMR 001C NEW'!$A$3:$O$9999,MATCH(('001-C DMR'!$AB$6:$AJ$6&amp;'001-C DMR'!$AE$10&amp;'001-C DMR'!$B20),('DMR 001C NEW'!$E$3:$E$9018&amp;'DMR 001C NEW'!$B$3:$B$9018&amp;'DMR 001C NEW'!$A$3:$A$9018),0),MATCH('001-C DMR'!$AF$11,'DMR 001C NEW'!$A$2:$O$2,0)),"")</f>
        <v>3</v>
      </c>
      <c r="AG20" s="56">
        <f t="array" ref="AG20">_xlfn.IFNA(INDEX('DMR 001C NEW'!$A$3:$O$9999,MATCH(('001-C DMR'!$AB$6:$AJ$6&amp;'001-C DMR'!$AE$10&amp;'001-C DMR'!$B20),('DMR 001C NEW'!$E$3:$E$9018&amp;'DMR 001C NEW'!$B$3:$B$9018&amp;'DMR 001C NEW'!$A$3:$A$9018),0),MATCH('001-C DMR'!$AG$11,'DMR 001C NEW'!$A$2:$O$2,0)),"")</f>
        <v>12</v>
      </c>
      <c r="AH20" s="56">
        <f t="array" ref="AH20">IFERROR((($AD20*$EI20)+($AG20*$EJ20))/($EK20),"")</f>
        <v>12.418101365857094</v>
      </c>
      <c r="AI20" s="56" t="str">
        <f t="shared" si="42"/>
        <v/>
      </c>
      <c r="AJ20" s="64" t="str">
        <f t="shared" si="30"/>
        <v/>
      </c>
      <c r="AK20" s="262" t="str">
        <f t="array" ref="AK20">_xlfn.IFNA(INDEX('DMR 001C NEW'!$A$3:$O$999,MATCH(('001-C DMR'!$AB$6:$AJ$6&amp;'001-C DMR'!AK$10&amp;'001-C DMR'!$B20),('DMR 001C NEW'!$E$3:$E$1112&amp;'DMR 001C NEW'!$B$3:$B$1112&amp;'DMR 001C NEW'!$A$3:$A$1112),0),MATCH('001-C DMR'!$AD$11,'DMR 001C NEW'!$A$2:$O$2,0)),"")</f>
        <v/>
      </c>
      <c r="AL20" s="262" t="str">
        <f t="array" ref="AL20">_xlfn.IFNA(INDEX('DMR 001C NEW'!$A$3:$O$999,MATCH(('001-C DMR'!$AB$6:$AJ$6&amp;'001-C DMR'!AL$10&amp;'001-C DMR'!$B20),('DMR 001C NEW'!$E$3:$E$1112&amp;'DMR 001C NEW'!$B$3:$B$1112&amp;'DMR 001C NEW'!$A$3:$A$1112),0),MATCH('001-C DMR'!$AD$11,'DMR 001C NEW'!$A$2:$O$2,0)),"")</f>
        <v/>
      </c>
      <c r="AM20" s="262" t="str">
        <f t="array" ref="AM20">_xlfn.IFNA(INDEX('DMR 001C NEW'!$A$3:$O$999,MATCH(('001-C DMR'!$AB$6:$AJ$6&amp;'001-C DMR'!AM$10&amp;'001-C DMR'!$B20),('DMR 001C NEW'!$E$3:$E$1112&amp;'DMR 001C NEW'!$B$3:$B$1112&amp;'DMR 001C NEW'!$A$3:$A$1112),0),MATCH('001-C DMR'!$AD$11,'DMR 001C NEW'!$A$2:$O$2,0)),"")</f>
        <v/>
      </c>
      <c r="AN20" s="262" t="str">
        <f t="array" ref="AN20">_xlfn.IFNA(INDEX('DMR 001C NEW'!$A$3:$O$999,MATCH(('001-C DMR'!$AB$6:$AJ$6&amp;'001-C DMR'!AN$10&amp;'001-C DMR'!$B20),('DMR 001C NEW'!$E$3:$E$1112&amp;'DMR 001C NEW'!$B$3:$B$1112&amp;'DMR 001C NEW'!$A$3:$A$1112),0),MATCH('001-C DMR'!$AD$11,'DMR 001C NEW'!$A$2:$O$2,0)),"")</f>
        <v/>
      </c>
      <c r="AO20" s="262" t="str">
        <f t="array" ref="AO20">_xlfn.IFNA(INDEX('DMR 001C NEW'!$A$3:$O$999,MATCH(('001-C DMR'!$AB$6:$AJ$6&amp;'001-C DMR'!AO$10&amp;'001-C DMR'!$B20),('DMR 001C NEW'!$E$3:$E$1112&amp;'DMR 001C NEW'!$B$3:$B$1112&amp;'DMR 001C NEW'!$A$3:$A$1112),0),MATCH('001-C DMR'!$AD$11,'DMR 001C NEW'!$A$2:$O$2,0)),"")</f>
        <v/>
      </c>
      <c r="AP20" s="262" t="str">
        <f t="array" ref="AP20">_xlfn.IFNA(INDEX('DMR 001C NEW'!$A$3:$O$999,MATCH(('001-C DMR'!$AB$6:$AJ$6&amp;'001-C DMR'!AP$10&amp;'001-C DMR'!$B20),('DMR 001C NEW'!$E$3:$E$1112&amp;'DMR 001C NEW'!$B$3:$B$1112&amp;'DMR 001C NEW'!$A$3:$A$1112),0),MATCH('001-C DMR'!$AD$11,'DMR 001C NEW'!$A$2:$O$2,0)),"")</f>
        <v/>
      </c>
      <c r="AQ20" s="61" t="str">
        <f t="array" ref="AQ20">IF(AS20&lt;AR20,"&lt;","")</f>
        <v/>
      </c>
      <c r="AR20" s="58">
        <f t="array" ref="AR20">_xlfn.IFNA((INDEX('DMR 001C NEW'!$A$3:$O$9999,MATCH(('001-C DMR'!$AQ$6:$AZ$6&amp;'001-C DMR'!$AQ$10:$AS$10&amp;'001-C DMR'!$B20),('DMR 001C NEW'!$E$3:$E$7246&amp;'DMR 001C NEW'!$B$3:$B$7246&amp;'DMR 001C NEW'!$A$3:$A$7246),0),MATCH('001-C DMR'!$AR$11,'DMR 001C NEW'!$A$2:$O$2,0))),"")</f>
        <v>0.15</v>
      </c>
      <c r="AS20" s="58">
        <f t="array" ref="AS20">_xlfn.IFNA(INDEX('DMR 001C NEW'!$A$3:$O$9999,MATCH(('001-C DMR'!$AQ$6:$AZ$6&amp;'001-C DMR'!$AQ$10:$AS$10&amp;'001-C DMR'!$B20),('DMR 001C NEW'!$E$3:$E$7246&amp;'DMR 001C NEW'!$B$3:$B$7246&amp;'DMR 001C NEW'!$A$3:$A$7246),0),MATCH('001-C DMR'!$AS$11,'DMR 001C NEW'!$A$2:$O$2,0)),"")</f>
        <v>0.19</v>
      </c>
      <c r="AT20" s="58">
        <f t="shared" si="27"/>
        <v>0.19</v>
      </c>
      <c r="AU20" s="57" t="str">
        <f t="array" ref="AU20">IF(AW20&lt;AV20,"&lt;","")</f>
        <v/>
      </c>
      <c r="AV20" s="58">
        <f t="array" ref="AV20">_xlfn.IFNA((INDEX('DMR 001C NEW'!$A$3:$O$9999,MATCH(('001-C DMR'!$AQ$6:$AZ$6&amp;'001-C DMR'!$AU$10&amp;'001-C DMR'!$B20),('DMR 001C NEW'!$E$3:$E$7246&amp;'DMR 001C NEW'!$B$3:$B$7246&amp;'DMR 001C NEW'!$A$3:$A$7246),0),MATCH('001-C DMR'!$AR$11,'DMR 001C NEW'!$A$2:$O$2,0))),"")</f>
        <v>0.15</v>
      </c>
      <c r="AW20" s="58">
        <f t="array" ref="AW20">_xlfn.IFNA(INDEX('DMR 001C NEW'!$A$3:$O$9999,MATCH(('001-C DMR'!$AQ$6:$AZ$6&amp;'001-C DMR'!$AU$10&amp;'001-C DMR'!$B20),('DMR 001C NEW'!$E$3:$E$7246&amp;'DMR 001C NEW'!$B$3:$B$7246&amp;'DMR 001C NEW'!$A$3:$A$7246),0),MATCH('001-C DMR'!$AW$11,'DMR 001C NEW'!$A$2:$O$2,0)),"")</f>
        <v>0.83</v>
      </c>
      <c r="AX20" s="58">
        <f t="shared" si="6"/>
        <v>0.83</v>
      </c>
      <c r="AY20" s="56">
        <f t="array" ref="AY20">IFERROR((($AT20*$EI20)+($AX20*$EJ20))/($EK20),"")</f>
        <v>0.56241512585146114</v>
      </c>
      <c r="AZ20" s="64" t="str">
        <f t="shared" si="31"/>
        <v/>
      </c>
      <c r="BA20" s="279" t="str">
        <f t="array" ref="BA20">_xlfn.IFNA(INDEX('DMR 001C NEW'!$A$3:$O$9999,MATCH(('001-C DMR'!$AQ$6:$AZ$6&amp;'001-C DMR'!BA$10&amp;'001-C DMR'!$B20),('DMR 001C NEW'!$E$3:$E$1112&amp;'DMR 001C NEW'!$B$3:$B$1112&amp;'DMR 001C NEW'!$A$3:$A$1112),0),MATCH('001-C DMR'!$BA$11,'DMR 001C NEW'!$A$2:$O$2,0)),"")</f>
        <v/>
      </c>
      <c r="BB20" s="280" t="str">
        <f t="array" ref="BB20">_xlfn.IFNA(INDEX('DMR 001C NEW'!$A$3:$O$9999,MATCH(('001-C DMR'!$AQ$6:$AZ$6&amp;'001-C DMR'!BB$10&amp;'001-C DMR'!$B20),('DMR 001C NEW'!$E$3:$E$1112&amp;'DMR 001C NEW'!$B$3:$B$1112&amp;'DMR 001C NEW'!$A$3:$A$1112),0),MATCH('001-C DMR'!$BA$11,'DMR 001C NEW'!$A$2:$O$2,0)),"")</f>
        <v/>
      </c>
      <c r="BC20" s="280" t="str">
        <f t="array" ref="BC20">_xlfn.IFNA(INDEX('DMR 001C NEW'!$A$3:$O$9999,MATCH(('001-C DMR'!$AQ$6:$AZ$6&amp;'001-C DMR'!BC$10&amp;'001-C DMR'!$B20),('DMR 001C NEW'!$E$3:$E$1112&amp;'DMR 001C NEW'!$B$3:$B$1112&amp;'DMR 001C NEW'!$A$3:$A$1112),0),MATCH('001-C DMR'!$BA$11,'DMR 001C NEW'!$A$2:$O$2,0)),"")</f>
        <v/>
      </c>
      <c r="BD20" s="280" t="str">
        <f t="array" ref="BD20">_xlfn.IFNA(INDEX('DMR 001C NEW'!$A$3:$O$9999,MATCH(('001-C DMR'!$AQ$6:$AZ$6&amp;'001-C DMR'!BD$10&amp;'001-C DMR'!$B20),('DMR 001C NEW'!$E$3:$E$1112&amp;'DMR 001C NEW'!$B$3:$B$1112&amp;'DMR 001C NEW'!$A$3:$A$1112),0),MATCH('001-C DMR'!$BA$11,'DMR 001C NEW'!$A$2:$O$2,0)),"")</f>
        <v/>
      </c>
      <c r="BE20" s="280" t="str">
        <f t="array" ref="BE20">_xlfn.IFNA(INDEX('DMR 001C NEW'!$A$3:$O$9999,MATCH(('001-C DMR'!$AQ$6:$AZ$6&amp;'001-C DMR'!BE$10&amp;'001-C DMR'!$B20),('DMR 001C NEW'!$E$3:$E$1112&amp;'DMR 001C NEW'!$B$3:$B$1112&amp;'DMR 001C NEW'!$A$3:$A$1112),0),MATCH('001-C DMR'!$BA$11,'DMR 001C NEW'!$A$2:$O$2,0)),"")</f>
        <v/>
      </c>
      <c r="BF20" s="281" t="str">
        <f t="array" ref="BF20">_xlfn.IFNA(INDEX('DMR 001C NEW'!$A$3:$O$9999,MATCH(('001-C DMR'!$AQ$6:$AZ$6&amp;'001-C DMR'!BF$10&amp;'001-C DMR'!$B20),('DMR 001C NEW'!$E$3:$E$1112&amp;'DMR 001C NEW'!$B$3:$B$1112&amp;'DMR 001C NEW'!$A$3:$A$1112),0),MATCH('001-C DMR'!$BA$11,'DMR 001C NEW'!$A$2:$O$2,0)),"")</f>
        <v/>
      </c>
      <c r="BG20" s="57"/>
      <c r="BH20" s="58">
        <f t="array" ref="BH20">_xlfn.IFNA((INDEX('DMR 001C NEW'!$A$3:$O$9999,MATCH(('001-C DMR'!$BG$6&amp;'001-C DMR'!$BG$10&amp;'001-C DMR'!$B20),('DMR 001C NEW'!$E$3:$E$7246&amp;'DMR 001C NEW'!$B$3:$B$7246&amp;'DMR 001C NEW'!$A$3:$A$7246),0),MATCH('001-C DMR'!$BH$11,'DMR 001C NEW'!$A$2:$O$2,0))),"")</f>
        <v>0.06</v>
      </c>
      <c r="BI20" s="58">
        <f t="array" ref="BI20">_xlfn.IFNA(INDEX('DMR 001C NEW'!$A$3:$O$9999,MATCH(('001-C DMR'!$BG$6&amp;'001-C DMR'!$BG$10&amp;'001-C DMR'!$B20),('DMR 001C NEW'!$E$3:$E$7246&amp;'DMR 001C NEW'!$B$3:$B$7246&amp;'DMR 001C NEW'!$A$3:$A$7246),0),MATCH('001-C DMR'!$BI$11,'DMR 001C NEW'!$A$2:$O$2,0)),"")</f>
        <v>5.3</v>
      </c>
      <c r="BJ20" s="58">
        <f t="shared" si="7"/>
        <v>5.3</v>
      </c>
      <c r="BK20" s="57" t="str">
        <f t="shared" si="8"/>
        <v/>
      </c>
      <c r="BL20" s="58">
        <f t="array" ref="BL20">_xlfn.IFNA((INDEX('DMR 001C NEW'!$A$3:$O$9999,MATCH(('001-C DMR'!$BG$6&amp;'001-C DMR'!$BK$10&amp;'001-C DMR'!$B20),('DMR 001C NEW'!$E$3:$E$7246&amp;'DMR 001C NEW'!$B$3:$B$7246&amp;'DMR 001C NEW'!$A$3:$A$7246),0),MATCH('001-C DMR'!$BH$11,'DMR 001C NEW'!$A$2:$O$2,0))),"")</f>
        <v>0.06</v>
      </c>
      <c r="BM20" s="58">
        <f t="array" ref="BM20">_xlfn.IFNA(INDEX('DMR 001C NEW'!$A$3:$O$9999,MATCH(('001-C DMR'!$BG$6&amp;'001-C DMR'!$BK$10&amp;'001-C DMR'!$B20),('DMR 001C NEW'!$E$3:$E$7246&amp;'DMR 001C NEW'!$B$3:$B$7246&amp;'DMR 001C NEW'!$A$3:$A$7246),0),MATCH('001-C DMR'!$BI$11,'DMR 001C NEW'!$A$2:$O$2,0)),"")</f>
        <v>4.84</v>
      </c>
      <c r="BN20" s="58">
        <f t="shared" si="9"/>
        <v>4.84</v>
      </c>
      <c r="BO20" s="56">
        <f t="array" ref="BO20">IFERROR((($BJ20*$EI20)+($BN20*$EJ20))/($EK20),"")</f>
        <v>5.0323266282942622</v>
      </c>
      <c r="BP20" s="64" t="str">
        <f t="shared" si="32"/>
        <v/>
      </c>
      <c r="BQ20" s="280" t="str">
        <f t="array" ref="BQ20">_xlfn.IFNA(INDEX('DMR 001C NEW'!$A$3:$O$999,MATCH(('001-C DMR'!$BG$6&amp;'001-C DMR'!BQ$10&amp;'001-C DMR'!$B20),('DMR 001C NEW'!$E$3:$E$1112&amp;'DMR 001C NEW'!$B$3:$B$1112&amp;'DMR 001C NEW'!$A$3:$A$1112),0),MATCH('001-C DMR'!$BQ$11,'DMR 001C NEW'!$A$2:$O$2,0)),"")</f>
        <v/>
      </c>
      <c r="BR20" s="280" t="str">
        <f t="array" ref="BR20">_xlfn.IFNA(INDEX('DMR 001C NEW'!$A$3:$O$999,MATCH(('001-C DMR'!$BG$6&amp;'001-C DMR'!BR$10&amp;'001-C DMR'!$B20),('DMR 001C NEW'!$E$3:$E$1112&amp;'DMR 001C NEW'!$B$3:$B$1112&amp;'DMR 001C NEW'!$A$3:$A$1112),0),MATCH('001-C DMR'!$BQ$11,'DMR 001C NEW'!$A$2:$O$2,0)),"")</f>
        <v/>
      </c>
      <c r="BS20" s="280" t="str">
        <f t="array" ref="BS20">_xlfn.IFNA(INDEX('DMR 001C NEW'!$A$3:$O$999,MATCH(('001-C DMR'!$BG$6&amp;'001-C DMR'!BS$10&amp;'001-C DMR'!$B20),('DMR 001C NEW'!$E$3:$E$1112&amp;'DMR 001C NEW'!$B$3:$B$1112&amp;'DMR 001C NEW'!$A$3:$A$1112),0),MATCH('001-C DMR'!$BQ$11,'DMR 001C NEW'!$A$2:$O$2,0)),"")</f>
        <v/>
      </c>
      <c r="BT20" s="280" t="str">
        <f t="array" ref="BT20">_xlfn.IFNA(INDEX('DMR 001C NEW'!$A$3:$O$999,MATCH(('001-C DMR'!$BG$6&amp;'001-C DMR'!BT$10&amp;'001-C DMR'!$B20),('DMR 001C NEW'!$E$3:$E$1112&amp;'DMR 001C NEW'!$B$3:$B$1112&amp;'DMR 001C NEW'!$A$3:$A$1112),0),MATCH('001-C DMR'!$BQ$11,'DMR 001C NEW'!$A$2:$O$2,0)),"")</f>
        <v/>
      </c>
      <c r="BU20" s="280" t="str">
        <f t="array" ref="BU20">_xlfn.IFNA(INDEX('DMR 001C NEW'!$A$3:$O$999,MATCH(('001-C DMR'!$BG$6&amp;'001-C DMR'!BU$10&amp;'001-C DMR'!$B20),('DMR 001C NEW'!$E$3:$E$1112&amp;'DMR 001C NEW'!$B$3:$B$1112&amp;'DMR 001C NEW'!$A$3:$A$1112),0),MATCH('001-C DMR'!$BQ$11,'DMR 001C NEW'!$A$2:$O$2,0)),"")</f>
        <v/>
      </c>
      <c r="BV20" s="280" t="str">
        <f t="array" ref="BV20">_xlfn.IFNA(INDEX('DMR 001C NEW'!$A$3:$O$999,MATCH(('001-C DMR'!$BG$6&amp;'001-C DMR'!BV$10&amp;'001-C DMR'!$B20),('DMR 001C NEW'!$E$3:$E$1112&amp;'DMR 001C NEW'!$B$3:$B$1112&amp;'DMR 001C NEW'!$A$3:$A$1112),0),MATCH('001-C DMR'!$BQ$11,'DMR 001C NEW'!$A$2:$O$2,0)),"")</f>
        <v/>
      </c>
      <c r="BW20" s="65"/>
      <c r="BX20" s="65"/>
      <c r="BY20" s="57" t="str">
        <f t="shared" si="10"/>
        <v/>
      </c>
      <c r="BZ20" s="58" t="str">
        <f t="array" ref="BZ20">_xlfn.IFNA((INDEX('DMR 001C NEW'!$A$3:$O$9999,MATCH(('001-C DMR'!$BY$6&amp;'001-C DMR'!$BY$10&amp;'001-C DMR'!$B20),('DMR 001C NEW'!$E$3:$E$7246&amp;'DMR 001C NEW'!$B$3:$B$7246&amp;'DMR 001C NEW'!$A$3:$A$7246),0),MATCH('001-C DMR'!$BZ$11,'DMR 001C NEW'!$A$2:$O$2,0))),"")</f>
        <v/>
      </c>
      <c r="CA20" s="138" t="str">
        <f t="array" ref="CA20">_xlfn.IFNA(INDEX('DMR 001C NEW'!$A$3:$O$9999,MATCH(('001-C DMR'!$BY$6&amp;'001-C DMR'!$BY$10&amp;'001-C DMR'!$B20),('DMR 001C NEW'!$E$3:$E$7246&amp;'DMR 001C NEW'!$B$3:$B$7246&amp;'DMR 001C NEW'!$A$3:$A$7246),0),MATCH('001-C DMR'!$CA$11,'DMR 001C NEW'!$A$2:$O$2,0)),"")</f>
        <v/>
      </c>
      <c r="CB20" s="57" t="str">
        <f t="shared" si="11"/>
        <v/>
      </c>
      <c r="CC20" s="58" t="str">
        <f t="array" ref="CC20">_xlfn.IFNA((INDEX('DMR 001C NEW'!$A$3:$O$9999,MATCH(('001-C DMR'!$BY$6&amp;'001-C DMR'!$CB$10&amp;'001-C DMR'!$B20),('DMR 001C NEW'!$E$3:$E$7246&amp;'DMR 001C NEW'!$B$3:$B$7246&amp;'DMR 001C NEW'!$A$3:$A$7246),0),MATCH('001-C DMR'!$BZ$11,'DMR 001C NEW'!$A$2:$O$2,0))),"")</f>
        <v/>
      </c>
      <c r="CD20" s="138" t="str">
        <f t="array" ref="CD20">_xlfn.IFNA(INDEX('DMR 001C NEW'!$A$3:$O$9999,MATCH(('001-C DMR'!$BY$6&amp;'001-C DMR'!$CB$10&amp;'001-C DMR'!$B20),('DMR 001C NEW'!$E$3:$E$7246&amp;'DMR 001C NEW'!$B$3:$B$7246&amp;'DMR 001C NEW'!$A$3:$A$7246),0),MATCH('001-C DMR'!$CA$11,'DMR 001C NEW'!$A$2:$O$2,0)),"")</f>
        <v/>
      </c>
      <c r="CE20" s="138" t="str">
        <f t="array" ref="CE20">IFERROR((($CA20*$EI20)+($CD20*$EJ20))/($EK20),"")</f>
        <v/>
      </c>
      <c r="CF20" s="64" t="str">
        <f t="shared" si="33"/>
        <v/>
      </c>
      <c r="CG20" s="280" t="str">
        <f t="array" ref="CG20">_xlfn.IFNA(INDEX('DMR 001C NEW'!$A$3:$O$999,MATCH(('001-C DMR'!$BY$6&amp;'001-C DMR'!CG$10&amp;'001-C DMR'!$B20),('DMR 001C NEW'!$E$3:$E$1112&amp;'DMR 001C NEW'!$B$3:$B$1112&amp;'DMR 001C NEW'!$A$3:$A$1112),0),MATCH('001-C DMR'!$CA$11,'DMR 001C NEW'!$A$2:$O$2,0)),"")</f>
        <v/>
      </c>
      <c r="CH20" s="280" t="str">
        <f t="array" ref="CH20">_xlfn.IFNA(INDEX('DMR 001C NEW'!$A$3:$O$999,MATCH(('001-C DMR'!$BY$6&amp;'001-C DMR'!CH$10&amp;'001-C DMR'!$B20),('DMR 001C NEW'!$E$3:$E$1112&amp;'DMR 001C NEW'!$B$3:$B$1112&amp;'DMR 001C NEW'!$A$3:$A$1112),0),MATCH('001-C DMR'!$CA$11,'DMR 001C NEW'!$A$2:$O$2,0)),"")</f>
        <v/>
      </c>
      <c r="CI20" s="280" t="str">
        <f t="array" ref="CI20">_xlfn.IFNA(INDEX('DMR 001C NEW'!$A$3:$O$999,MATCH(('001-C DMR'!$BY$6&amp;'001-C DMR'!CI$10&amp;'001-C DMR'!$B20),('DMR 001C NEW'!$E$3:$E$1112&amp;'DMR 001C NEW'!$B$3:$B$1112&amp;'DMR 001C NEW'!$A$3:$A$1112),0),MATCH('001-C DMR'!$CA$11,'DMR 001C NEW'!$A$2:$O$2,0)),"")</f>
        <v/>
      </c>
      <c r="CJ20" s="280" t="str">
        <f t="array" ref="CJ20">_xlfn.IFNA(INDEX('DMR 001C NEW'!$A$3:$O$999,MATCH(('001-C DMR'!$BY$6&amp;'001-C DMR'!CJ$10&amp;'001-C DMR'!$B20),('DMR 001C NEW'!$E$3:$E$1112&amp;'DMR 001C NEW'!$B$3:$B$1112&amp;'DMR 001C NEW'!$A$3:$A$1112),0),MATCH('001-C DMR'!$CA$11,'DMR 001C NEW'!$A$2:$O$2,0)),"")</f>
        <v/>
      </c>
      <c r="CK20" s="280" t="str">
        <f t="array" ref="CK20">_xlfn.IFNA(INDEX('DMR 001C NEW'!$A$3:$O$999,MATCH(('001-C DMR'!$BY$6&amp;'001-C DMR'!CK$10&amp;'001-C DMR'!$B20),('DMR 001C NEW'!$E$3:$E$1112&amp;'DMR 001C NEW'!$B$3:$B$1112&amp;'DMR 001C NEW'!$A$3:$A$1112),0),MATCH('001-C DMR'!$CA$11,'DMR 001C NEW'!$A$2:$O$2,0)),"")</f>
        <v/>
      </c>
      <c r="CL20" s="280" t="str">
        <f t="array" ref="CL20">_xlfn.IFNA(INDEX('DMR 001C NEW'!$A$3:$O$999,MATCH(('001-C DMR'!$BY$6&amp;'001-C DMR'!CL$10&amp;'001-C DMR'!$B20),('DMR 001C NEW'!$E$3:$E$1112&amp;'DMR 001C NEW'!$B$3:$B$1112&amp;'DMR 001C NEW'!$A$3:$A$1112),0),MATCH('001-C DMR'!$CA$11,'DMR 001C NEW'!$A$2:$O$2,0)),"")</f>
        <v/>
      </c>
      <c r="CM20" s="61" t="str">
        <f t="shared" si="12"/>
        <v/>
      </c>
      <c r="CN20" s="138" t="str">
        <f t="array" ref="CN20">_xlfn.IFNA((INDEX('DMR 001C NEW'!$A$3:$O$9999,MATCH(('001-C DMR'!$CM$6&amp;'001-C DMR'!$CM$10&amp;'001-C DMR'!$B20),('DMR 001C NEW'!$E$3:$E$9018&amp;'DMR 001C NEW'!$B$3:$B$9018&amp;'DMR 001C NEW'!$A$3:$A$9018),0),MATCH('001-C DMR'!$CN$11,'DMR 001C NEW'!$A$2:$O$2,0))*1000),"")</f>
        <v/>
      </c>
      <c r="CO20" s="138" t="str">
        <f t="array" ref="CO20">_xlfn.IFNA(INDEX('DMR 001C NEW'!$A$3:$O$9999,MATCH(('001-C DMR'!$CM$6&amp;'001-C DMR'!$CM$10&amp;'001-C DMR'!$B20),('DMR 001C NEW'!$E$3:$E$9018&amp;'DMR 001C NEW'!$B$3:$B$9018&amp;'DMR 001C NEW'!$A$3:$A$9018),0),MATCH('001-C DMR'!$CO$11,'DMR 001C NEW'!$A$2:$O$2,0))*1000,"")</f>
        <v/>
      </c>
      <c r="CP20" s="138" t="str">
        <f t="shared" si="13"/>
        <v/>
      </c>
      <c r="CQ20" s="64" t="str">
        <f t="shared" si="34"/>
        <v/>
      </c>
      <c r="CR20" s="280" t="str">
        <f t="array" ref="CR20">_xlfn.IFNA(INDEX('DMR 001C NEW'!$A$3:$O$999,MATCH(('001-C DMR'!$CM$6&amp;'001-C DMR'!CR$10&amp;'001-C DMR'!$B20),('DMR 001C NEW'!$E$3:$E$1112&amp;'DMR 001C NEW'!$B$3:$B$1112&amp;'DMR 001C NEW'!$A$3:$A$1112),0),MATCH('001-C DMR'!$CO$11,'DMR 001C NEW'!$A$2:$O$2,0)),"")</f>
        <v/>
      </c>
      <c r="CS20" s="280" t="str">
        <f t="array" ref="CS20">_xlfn.IFNA(INDEX('DMR 001C NEW'!$A$3:$O$999,MATCH(('001-C DMR'!$CM$6&amp;'001-C DMR'!CS$10&amp;'001-C DMR'!$B20),('DMR 001C NEW'!$E$3:$E$1112&amp;'DMR 001C NEW'!$B$3:$B$1112&amp;'DMR 001C NEW'!$A$3:$A$1112),0),MATCH('001-C DMR'!$CO$11,'DMR 001C NEW'!$A$2:$O$2,0)),"")</f>
        <v/>
      </c>
      <c r="CT20" s="280" t="str">
        <f t="array" ref="CT20">_xlfn.IFNA(INDEX('DMR 001C NEW'!$A$3:$O$999,MATCH(('001-C DMR'!$CM$6&amp;'001-C DMR'!CT$10&amp;'001-C DMR'!$B20),('DMR 001C NEW'!$E$3:$E$1112&amp;'DMR 001C NEW'!$B$3:$B$1112&amp;'DMR 001C NEW'!$A$3:$A$1112),0),MATCH('001-C DMR'!$CO$11,'DMR 001C NEW'!$A$2:$O$2,0)),"")</f>
        <v/>
      </c>
      <c r="CU20" s="280" t="str">
        <f t="array" ref="CU20">_xlfn.IFNA(INDEX('DMR 001C NEW'!$A$3:$O$999,MATCH(('001-C DMR'!$CM$6&amp;'001-C DMR'!CU$10&amp;'001-C DMR'!$B20),('DMR 001C NEW'!$E$3:$E$1112&amp;'DMR 001C NEW'!$B$3:$B$1112&amp;'DMR 001C NEW'!$A$3:$A$1112),0),MATCH('001-C DMR'!$CO$11,'DMR 001C NEW'!$A$2:$O$2,0)),"")</f>
        <v/>
      </c>
      <c r="CV20" s="280" t="str">
        <f t="array" ref="CV20">_xlfn.IFNA(INDEX('DMR 001C NEW'!$A$3:$O$999,MATCH(('001-C DMR'!$CM$6&amp;'001-C DMR'!CV$10&amp;'001-C DMR'!$B20),('DMR 001C NEW'!$E$3:$E$1112&amp;'DMR 001C NEW'!$B$3:$B$1112&amp;'DMR 001C NEW'!$A$3:$A$1112),0),MATCH('001-C DMR'!$CO$11,'DMR 001C NEW'!$A$2:$O$2,0)),"")</f>
        <v/>
      </c>
      <c r="CW20" s="280" t="str">
        <f t="array" ref="CW20">_xlfn.IFNA(INDEX('DMR 001C NEW'!$A$3:$O$999,MATCH(('001-C DMR'!$CM$6&amp;'001-C DMR'!CW$10&amp;'001-C DMR'!$B20),('DMR 001C NEW'!$E$3:$E$1112&amp;'DMR 001C NEW'!$B$3:$B$1112&amp;'DMR 001C NEW'!$A$3:$A$1112),0),MATCH('001-C DMR'!$CO$11,'DMR 001C NEW'!$A$2:$O$2,0)),"")</f>
        <v/>
      </c>
      <c r="CX20" s="280" t="str">
        <f t="array" ref="CX20">_xlfn.IFNA(INDEX('DMR 001C NEW'!$A$3:$O$999,MATCH(('001-C DMR'!$CM$6&amp;'001-C DMR'!CX$10&amp;'001-C DMR'!$B20),('DMR 001C NEW'!$E$3:$E$1112&amp;'DMR 001C NEW'!$B$3:$B$1112&amp;'DMR 001C NEW'!$A$3:$A$1112),0),MATCH('001-C DMR'!$CO$11,'DMR 001C NEW'!$A$2:$O$2,0)),"")</f>
        <v/>
      </c>
      <c r="CY20" s="61" t="str">
        <f t="shared" si="14"/>
        <v/>
      </c>
      <c r="CZ20" s="138" t="str">
        <f t="array" ref="CZ20">_xlfn.IFNA((INDEX('DMR 001C NEW'!$A$3:$O$9999,MATCH(('001-C DMR'!$CY$6&amp;'001-C DMR'!$CY$10&amp;'001-C DMR'!$B20),('DMR 001C NEW'!$E$3:$E$9018&amp;'DMR 001C NEW'!$B$3:$B$9018&amp;'DMR 001C NEW'!$A$3:$A$9018),0),MATCH('001-C DMR'!$CZ$11,'DMR 001C NEW'!$A$2:$O$2,0))*1000),"")</f>
        <v/>
      </c>
      <c r="DA20" s="138" t="str">
        <f t="array" ref="DA20">_xlfn.IFNA(INDEX('DMR 001C NEW'!$A$3:$O$9999,MATCH(('001-C DMR'!$CY$6&amp;'001-C DMR'!$CY$10&amp;'001-C DMR'!$B20),('DMR 001C NEW'!$E$3:$E$9018&amp;'DMR 001C NEW'!$B$3:$B$9018&amp;'DMR 001C NEW'!$A$3:$A$9018),0),MATCH('001-C DMR'!$DA$11,'DMR 001C NEW'!$A$2:$O$2,0))*1000,"")</f>
        <v/>
      </c>
      <c r="DB20" s="138" t="str">
        <f t="shared" si="15"/>
        <v/>
      </c>
      <c r="DC20" s="64" t="str">
        <f t="shared" si="35"/>
        <v/>
      </c>
      <c r="DD20" s="280" t="str">
        <f t="array" ref="DD20">_xlfn.IFNA(INDEX('DMR 001C NEW'!$A$3:$O$999,MATCH(('001-C DMR'!$CY$6&amp;'001-C DMR'!DD$10&amp;'001-C DMR'!$B20),('DMR 001C NEW'!$E$3:$E$1112&amp;'DMR 001C NEW'!$B$3:$B$1112&amp;'DMR 001C NEW'!$A$3:$A$1112),0),MATCH('001-C DMR'!$DA$11,'DMR 001C NEW'!$A$2:$O$2,0)),"")</f>
        <v/>
      </c>
      <c r="DE20" s="280" t="str">
        <f t="array" ref="DE20">_xlfn.IFNA(INDEX('DMR 001C NEW'!$A$3:$O$999,MATCH(('001-C DMR'!$CY$6&amp;'001-C DMR'!DE$10&amp;'001-C DMR'!$B20),('DMR 001C NEW'!$E$3:$E$1112&amp;'DMR 001C NEW'!$B$3:$B$1112&amp;'DMR 001C NEW'!$A$3:$A$1112),0),MATCH('001-C DMR'!$DA$11,'DMR 001C NEW'!$A$2:$O$2,0)),"")</f>
        <v/>
      </c>
      <c r="DF20" s="280" t="str">
        <f t="array" ref="DF20">_xlfn.IFNA(INDEX('DMR 001C NEW'!$A$3:$O$999,MATCH(('001-C DMR'!$CY$6&amp;'001-C DMR'!DF$10&amp;'001-C DMR'!$B20),('DMR 001C NEW'!$E$3:$E$1112&amp;'DMR 001C NEW'!$B$3:$B$1112&amp;'DMR 001C NEW'!$A$3:$A$1112),0),MATCH('001-C DMR'!$DA$11,'DMR 001C NEW'!$A$2:$O$2,0)),"")</f>
        <v/>
      </c>
      <c r="DG20" s="280" t="str">
        <f t="array" ref="DG20">_xlfn.IFNA(INDEX('DMR 001C NEW'!$A$3:$O$999,MATCH(('001-C DMR'!$CY$6&amp;'001-C DMR'!DG$10&amp;'001-C DMR'!$B20),('DMR 001C NEW'!$E$3:$E$1112&amp;'DMR 001C NEW'!$B$3:$B$1112&amp;'DMR 001C NEW'!$A$3:$A$1112),0),MATCH('001-C DMR'!$DA$11,'DMR 001C NEW'!$A$2:$O$2,0)),"")</f>
        <v/>
      </c>
      <c r="DH20" s="280" t="str">
        <f t="array" ref="DH20">_xlfn.IFNA(INDEX('DMR 001C NEW'!$A$3:$O$999,MATCH(('001-C DMR'!$CY$6&amp;'001-C DMR'!DH$10&amp;'001-C DMR'!$B20),('DMR 001C NEW'!$E$3:$E$1112&amp;'DMR 001C NEW'!$B$3:$B$1112&amp;'DMR 001C NEW'!$A$3:$A$1112),0),MATCH('001-C DMR'!$DA$11,'DMR 001C NEW'!$A$2:$O$2,0)),"")</f>
        <v/>
      </c>
      <c r="DI20" s="280" t="str">
        <f t="array" ref="DI20">_xlfn.IFNA(INDEX('DMR 001C NEW'!$A$3:$O$999,MATCH(('001-C DMR'!$CY$6&amp;'001-C DMR'!DI$10&amp;'001-C DMR'!$B20),('DMR 001C NEW'!$E$3:$E$1112&amp;'DMR 001C NEW'!$B$3:$B$1112&amp;'DMR 001C NEW'!$A$3:$A$1112),0),MATCH('001-C DMR'!$DA$11,'DMR 001C NEW'!$A$2:$O$2,0)),"")</f>
        <v/>
      </c>
      <c r="DJ20" s="280" t="str">
        <f t="array" ref="DJ20">_xlfn.IFNA(INDEX('DMR 001C NEW'!$A$3:$O$999,MATCH(('001-C DMR'!$CY$6&amp;'001-C DMR'!DJ$10&amp;'001-C DMR'!$B20),('DMR 001C NEW'!$E$3:$E$1112&amp;'DMR 001C NEW'!$B$3:$B$1112&amp;'DMR 001C NEW'!$A$3:$A$1112),0),MATCH('001-C DMR'!$DA$11,'DMR 001C NEW'!$A$2:$O$2,0)),"")</f>
        <v/>
      </c>
      <c r="DK20" s="61" t="str">
        <f t="shared" si="16"/>
        <v/>
      </c>
      <c r="DL20" s="58" t="str">
        <f t="array" ref="DL20">_xlfn.IFNA((INDEX('DMR 001C NEW'!$A$3:$O$9999,MATCH(('001-C DMR'!$DK$6&amp;'001-C DMR'!$DK$10&amp;'001-C DMR'!$B20),('DMR 001C NEW'!$E$3:$E$9018&amp;'DMR 001C NEW'!$B$3:$B$9018&amp;'DMR 001C NEW'!$A$3:$A$9018),0),MATCH('001-C DMR'!$DL$11,'DMR 001C NEW'!$A$2:$O$2,0))),"")</f>
        <v/>
      </c>
      <c r="DM20" s="58" t="str">
        <f t="array" ref="DM20">_xlfn.IFNA(INDEX('DMR 001C NEW'!$A$3:$O$9999,MATCH(('001-C DMR'!$DK$6&amp;'001-C DMR'!$DK$10&amp;'001-C DMR'!$B20),('DMR 001C NEW'!$E$3:$E$9018&amp;'DMR 001C NEW'!$B$3:$B$9018&amp;'DMR 001C NEW'!$A$3:$A$9018),0),MATCH('001-C DMR'!$DM$11,'DMR 001C NEW'!$A$2:$O$2,0)),"")</f>
        <v/>
      </c>
      <c r="DN20" s="58" t="str">
        <f t="shared" si="17"/>
        <v/>
      </c>
      <c r="DO20" s="223"/>
      <c r="DP20" s="224"/>
      <c r="DQ20" s="64" t="str">
        <f t="shared" si="18"/>
        <v/>
      </c>
      <c r="DR20" s="280" t="str">
        <f t="array" ref="DR20">_xlfn.IFNA(INDEX('DMR 001C NEW'!$A$3:$O$999,MATCH(('001-C DMR'!$DK$6&amp;'001-C DMR'!DR$10&amp;'001-C DMR'!$B20),('DMR 001C NEW'!$E$3:$E$1112&amp;'DMR 001C NEW'!$B$3:$B$1112&amp;'DMR 001C NEW'!$A$3:$A$1112),0),MATCH('001-C DMR'!$DR$11,'DMR 001C NEW'!$A$2:$O$2,0)),"")</f>
        <v/>
      </c>
      <c r="DS20" s="280" t="str">
        <f t="array" ref="DS20">_xlfn.IFNA(INDEX('DMR 001C NEW'!$A$3:$O$999,MATCH(('001-C DMR'!$DK$6&amp;'001-C DMR'!DS$10&amp;'001-C DMR'!$B20),('DMR 001C NEW'!$E$3:$E$1112&amp;'DMR 001C NEW'!$B$3:$B$1112&amp;'DMR 001C NEW'!$A$3:$A$1112),0),MATCH('001-C DMR'!$DR$11,'DMR 001C NEW'!$A$2:$O$2,0)),"")</f>
        <v/>
      </c>
      <c r="DT20" s="280" t="str">
        <f t="array" ref="DT20">_xlfn.IFNA(INDEX('DMR 001C NEW'!$A$3:$O$999,MATCH(('001-C DMR'!$DK$6&amp;'001-C DMR'!DT$10&amp;'001-C DMR'!$B20),('DMR 001C NEW'!$E$3:$E$1112&amp;'DMR 001C NEW'!$B$3:$B$1112&amp;'DMR 001C NEW'!$A$3:$A$1112),0),MATCH('001-C DMR'!$DR$11,'DMR 001C NEW'!$A$2:$O$2,0)),"")</f>
        <v/>
      </c>
      <c r="DU20" s="280" t="str">
        <f t="array" ref="DU20">_xlfn.IFNA(INDEX('DMR 001C NEW'!$A$3:$O$999,MATCH(('001-C DMR'!$DK$6&amp;'001-C DMR'!DU$10&amp;'001-C DMR'!$B20),('DMR 001C NEW'!$E$3:$E$1112&amp;'DMR 001C NEW'!$B$3:$B$1112&amp;'DMR 001C NEW'!$A$3:$A$1112),0),MATCH('001-C DMR'!$DR$11,'DMR 001C NEW'!$A$2:$O$2,0)),"")</f>
        <v/>
      </c>
      <c r="DV20" s="280" t="str">
        <f t="array" ref="DV20">_xlfn.IFNA(INDEX('DMR 001C NEW'!$A$3:$O$999,MATCH(('001-C DMR'!$DK$6&amp;'001-C DMR'!DV$10&amp;'001-C DMR'!$B20),('DMR 001C NEW'!$E$3:$E$1112&amp;'DMR 001C NEW'!$B$3:$B$1112&amp;'DMR 001C NEW'!$A$3:$A$1112),0),MATCH('001-C DMR'!$DR$11,'DMR 001C NEW'!$A$2:$O$2,0)),"")</f>
        <v/>
      </c>
      <c r="DW20" s="280" t="str">
        <f t="array" ref="DW20">_xlfn.IFNA(INDEX('DMR 001C NEW'!$A$3:$O$999,MATCH(('001-C DMR'!$DK$6&amp;'001-C DMR'!DW$10&amp;'001-C DMR'!$B20),('DMR 001C NEW'!$E$3:$E$1112&amp;'DMR 001C NEW'!$B$3:$B$1112&amp;'DMR 001C NEW'!$A$3:$A$1112),0),MATCH('001-C DMR'!$DR$11,'DMR 001C NEW'!$A$2:$O$2,0)),"")</f>
        <v/>
      </c>
      <c r="DX20" s="280" t="str">
        <f t="array" ref="DX20">_xlfn.IFNA(INDEX('DMR 001C NEW'!$A$3:$O$999,MATCH(('001-C DMR'!$DK$6&amp;'001-C DMR'!DX$10&amp;'001-C DMR'!$B20),('DMR 001C NEW'!$E$3:$E$1112&amp;'DMR 001C NEW'!$B$3:$B$1112&amp;'DMR 001C NEW'!$A$3:$A$1112),0),MATCH('001-C DMR'!$DR$11,'DMR 001C NEW'!$A$2:$O$2,0)),"")</f>
        <v/>
      </c>
      <c r="DY20" s="61" t="str">
        <f t="shared" si="28"/>
        <v/>
      </c>
      <c r="DZ20" s="249" t="str">
        <f t="array" ref="DZ20">_xlfn.IFNA((INDEX('DMR 001C NEW'!$A$3:$O$9999,MATCH(('001-C DMR'!$DY$6&amp;'001-C DMR'!$DY$10&amp;'001-C DMR'!$B20),('DMR 001C NEW'!$E$3:$E$9018&amp;'DMR 001C NEW'!$B$3:$B$9018&amp;'DMR 001C NEW'!$A$3:$A$9018),0),MATCH('001-C DMR'!$DZ$11,'DMR 001C NEW'!$A$2:$O$2,0))),"")</f>
        <v/>
      </c>
      <c r="EA20" s="249" t="str">
        <f t="array" ref="EA20">_xlfn.IFNA((INDEX('DMR 001C NEW'!$A$3:$O$9999,MATCH(('001-C DMR'!$DY$6&amp;'001-C DMR'!$DY$10&amp;'001-C DMR'!$B20),('DMR 001C NEW'!$E$3:$E$9018&amp;'DMR 001C NEW'!$B$3:$B$9018&amp;'DMR 001C NEW'!$A$3:$A$9018),0),MATCH('001-C DMR'!$EA$11,'DMR 001C NEW'!$A$2:$O$2,0))),"")</f>
        <v/>
      </c>
      <c r="EB20" s="249" t="str">
        <f t="array" ref="EB20">IF(EA20="SCRATCHED","",IF(EA20&lt;DZ20,0,EA20))</f>
        <v/>
      </c>
      <c r="EC20" s="249" t="str">
        <f t="shared" si="29"/>
        <v/>
      </c>
      <c r="ED20" s="249" t="str">
        <f t="array" ref="ED20">_xlfn.IFNA((INDEX('DMR 001C NEW'!$A$3:$O$9999,MATCH(('001-C DMR'!$DY$6&amp;'001-C DMR'!$EC$10&amp;'001-C DMR'!$B20),('DMR 001C NEW'!$E$3:$E$9018&amp;'DMR 001C NEW'!$B$3:$B$9018&amp;'DMR 001C NEW'!$A$3:$A$9018),0),MATCH('001-C DMR'!$DZ$11,'DMR 001C NEW'!$A$2:$O$2,0))),"")</f>
        <v/>
      </c>
      <c r="EE20" s="249" t="str">
        <f t="array" ref="EE20">_xlfn.IFNA((INDEX('DMR 001C NEW'!$A$3:$O$9999,MATCH(('001-C DMR'!$DY$6&amp;'001-C DMR'!$EC$10&amp;'001-C DMR'!$B20),('DMR 001C NEW'!$E$3:$E$9018&amp;'DMR 001C NEW'!$B$3:$B$9018&amp;'DMR 001C NEW'!$A$3:$A$9018),0),MATCH('001-C DMR'!$EE$11,'DMR 001C NEW'!$A$2:$O$2,0))),"")</f>
        <v/>
      </c>
      <c r="EF20" s="249" t="str">
        <f t="array" ref="EF20">IF(EE20="SCRATCHED","",IF(EE20&lt;ED20,0,EE20))</f>
        <v/>
      </c>
      <c r="EG20" s="249"/>
      <c r="EH20" s="195"/>
      <c r="EI20" s="194">
        <f t="array" ref="EI20">_xlfn.IFNA(INDEX('DMR Flows-Effluent'!$A$3:$F$186,MATCH(($EI$10&amp;$B20),('DMR Flows-Effluent'!$B$3:$B$186&amp;'DMR Flows-Effluent'!$A$3:$A$186),0),MATCH($EI$8,'DMR Flows-Effluent'!$A$2:$F$2,0)),"")</f>
        <v>52.2712</v>
      </c>
      <c r="EJ20" s="56">
        <f t="array" ref="EJ20">_xlfn.IFNA(INDEX('DMR Flows-Effluent'!$A$3:$F$186,MATCH(($EJ$10&amp;$B20),('DMR Flows-Effluent'!$B$3:$B$186&amp;'DMR Flows-Effluent'!$A$3:$A$186),0),MATCH($EI$8,'DMR Flows-Effluent'!$A$2:$F$2,0)),"")</f>
        <v>72.749200000000002</v>
      </c>
      <c r="EK20" s="168">
        <f t="shared" si="19"/>
        <v>125.0204</v>
      </c>
      <c r="EL20" s="63"/>
      <c r="EM20" s="63"/>
      <c r="EN20" s="63"/>
      <c r="EO20" s="63"/>
      <c r="EP20" s="62"/>
      <c r="EQ20" s="157">
        <f>'E.Coli Calculations'!R14</f>
        <v>58.093033637841877</v>
      </c>
      <c r="ER20" s="56"/>
      <c r="ES20" s="64" t="str">
        <f t="shared" si="36"/>
        <v/>
      </c>
      <c r="ET20" s="61" t="str">
        <f t="shared" si="20"/>
        <v/>
      </c>
      <c r="EU20" s="58" t="str">
        <f t="array" ref="EU20">_xlfn.IFNA((INDEX('DMR 001C NEW'!$A$3:$O$9999,MATCH(('001-C DMR'!$ET$6&amp;'001-C DMR'!$ET$10&amp;'001-C DMR'!$B20),('DMR 001C NEW'!$E$3:$E$9018&amp;'DMR 001C NEW'!$B$3:$B$9018&amp;'DMR 001C NEW'!$A$3:$A$9018),0),MATCH('001-C DMR'!$EU$11,'DMR 001C NEW'!$A$2:$O$2,0))),"")</f>
        <v/>
      </c>
      <c r="EV20" s="58" t="str">
        <f t="array" ref="EV20">_xlfn.IFNA(INDEX('DMR 001C NEW'!$A$3:$O$9999,MATCH(('001-C DMR'!$ET$6&amp;'001-C DMR'!$ET$10&amp;'001-C DMR'!$B20),('DMR 001C NEW'!$E$3:$E$9018&amp;'DMR 001C NEW'!$B$3:$B$9018&amp;'DMR 001C NEW'!$A$3:$A$9018),0),MATCH('001-C DMR'!$EV$11,'DMR 001C NEW'!$A$2:$O$2,0)),"")</f>
        <v/>
      </c>
      <c r="EW20" s="56" t="str">
        <f t="shared" si="21"/>
        <v/>
      </c>
      <c r="EX20" s="64"/>
      <c r="EY20" s="279" t="str">
        <f t="array" ref="EY20">_xlfn.IFNA(INDEX('DMR 001C NEW'!$A$3:$O$999,MATCH(('001-C DMR'!$ET$6&amp;'001-C DMR'!EY$10&amp;'001-C DMR'!$B20),('DMR 001C NEW'!$E$3:$E$1112&amp;'DMR 001C NEW'!$B$3:$B$1112&amp;'DMR 001C NEW'!$A$3:$A$1112),0),MATCH('001-C DMR'!$EY$11,'DMR 001C NEW'!$A$2:$O$2,0)),"")</f>
        <v/>
      </c>
      <c r="EZ20" s="280" t="str">
        <f t="array" ref="EZ20">_xlfn.IFNA(INDEX('DMR 001C NEW'!$A$3:$O$999,MATCH(('001-C DMR'!$ET$6&amp;'001-C DMR'!EZ$10&amp;'001-C DMR'!$B20),('DMR 001C NEW'!$E$3:$E$1112&amp;'DMR 001C NEW'!$B$3:$B$1112&amp;'DMR 001C NEW'!$A$3:$A$1112),0),MATCH('001-C DMR'!$EY$11,'DMR 001C NEW'!$A$2:$O$2,0)),"")</f>
        <v/>
      </c>
      <c r="FA20" s="280" t="str">
        <f t="array" ref="FA20">_xlfn.IFNA(INDEX('DMR 001C NEW'!$A$3:$O$999,MATCH(('001-C DMR'!$ET$6&amp;'001-C DMR'!FA$10&amp;'001-C DMR'!$B20),('DMR 001C NEW'!$E$3:$E$1112&amp;'DMR 001C NEW'!$B$3:$B$1112&amp;'DMR 001C NEW'!$A$3:$A$1112),0),MATCH('001-C DMR'!$EY$11,'DMR 001C NEW'!$A$2:$O$2,0)),"")</f>
        <v/>
      </c>
      <c r="FB20" s="280" t="str">
        <f t="array" ref="FB20">_xlfn.IFNA(INDEX('DMR 001C NEW'!$A$3:$O$999,MATCH(('001-C DMR'!$ET$6&amp;'001-C DMR'!FB$10&amp;'001-C DMR'!$B20),('DMR 001C NEW'!$E$3:$E$1112&amp;'DMR 001C NEW'!$B$3:$B$1112&amp;'DMR 001C NEW'!$A$3:$A$1112),0),MATCH('001-C DMR'!$EY$11,'DMR 001C NEW'!$A$2:$O$2,0)),"")</f>
        <v/>
      </c>
      <c r="FC20" s="280" t="str">
        <f t="array" ref="FC20">_xlfn.IFNA(INDEX('DMR 001C NEW'!$A$3:$O$999,MATCH(('001-C DMR'!$ET$6&amp;'001-C DMR'!FC$10&amp;'001-C DMR'!$B20),('DMR 001C NEW'!$E$3:$E$1112&amp;'DMR 001C NEW'!$B$3:$B$1112&amp;'DMR 001C NEW'!$A$3:$A$1112),0),MATCH('001-C DMR'!$EY$11,'DMR 001C NEW'!$A$2:$O$2,0)),"")</f>
        <v/>
      </c>
      <c r="FD20" s="280" t="str">
        <f t="array" ref="FD20">_xlfn.IFNA(INDEX('DMR 001C NEW'!$A$3:$O$999,MATCH(('001-C DMR'!$ET$6&amp;'001-C DMR'!FD$10&amp;'001-C DMR'!$B20),('DMR 001C NEW'!$E$3:$E$1112&amp;'DMR 001C NEW'!$B$3:$B$1112&amp;'DMR 001C NEW'!$A$3:$A$1112),0),MATCH('001-C DMR'!$EY$11,'DMR 001C NEW'!$A$2:$O$2,0)),"")</f>
        <v/>
      </c>
      <c r="FE20" s="281" t="str">
        <f t="array" ref="FE20">_xlfn.IFNA(INDEX('DMR 001C NEW'!$A$3:$O$999,MATCH(('001-C DMR'!$ET$6&amp;'001-C DMR'!FE$10&amp;'001-C DMR'!$B20),('DMR 001C NEW'!$E$3:$E$1112&amp;'DMR 001C NEW'!$B$3:$B$1112&amp;'DMR 001C NEW'!$A$3:$A$1112),0),MATCH('001-C DMR'!$EY$11,'DMR 001C NEW'!$A$2:$O$2,0)),"")</f>
        <v/>
      </c>
      <c r="FF20" s="57" t="str">
        <f t="shared" si="22"/>
        <v/>
      </c>
      <c r="FG20" s="56">
        <f t="array" ref="FG20">_xlfn.IFNA(INDEX('DMR 001C NEW'!$A$3:$O$9999,MATCH(('001-C DMR'!$FF$6&amp;'001-C DMR'!$FF$10&amp;'001-C DMR'!$B20),('DMR 001C NEW'!$E$3:$E$7246&amp;'DMR 001C NEW'!$B$3:$B$7246&amp;'DMR 001C NEW'!$A$3:$A$7246),0),MATCH('001-C DMR'!$FG$11,'DMR 001C NEW'!$A$2:$O$2,0)),"")</f>
        <v>0</v>
      </c>
      <c r="FH20" s="56">
        <f t="array" ref="FH20">_xlfn.IFNA(INDEX('DMR 001C NEW'!$A$3:$O$9999,MATCH(('001-C DMR'!$FF$6&amp;'001-C DMR'!$FF$10&amp;'001-C DMR'!$B20),('DMR 001C NEW'!$E$3:$E$7246&amp;'DMR 001C NEW'!$B$3:$B$7246&amp;'DMR 001C NEW'!$A$3:$A$7246),0),MATCH('001-C DMR'!$FH$11,'DMR 001C NEW'!$A$2:$O$2,0)),"")</f>
        <v>4</v>
      </c>
      <c r="FI20" s="57" t="str">
        <f t="shared" si="23"/>
        <v/>
      </c>
      <c r="FJ20" s="56">
        <f t="array" ref="FJ20">_xlfn.IFNA(INDEX('DMR 001C NEW'!$A$3:$O$9999,MATCH(('001-C DMR'!$FF$6&amp;'001-C DMR'!$FI$10&amp;'001-C DMR'!$B20),('DMR 001C NEW'!$E$3:$E$7246&amp;'DMR 001C NEW'!$B$3:$B$7246&amp;'DMR 001C NEW'!$A$3:$A$7246),0),MATCH('001-C DMR'!$FG$11,'DMR 001C NEW'!$A$2:$O$2,0)),"")</f>
        <v>0</v>
      </c>
      <c r="FK20" s="56">
        <f t="array" ref="FK20">_xlfn.IFNA(INDEX('DMR 001C NEW'!$A$3:$O$9999,MATCH(('001-C DMR'!$FF$6&amp;'001-C DMR'!$FI$10&amp;'001-C DMR'!$B20),('DMR 001C NEW'!$E$3:$E$7246&amp;'DMR 001C NEW'!$B$3:$B$7246&amp;'DMR 001C NEW'!$A$3:$A$7246),0),MATCH('001-C DMR'!$FH$11,'DMR 001C NEW'!$A$2:$O$2,0)),"")</f>
        <v>5</v>
      </c>
      <c r="FL20" s="56">
        <f t="array" ref="FL20">IFERROR((($FH20*$EI20)+($FK20*$EJ20))/($EK20),"")</f>
        <v>4.5818986341429078</v>
      </c>
      <c r="FM20" s="56" t="str">
        <f t="shared" si="43"/>
        <v/>
      </c>
      <c r="FN20" s="64" t="str">
        <f t="shared" si="37"/>
        <v/>
      </c>
      <c r="FO20" s="66"/>
      <c r="FP20" s="280" t="str">
        <f t="array" ref="FP20">_xlfn.IFNA(INDEX('DMR 001C NEW'!$A$3:$O$999,MATCH(('001-C DMR'!$FF$6&amp;'001-C DMR'!FP$10&amp;'001-C DMR'!$B20),('DMR 001C NEW'!$E$3:$E$1112&amp;'DMR 001C NEW'!$B$3:$B$1112&amp;'DMR 001C NEW'!$A$3:$A$1112),0),MATCH('001-C DMR'!$FH$11,'DMR 001C NEW'!$A$2:$O$2,0)),"")</f>
        <v/>
      </c>
      <c r="FQ20" s="280" t="str">
        <f t="array" ref="FQ20">_xlfn.IFNA(INDEX('DMR 001C NEW'!$A$3:$O$999,MATCH(('001-C DMR'!$FF$6&amp;'001-C DMR'!FQ$10&amp;'001-C DMR'!$B20),('DMR 001C NEW'!$E$3:$E$1112&amp;'DMR 001C NEW'!$B$3:$B$1112&amp;'DMR 001C NEW'!$A$3:$A$1112),0),MATCH('001-C DMR'!$FH$11,'DMR 001C NEW'!$A$2:$O$2,0)),"")</f>
        <v/>
      </c>
      <c r="FR20" s="280" t="str">
        <f t="array" ref="FR20">_xlfn.IFNA(INDEX('DMR 001C NEW'!$A$3:$O$999,MATCH(('001-C DMR'!$FF$6&amp;'001-C DMR'!FR$10&amp;'001-C DMR'!$B20),('DMR 001C NEW'!$E$3:$E$1112&amp;'DMR 001C NEW'!$B$3:$B$1112&amp;'DMR 001C NEW'!$A$3:$A$1112),0),MATCH('001-C DMR'!$FH$11,'DMR 001C NEW'!$A$2:$O$2,0)),"")</f>
        <v/>
      </c>
      <c r="FS20" s="280" t="str">
        <f t="array" ref="FS20">_xlfn.IFNA(INDEX('DMR 001C NEW'!$A$3:$O$999,MATCH(('001-C DMR'!$FF$6&amp;'001-C DMR'!FS$10&amp;'001-C DMR'!$B20),('DMR 001C NEW'!$E$3:$E$1112&amp;'DMR 001C NEW'!$B$3:$B$1112&amp;'DMR 001C NEW'!$A$3:$A$1112),0),MATCH('001-C DMR'!$FH$11,'DMR 001C NEW'!$A$2:$O$2,0)),"")</f>
        <v/>
      </c>
      <c r="FT20" s="280" t="str">
        <f t="array" ref="FT20">_xlfn.IFNA(INDEX('DMR 001C NEW'!$A$3:$O$999,MATCH(('001-C DMR'!$FF$6&amp;'001-C DMR'!FT$10&amp;'001-C DMR'!$B20),('DMR 001C NEW'!$E$3:$E$1112&amp;'DMR 001C NEW'!$B$3:$B$1112&amp;'DMR 001C NEW'!$A$3:$A$1112),0),MATCH('001-C DMR'!$FH$11,'DMR 001C NEW'!$A$2:$O$2,0)),"")</f>
        <v/>
      </c>
      <c r="FU20" s="280" t="str">
        <f t="array" ref="FU20">_xlfn.IFNA(INDEX('DMR 001C NEW'!$A$3:$O$999,MATCH(('001-C DMR'!$FF$6&amp;'001-C DMR'!FU$10&amp;'001-C DMR'!$B20),('DMR 001C NEW'!$E$3:$E$1112&amp;'DMR 001C NEW'!$B$3:$B$1112&amp;'DMR 001C NEW'!$A$3:$A$1112),0),MATCH('001-C DMR'!$FH$11,'DMR 001C NEW'!$A$2:$O$2,0)),"")</f>
        <v/>
      </c>
      <c r="FV20" s="66"/>
      <c r="FW20" s="61" t="str">
        <f t="shared" si="24"/>
        <v/>
      </c>
      <c r="FX20" s="58" t="str">
        <f t="array" ref="FX20">_xlfn.IFNA(INDEX('DMR 001C NEW'!$A$3:$O$9999,MATCH(('001-C DMR'!$FW$6&amp;'001-C DMR'!$FW$10&amp;'001-C DMR'!$B20),('DMR 001C NEW'!$E$3:$E$7246&amp;'DMR 001C NEW'!$B$3:$B$7246&amp;'DMR 001C NEW'!$A$3:$A$7246),0),MATCH('001-C DMR'!$FX$11,'DMR 001C NEW'!$A$2:$O$2,0)),"")</f>
        <v/>
      </c>
      <c r="FY20" s="58" t="str">
        <f t="array" ref="FY20">_xlfn.IFNA(INDEX('DMR 001C NEW'!$A$3:$O$9999,MATCH(('001-C DMR'!$FW$6&amp;'001-C DMR'!$FW$10&amp;'001-C DMR'!$B20),('DMR 001C NEW'!$E$3:$E$7246&amp;'DMR 001C NEW'!$B$3:$B$7246&amp;'DMR 001C NEW'!$A$3:$A$7246),0),MATCH('001-C DMR'!$FY$11,'DMR 001C NEW'!$A$2:$O$2,0)),"")</f>
        <v/>
      </c>
      <c r="FZ20" s="57" t="str">
        <f t="shared" si="25"/>
        <v/>
      </c>
      <c r="GA20" s="58" t="str">
        <f t="array" ref="GA20">_xlfn.IFNA(INDEX('DMR 001C NEW'!$A$3:$O$9999,MATCH(('001-C DMR'!$FW$6&amp;'001-C DMR'!$FZ$10&amp;'001-C DMR'!$B20),('DMR 001C NEW'!$E$3:$E$7246&amp;'DMR 001C NEW'!$B$3:$B$7246&amp;'DMR 001C NEW'!$A$3:$A$7246),0),MATCH('001-C DMR'!$FX$11,'DMR 001C NEW'!$A$2:$O$2,0)),"")</f>
        <v/>
      </c>
      <c r="GB20" s="58" t="str">
        <f t="array" ref="GB20">_xlfn.IFNA(INDEX('DMR 001C NEW'!$A$3:$O$9999,MATCH(('001-C DMR'!$FW$6&amp;'001-C DMR'!$FZ$10&amp;'001-C DMR'!$B20),('DMR 001C NEW'!$E$3:$E$7246&amp;'DMR 001C NEW'!$B$3:$B$7246&amp;'DMR 001C NEW'!$A$3:$A$7246),0),MATCH('001-C DMR'!$GB$11,'DMR 001C NEW'!$A$2:$O$2,0)),"")</f>
        <v/>
      </c>
      <c r="GC20" s="56" t="str">
        <f t="shared" si="4"/>
        <v/>
      </c>
      <c r="GD20" s="64" t="str">
        <f t="shared" si="38"/>
        <v/>
      </c>
      <c r="GE20" s="279" t="str">
        <f t="array" ref="GE20">_xlfn.IFNA(INDEX('DMR 001C NEW'!$A$3:$O$999,MATCH(('001-C DMR'!$FW$6&amp;'001-C DMR'!GE$10&amp;'001-C DMR'!$B20),('DMR 001C NEW'!$E$3:$E$1112&amp;'DMR 001C NEW'!$B$3:$B$1112&amp;'DMR 001C NEW'!$A$3:$A$1112),0),MATCH('001-C DMR'!$FY$11,'DMR 001C NEW'!$A$2:$O$2,0)),"")</f>
        <v/>
      </c>
      <c r="GF20" s="280" t="str">
        <f t="array" ref="GF20">_xlfn.IFNA(INDEX('DMR 001C NEW'!$A$3:$O$999,MATCH(('001-C DMR'!$FW$6&amp;'001-C DMR'!GF$10&amp;'001-C DMR'!$B20),('DMR 001C NEW'!$E$3:$E$1112&amp;'DMR 001C NEW'!$B$3:$B$1112&amp;'DMR 001C NEW'!$A$3:$A$1112),0),MATCH('001-C DMR'!$FY$11,'DMR 001C NEW'!$A$2:$O$2,0)),"")</f>
        <v/>
      </c>
      <c r="GG20" s="280" t="str">
        <f t="array" ref="GG20">_xlfn.IFNA(INDEX('DMR 001C NEW'!$A$3:$O$999,MATCH(('001-C DMR'!$FW$6&amp;'001-C DMR'!GG$10&amp;'001-C DMR'!$B20),('DMR 001C NEW'!$E$3:$E$1112&amp;'DMR 001C NEW'!$B$3:$B$1112&amp;'DMR 001C NEW'!$A$3:$A$1112),0),MATCH('001-C DMR'!$FY$11,'DMR 001C NEW'!$A$2:$O$2,0)),"")</f>
        <v/>
      </c>
      <c r="GH20" s="280" t="str">
        <f t="array" ref="GH20">_xlfn.IFNA(INDEX('DMR 001C NEW'!$A$3:$O$999,MATCH(('001-C DMR'!$FW$6&amp;'001-C DMR'!GH$10&amp;'001-C DMR'!$B20),('DMR 001C NEW'!$E$3:$E$1112&amp;'DMR 001C NEW'!$B$3:$B$1112&amp;'DMR 001C NEW'!$A$3:$A$1112),0),MATCH('001-C DMR'!$FY$11,'DMR 001C NEW'!$A$2:$O$2,0)),"")</f>
        <v/>
      </c>
      <c r="GI20" s="280" t="str">
        <f t="array" ref="GI20">_xlfn.IFNA(INDEX('DMR 001C NEW'!$A$3:$O$999,MATCH(('001-C DMR'!$FW$6&amp;'001-C DMR'!GI$10&amp;'001-C DMR'!$B20),('DMR 001C NEW'!$E$3:$E$1112&amp;'DMR 001C NEW'!$B$3:$B$1112&amp;'DMR 001C NEW'!$A$3:$A$1112),0),MATCH('001-C DMR'!$FY$11,'DMR 001C NEW'!$A$2:$O$2,0)),"")</f>
        <v/>
      </c>
      <c r="GJ20" s="281" t="str">
        <f t="array" ref="GJ20">_xlfn.IFNA(INDEX('DMR 001C NEW'!$A$3:$O$999,MATCH(('001-C DMR'!$FW$6&amp;'001-C DMR'!GJ$10&amp;'001-C DMR'!$B20),('DMR 001C NEW'!$E$3:$E$1112&amp;'DMR 001C NEW'!$B$3:$B$1112&amp;'DMR 001C NEW'!$A$3:$A$1112),0),MATCH('001-C DMR'!$FY$11,'DMR 001C NEW'!$A$2:$O$2,0)),"")</f>
        <v/>
      </c>
      <c r="GK20" s="58" t="str">
        <f t="array" ref="GK20">_xlfn.IFNA(INDEX('DMR 001C NEW'!$A$3:$O$9999,MATCH(('001-C DMR'!$GK$6&amp;'001-C DMR'!$GK$10&amp;'001-C DMR'!$B20),('DMR 001C NEW'!$E$3:$E$9018&amp;'DMR 001C NEW'!$B$3:$B$9018&amp;'DMR 001C NEW'!$A$3:$A$9018),0),MATCH('001-C DMR'!$GK$11,'DMR 001C NEW'!$A$2:$O$2,0)),"")</f>
        <v>n</v>
      </c>
      <c r="GL20" s="58" t="str">
        <f t="array" ref="GL20">_xlfn.IFNA(INDEX('DMR 001C NEW'!$A$3:$O$9999,MATCH(('001-C DMR'!$GK$6&amp;'001-C DMR'!$GL$10&amp;'001-C DMR'!$B20),('DMR 001C NEW'!$E$3:$E$9018&amp;'DMR 001C NEW'!$B$3:$B$9018&amp;'DMR 001C NEW'!$A$3:$A$9018),0),MATCH('001-C DMR'!$GK$11,'DMR 001C NEW'!$A$2:$O$2,0)),"")</f>
        <v>n</v>
      </c>
      <c r="GM20" s="134"/>
      <c r="GN20" s="64" t="str">
        <f t="shared" si="44"/>
        <v/>
      </c>
    </row>
    <row r="21" spans="1:282" s="51" customFormat="1" x14ac:dyDescent="0.25">
      <c r="A21" s="67" t="str">
        <f t="shared" si="5"/>
        <v>Tue</v>
      </c>
      <c r="B21" s="216">
        <f t="shared" si="26"/>
        <v>43683</v>
      </c>
      <c r="C21" s="93">
        <f t="array" ref="C21">INDEX('DMR 001C NEW'!$A$3:$N$10020,MATCH(('001-C DMR'!$C$6:$K$6&amp;'001-C DMR'!$C$10:$E$10&amp;'001-C DMR'!$B21),('DMR 001C NEW'!$E$3:$E$7246&amp;'DMR 001C NEW'!$B$3:$B$7246&amp;'DMR 001C NEW'!$A$3:$A$7246),0),MATCH('001-C DMR'!$C$11,'DMR 001C NEW'!$A$2:$O$2,0))</f>
        <v>5.6</v>
      </c>
      <c r="D21" s="56" t="str">
        <f t="array" ref="D21">INDEX('DMR 001C NEW'!$A$3:$N$11771,MATCH(('001-C DMR'!$C$6:$K$6&amp;'001-C DMR'!$C$10:$E$10&amp;'001-C DMR'!$B21),('DMR 001C NEW'!$E$3:$E$9018&amp;'DMR 001C NEW'!$B$3:$B$9018&amp;'DMR 001C NEW'!$A$3:$A$9018),0),MATCH('001-C DMR'!$D$11,'DMR 001C NEW'!$A$2:$O$2,0))</f>
        <v>AE68368</v>
      </c>
      <c r="E21" s="56">
        <f t="array" ref="E21">INDEX('DMR 001C NEW'!$A$3:$N$9999,MATCH(('001-C DMR'!$E$11&amp;'001-C DMR'!$C$10:$E$10&amp;'001-C DMR'!$B21&amp;$D21),('DMR 001C NEW'!$E$3:$E$7246&amp;'DMR 001C NEW'!$B$3:$B$7246&amp;'DMR 001C NEW'!$A$3:$A$7246&amp;'DMR 001C NEW'!$M$3:$M$7188),0),MATCH($C$11,'DMR 001C NEW'!$A$2:$O$2,0))</f>
        <v>64.459999999999994</v>
      </c>
      <c r="F21" s="56">
        <f t="array" ref="F21">INDEX('DMR 001C NEW'!$A$3:$N$9999,MATCH('001-C DMR'!$C$6:$K$6&amp;'001-C DMR'!$F$10&amp;'001-C DMR'!$B21,('DMR 001C NEW'!$E$3:$E$7246&amp;'DMR 001C NEW'!$B$3:$B$7246&amp;'DMR 001C NEW'!$A$3:$A$7246),0),MATCH('001-C DMR'!$C$11,'DMR 001C NEW'!$A$2:$O$2,0))</f>
        <v>6.3</v>
      </c>
      <c r="G21" s="56" t="str">
        <f t="array" ref="G21">INDEX('DMR 001C NEW'!$A$3:$N$3865,MATCH(('001-C DMR'!$C$6:$K$6&amp;'001-C DMR'!$F$10&amp;'001-C DMR'!$B21),('DMR 001C NEW'!$E$3:$E$1112&amp;'DMR 001C NEW'!$B$3:$B$1112&amp;'DMR 001C NEW'!$A$3:$A$1112),0),MATCH('001-C DMR'!$D$11,'DMR 001C NEW'!$A$2:$O$2,0))</f>
        <v>AE68369</v>
      </c>
      <c r="H21" s="56">
        <f t="array" ref="H21">INDEX('DMR 001C NEW'!$A$3:$N$9999,MATCH(('001-C DMR'!$E$11&amp;'001-C DMR'!$F$10&amp;'001-C DMR'!$B21&amp;$G21),('DMR 001C NEW'!$E$3:$E$7246&amp;'DMR 001C NEW'!$B$3:$B$7246&amp;'DMR 001C NEW'!$A$3:$A$7246&amp;'DMR 001C NEW'!$M$3:$M$7188),0),MATCH($C$11,'DMR 001C NEW'!$A$2:$O$2,0))</f>
        <v>80.430000000000007</v>
      </c>
      <c r="I21" s="56">
        <f t="shared" si="0"/>
        <v>5.98857754158327</v>
      </c>
      <c r="J21" s="58" t="str">
        <f t="shared" si="39"/>
        <v/>
      </c>
      <c r="K21" s="64" t="str">
        <f t="shared" si="40"/>
        <v/>
      </c>
      <c r="L21" s="262" t="str">
        <f t="array" ref="L21">_xlfn.IFNA(INDEX('DMR 001C NEW'!$A$3:$N$3865,MATCH(('001-C DMR'!$C$6:$K$6&amp;'001-C DMR'!L$10&amp;'001-C DMR'!$B21),('DMR 001C NEW'!$E$3:$E$1112&amp;'DMR 001C NEW'!$B$3:$B$1112&amp;'DMR 001C NEW'!$A$3:$A$1112),0),MATCH('001-C DMR'!$C$11,'DMR 001C NEW'!$A$2:$O$2,0)),"")</f>
        <v/>
      </c>
      <c r="M21" s="262" t="str">
        <f t="array" ref="M21">_xlfn.IFNA(INDEX('DMR 001C NEW'!$A$3:$N$3865,MATCH(('001-C DMR'!$C$6:$K$6&amp;'001-C DMR'!M$10&amp;'001-C DMR'!$B21),('DMR 001C NEW'!$E$3:$E$1112&amp;'DMR 001C NEW'!$B$3:$B$1112&amp;'DMR 001C NEW'!$A$3:$A$1112),0),MATCH('001-C DMR'!$C$11,'DMR 001C NEW'!$A$2:$O$2,0)),"")</f>
        <v/>
      </c>
      <c r="N21" s="262" t="str">
        <f t="array" ref="N21">_xlfn.IFNA(INDEX('DMR 001C NEW'!$A$3:$N$3865,MATCH(('001-C DMR'!$C$6:$K$6&amp;'001-C DMR'!N$10&amp;'001-C DMR'!$B21),('DMR 001C NEW'!$E$3:$E$1112&amp;'DMR 001C NEW'!$B$3:$B$1112&amp;'DMR 001C NEW'!$A$3:$A$1112),0),MATCH('001-C DMR'!$C$11,'DMR 001C NEW'!$A$2:$O$2,0)),"")</f>
        <v/>
      </c>
      <c r="O21" s="262" t="str">
        <f t="array" ref="O21">_xlfn.IFNA(INDEX('DMR 001C NEW'!$A$3:$N$3865,MATCH(('001-C DMR'!$C$6:$K$6&amp;'001-C DMR'!O$10&amp;'001-C DMR'!$B21),('DMR 001C NEW'!$E$3:$E$1112&amp;'DMR 001C NEW'!$B$3:$B$1112&amp;'DMR 001C NEW'!$A$3:$A$1112),0),MATCH('001-C DMR'!$C$11,'DMR 001C NEW'!$A$2:$O$2,0)),"")</f>
        <v/>
      </c>
      <c r="P21" s="262" t="str">
        <f t="array" ref="P21">_xlfn.IFNA(INDEX('DMR 001C NEW'!$A$3:$N$3865,MATCH(('001-C DMR'!$C$6:$K$6&amp;'001-C DMR'!P$10&amp;'001-C DMR'!$B21),('DMR 001C NEW'!$E$3:$E$1112&amp;'DMR 001C NEW'!$B$3:$B$1112&amp;'DMR 001C NEW'!$A$3:$A$1112),0),MATCH('001-C DMR'!$C$11,'DMR 001C NEW'!$A$2:$O$2,0)),"")</f>
        <v/>
      </c>
      <c r="Q21" s="120" t="e">
        <f t="array" ref="Q21">INDEX('DMR 001C NEW'!$A$3:$N$3865,MATCH(('001-C DMR'!$C$6:$K$6&amp;'001-C DMR'!Q$10&amp;'001-C DMR'!$B21),('DMR 001C NEW'!$E$3:$E$1112&amp;'DMR 001C NEW'!$B$3:$B$1112&amp;'DMR 001C NEW'!$A$3:$A$1112),0),MATCH('001-C DMR'!$C$11,'DMR 001C NEW'!$A$2:$O$2,0))</f>
        <v>#N/A</v>
      </c>
      <c r="R21" s="61"/>
      <c r="S21" s="56">
        <f t="array" ref="S21">_xlfn.IFNA(INDEX('DMR 001C NEW'!$A$3:$N$11771,MATCH(('001-C DMR'!$R$6:$T$6&amp;'001-C DMR'!$R$10&amp;'001-C DMR'!$B21),('DMR 001C NEW'!$E$3:$E$9018&amp;'DMR 001C NEW'!$B$3:$B$9018&amp;'DMR 001C NEW'!$A$3:$A$9018),0),MATCH('001-C DMR'!$S$11,'DMR 001C NEW'!$A$2:$O$2,0)),"")</f>
        <v>7.1</v>
      </c>
      <c r="T21" s="64" t="str">
        <f t="shared" si="41"/>
        <v/>
      </c>
      <c r="U21" s="262" t="str">
        <f t="array" ref="U21">_xlfn.IFNA(INDEX('DMR 001C NEW'!$A$3:$O$591,MATCH('001-C DMR'!$R$6:$T$6&amp;'001-C DMR'!U$10&amp;'001-C DMR'!$B21,('DMR 001C NEW'!$E$3:$E$704&amp;'DMR 001C NEW'!$B$3:$B$704&amp;'DMR 001C NEW'!$A$3:$A$704),0),MATCH('001-C DMR'!$U$11,'DMR 001C NEW'!$A$2:$O$2,0)),"")</f>
        <v/>
      </c>
      <c r="V21" s="262" t="str">
        <f t="array" ref="V21">_xlfn.IFNA(INDEX('DMR 001C NEW'!$A$3:$O$591,MATCH('001-C DMR'!$R$6:$T$6&amp;'001-C DMR'!V$10&amp;'001-C DMR'!$B21,('DMR 001C NEW'!$E$3:$E$704&amp;'DMR 001C NEW'!$B$3:$B$704&amp;'DMR 001C NEW'!$A$3:$A$704),0),MATCH('001-C DMR'!$U$11,'DMR 001C NEW'!$A$2:$O$2,0)),"")</f>
        <v/>
      </c>
      <c r="W21" s="262" t="str">
        <f t="array" ref="W21">_xlfn.IFNA(INDEX('DMR 001C NEW'!$A$3:$O$591,MATCH('001-C DMR'!$R$6:$T$6&amp;'001-C DMR'!W$10&amp;'001-C DMR'!$B21,('DMR 001C NEW'!$E$3:$E$704&amp;'DMR 001C NEW'!$B$3:$B$704&amp;'DMR 001C NEW'!$A$3:$A$704),0),MATCH('001-C DMR'!$U$11,'DMR 001C NEW'!$A$2:$O$2,0)),"")</f>
        <v/>
      </c>
      <c r="X21" s="262" t="str">
        <f t="array" ref="X21">_xlfn.IFNA(INDEX('DMR 001C NEW'!$A$3:$O$591,MATCH('001-C DMR'!$R$6:$T$6&amp;'001-C DMR'!X$10&amp;'001-C DMR'!$B21,('DMR 001C NEW'!$E$3:$E$704&amp;'DMR 001C NEW'!$B$3:$B$704&amp;'DMR 001C NEW'!$A$3:$A$704),0),MATCH('001-C DMR'!$U$11,'DMR 001C NEW'!$A$2:$O$2,0)),"")</f>
        <v/>
      </c>
      <c r="Y21" s="262" t="str">
        <f t="array" ref="Y21">_xlfn.IFNA(INDEX('DMR 001C NEW'!$A$3:$O$591,MATCH('001-C DMR'!$R$6:$T$6&amp;'001-C DMR'!Y$10&amp;'001-C DMR'!$B21,('DMR 001C NEW'!$E$3:$E$704&amp;'DMR 001C NEW'!$B$3:$B$704&amp;'DMR 001C NEW'!$A$3:$A$704),0),MATCH('001-C DMR'!$U$11,'DMR 001C NEW'!$A$2:$O$2,0)),"")</f>
        <v/>
      </c>
      <c r="Z21" s="262" t="str">
        <f t="array" ref="Z21">_xlfn.IFNA(INDEX('DMR 001C NEW'!$A$3:$O$591,MATCH('001-C DMR'!$R$6:$T$6&amp;'001-C DMR'!Z$10&amp;'001-C DMR'!$B21,('DMR 001C NEW'!$E$3:$E$704&amp;'DMR 001C NEW'!$B$3:$B$704&amp;'DMR 001C NEW'!$A$3:$A$704),0),MATCH('001-C DMR'!$U$11,'DMR 001C NEW'!$A$2:$O$2,0)),"")</f>
        <v/>
      </c>
      <c r="AA21" s="262" t="str">
        <f t="array" ref="AA21">_xlfn.IFNA(INDEX('DMR 001C NEW'!$A$3:$O$591,MATCH('001-C DMR'!$R$6:$T$6&amp;'001-C DMR'!AA$10&amp;'001-C DMR'!$B21,('DMR 001C NEW'!$E$3:$E$704&amp;'DMR 001C NEW'!$B$3:$B$704&amp;'DMR 001C NEW'!$A$3:$A$704),0),MATCH('001-C DMR'!$U$11,'DMR 001C NEW'!$A$2:$O$2,0)),"")</f>
        <v/>
      </c>
      <c r="AB21" s="61" t="str">
        <f t="array" ref="AB21">IF(AD21&lt;AC21,"&lt;","")</f>
        <v/>
      </c>
      <c r="AC21" s="56">
        <f t="array" ref="AC21">_xlfn.IFNA(INDEX('DMR 001C NEW'!$A$3:$O$9999,MATCH(('001-C DMR'!$AB$6:$AJ$6&amp;'001-C DMR'!$AB$10:$AD$10&amp;'001-C DMR'!$B21),('DMR 001C NEW'!$E$3:$E$7246&amp;'DMR 001C NEW'!$B$3:$B$7246&amp;'DMR 001C NEW'!$A$3:$A$7246),0),MATCH('001-C DMR'!$AC$11,'DMR 001C NEW'!$A$2:$O$2,0)),"")</f>
        <v>3</v>
      </c>
      <c r="AD21" s="56">
        <f t="array" ref="AD21">_xlfn.IFNA(INDEX('DMR 001C NEW'!$A$3:$O$9999,MATCH(('001-C DMR'!$AB$6:$AJ$6&amp;'001-C DMR'!$AB$10:$AD$10&amp;'001-C DMR'!$B21),('DMR 001C NEW'!$E$3:$E$7246&amp;'DMR 001C NEW'!$B$3:$B$7246&amp;'DMR 001C NEW'!$A$3:$A$7246),0),MATCH('001-C DMR'!$AD$11,'DMR 001C NEW'!$A$2:$O$2,0)),"")</f>
        <v>13</v>
      </c>
      <c r="AE21" s="57" t="str">
        <f t="array" ref="AE21">IF(AG21&lt;AF21,"&lt;","")</f>
        <v/>
      </c>
      <c r="AF21" s="56">
        <f t="array" ref="AF21">_xlfn.IFNA(INDEX('DMR 001C NEW'!$A$3:$O$9999,MATCH(('001-C DMR'!$AB$6:$AJ$6&amp;'001-C DMR'!$AE$10&amp;'001-C DMR'!$B21),('DMR 001C NEW'!$E$3:$E$9018&amp;'DMR 001C NEW'!$B$3:$B$9018&amp;'DMR 001C NEW'!$A$3:$A$9018),0),MATCH('001-C DMR'!$AF$11,'DMR 001C NEW'!$A$2:$O$2,0)),"")</f>
        <v>3</v>
      </c>
      <c r="AG21" s="56">
        <f t="array" ref="AG21">_xlfn.IFNA(INDEX('DMR 001C NEW'!$A$3:$O$9999,MATCH(('001-C DMR'!$AB$6:$AJ$6&amp;'001-C DMR'!$AE$10&amp;'001-C DMR'!$B21),('DMR 001C NEW'!$E$3:$E$9018&amp;'DMR 001C NEW'!$B$3:$B$9018&amp;'DMR 001C NEW'!$A$3:$A$9018),0),MATCH('001-C DMR'!$AG$11,'DMR 001C NEW'!$A$2:$O$2,0)),"")</f>
        <v>10</v>
      </c>
      <c r="AH21" s="56">
        <f t="array" ref="AH21">IFERROR((($AD21*$EI21)+($AG21*$EJ21))/($EK21),"")</f>
        <v>11.296899285860096</v>
      </c>
      <c r="AI21" s="56" t="str">
        <f t="shared" si="42"/>
        <v/>
      </c>
      <c r="AJ21" s="64" t="str">
        <f t="shared" si="30"/>
        <v/>
      </c>
      <c r="AK21" s="262" t="str">
        <f t="array" ref="AK21">_xlfn.IFNA(INDEX('DMR 001C NEW'!$A$3:$O$999,MATCH(('001-C DMR'!$AB$6:$AJ$6&amp;'001-C DMR'!AK$10&amp;'001-C DMR'!$B21),('DMR 001C NEW'!$E$3:$E$1112&amp;'DMR 001C NEW'!$B$3:$B$1112&amp;'DMR 001C NEW'!$A$3:$A$1112),0),MATCH('001-C DMR'!$AD$11,'DMR 001C NEW'!$A$2:$O$2,0)),"")</f>
        <v/>
      </c>
      <c r="AL21" s="262" t="str">
        <f t="array" ref="AL21">_xlfn.IFNA(INDEX('DMR 001C NEW'!$A$3:$O$999,MATCH(('001-C DMR'!$AB$6:$AJ$6&amp;'001-C DMR'!AL$10&amp;'001-C DMR'!$B21),('DMR 001C NEW'!$E$3:$E$1112&amp;'DMR 001C NEW'!$B$3:$B$1112&amp;'DMR 001C NEW'!$A$3:$A$1112),0),MATCH('001-C DMR'!$AD$11,'DMR 001C NEW'!$A$2:$O$2,0)),"")</f>
        <v/>
      </c>
      <c r="AM21" s="262" t="str">
        <f t="array" ref="AM21">_xlfn.IFNA(INDEX('DMR 001C NEW'!$A$3:$O$999,MATCH(('001-C DMR'!$AB$6:$AJ$6&amp;'001-C DMR'!AM$10&amp;'001-C DMR'!$B21),('DMR 001C NEW'!$E$3:$E$1112&amp;'DMR 001C NEW'!$B$3:$B$1112&amp;'DMR 001C NEW'!$A$3:$A$1112),0),MATCH('001-C DMR'!$AD$11,'DMR 001C NEW'!$A$2:$O$2,0)),"")</f>
        <v/>
      </c>
      <c r="AN21" s="262" t="str">
        <f t="array" ref="AN21">_xlfn.IFNA(INDEX('DMR 001C NEW'!$A$3:$O$999,MATCH(('001-C DMR'!$AB$6:$AJ$6&amp;'001-C DMR'!AN$10&amp;'001-C DMR'!$B21),('DMR 001C NEW'!$E$3:$E$1112&amp;'DMR 001C NEW'!$B$3:$B$1112&amp;'DMR 001C NEW'!$A$3:$A$1112),0),MATCH('001-C DMR'!$AD$11,'DMR 001C NEW'!$A$2:$O$2,0)),"")</f>
        <v/>
      </c>
      <c r="AO21" s="262" t="str">
        <f t="array" ref="AO21">_xlfn.IFNA(INDEX('DMR 001C NEW'!$A$3:$O$999,MATCH(('001-C DMR'!$AB$6:$AJ$6&amp;'001-C DMR'!AO$10&amp;'001-C DMR'!$B21),('DMR 001C NEW'!$E$3:$E$1112&amp;'DMR 001C NEW'!$B$3:$B$1112&amp;'DMR 001C NEW'!$A$3:$A$1112),0),MATCH('001-C DMR'!$AD$11,'DMR 001C NEW'!$A$2:$O$2,0)),"")</f>
        <v/>
      </c>
      <c r="AP21" s="262" t="str">
        <f t="array" ref="AP21">_xlfn.IFNA(INDEX('DMR 001C NEW'!$A$3:$O$999,MATCH(('001-C DMR'!$AB$6:$AJ$6&amp;'001-C DMR'!AP$10&amp;'001-C DMR'!$B21),('DMR 001C NEW'!$E$3:$E$1112&amp;'DMR 001C NEW'!$B$3:$B$1112&amp;'DMR 001C NEW'!$A$3:$A$1112),0),MATCH('001-C DMR'!$AD$11,'DMR 001C NEW'!$A$2:$O$2,0)),"")</f>
        <v/>
      </c>
      <c r="AQ21" s="61" t="str">
        <f t="array" ref="AQ21">IF(AS21&lt;AR21,"&lt;","")</f>
        <v/>
      </c>
      <c r="AR21" s="58" t="str">
        <f t="array" ref="AR21">_xlfn.IFNA((INDEX('DMR 001C NEW'!$A$3:$O$9999,MATCH(('001-C DMR'!$AQ$6:$AZ$6&amp;'001-C DMR'!$AQ$10:$AS$10&amp;'001-C DMR'!$B21),('DMR 001C NEW'!$E$3:$E$7246&amp;'DMR 001C NEW'!$B$3:$B$7246&amp;'DMR 001C NEW'!$A$3:$A$7246),0),MATCH('001-C DMR'!$AR$11,'DMR 001C NEW'!$A$2:$O$2,0))),"")</f>
        <v/>
      </c>
      <c r="AS21" s="58" t="str">
        <f t="array" ref="AS21">_xlfn.IFNA(INDEX('DMR 001C NEW'!$A$3:$O$9999,MATCH(('001-C DMR'!$AQ$6:$AZ$6&amp;'001-C DMR'!$AQ$10:$AS$10&amp;'001-C DMR'!$B21),('DMR 001C NEW'!$E$3:$E$7246&amp;'DMR 001C NEW'!$B$3:$B$7246&amp;'DMR 001C NEW'!$A$3:$A$7246),0),MATCH('001-C DMR'!$AS$11,'DMR 001C NEW'!$A$2:$O$2,0)),"")</f>
        <v/>
      </c>
      <c r="AT21" s="58" t="str">
        <f t="shared" si="27"/>
        <v/>
      </c>
      <c r="AU21" s="57" t="str">
        <f t="array" ref="AU21">IF(AW21&lt;AV21,"&lt;","")</f>
        <v/>
      </c>
      <c r="AV21" s="58" t="str">
        <f t="array" ref="AV21">_xlfn.IFNA((INDEX('DMR 001C NEW'!$A$3:$O$9999,MATCH(('001-C DMR'!$AQ$6:$AZ$6&amp;'001-C DMR'!$AU$10&amp;'001-C DMR'!$B21),('DMR 001C NEW'!$E$3:$E$7246&amp;'DMR 001C NEW'!$B$3:$B$7246&amp;'DMR 001C NEW'!$A$3:$A$7246),0),MATCH('001-C DMR'!$AR$11,'DMR 001C NEW'!$A$2:$O$2,0))),"")</f>
        <v/>
      </c>
      <c r="AW21" s="58" t="str">
        <f t="array" ref="AW21">_xlfn.IFNA(INDEX('DMR 001C NEW'!$A$3:$O$9999,MATCH(('001-C DMR'!$AQ$6:$AZ$6&amp;'001-C DMR'!$AU$10&amp;'001-C DMR'!$B21),('DMR 001C NEW'!$E$3:$E$7246&amp;'DMR 001C NEW'!$B$3:$B$7246&amp;'DMR 001C NEW'!$A$3:$A$7246),0),MATCH('001-C DMR'!$AW$11,'DMR 001C NEW'!$A$2:$O$2,0)),"")</f>
        <v/>
      </c>
      <c r="AX21" s="58" t="str">
        <f t="shared" si="6"/>
        <v/>
      </c>
      <c r="AY21" s="56" t="str">
        <f t="array" ref="AY21">IFERROR((($AT21*$EI21)+($AX21*$EJ21))/($EK21),"")</f>
        <v/>
      </c>
      <c r="AZ21" s="64" t="str">
        <f t="shared" si="31"/>
        <v/>
      </c>
      <c r="BA21" s="279" t="str">
        <f t="array" ref="BA21">_xlfn.IFNA(INDEX('DMR 001C NEW'!$A$3:$O$9999,MATCH(('001-C DMR'!$AQ$6:$AZ$6&amp;'001-C DMR'!BA$10&amp;'001-C DMR'!$B21),('DMR 001C NEW'!$E$3:$E$1112&amp;'DMR 001C NEW'!$B$3:$B$1112&amp;'DMR 001C NEW'!$A$3:$A$1112),0),MATCH('001-C DMR'!$BA$11,'DMR 001C NEW'!$A$2:$O$2,0)),"")</f>
        <v/>
      </c>
      <c r="BB21" s="280" t="str">
        <f t="array" ref="BB21">_xlfn.IFNA(INDEX('DMR 001C NEW'!$A$3:$O$9999,MATCH(('001-C DMR'!$AQ$6:$AZ$6&amp;'001-C DMR'!BB$10&amp;'001-C DMR'!$B21),('DMR 001C NEW'!$E$3:$E$1112&amp;'DMR 001C NEW'!$B$3:$B$1112&amp;'DMR 001C NEW'!$A$3:$A$1112),0),MATCH('001-C DMR'!$BA$11,'DMR 001C NEW'!$A$2:$O$2,0)),"")</f>
        <v/>
      </c>
      <c r="BC21" s="280" t="str">
        <f t="array" ref="BC21">_xlfn.IFNA(INDEX('DMR 001C NEW'!$A$3:$O$9999,MATCH(('001-C DMR'!$AQ$6:$AZ$6&amp;'001-C DMR'!BC$10&amp;'001-C DMR'!$B21),('DMR 001C NEW'!$E$3:$E$1112&amp;'DMR 001C NEW'!$B$3:$B$1112&amp;'DMR 001C NEW'!$A$3:$A$1112),0),MATCH('001-C DMR'!$BA$11,'DMR 001C NEW'!$A$2:$O$2,0)),"")</f>
        <v/>
      </c>
      <c r="BD21" s="280" t="str">
        <f t="array" ref="BD21">_xlfn.IFNA(INDEX('DMR 001C NEW'!$A$3:$O$9999,MATCH(('001-C DMR'!$AQ$6:$AZ$6&amp;'001-C DMR'!BD$10&amp;'001-C DMR'!$B21),('DMR 001C NEW'!$E$3:$E$1112&amp;'DMR 001C NEW'!$B$3:$B$1112&amp;'DMR 001C NEW'!$A$3:$A$1112),0),MATCH('001-C DMR'!$BA$11,'DMR 001C NEW'!$A$2:$O$2,0)),"")</f>
        <v/>
      </c>
      <c r="BE21" s="280" t="str">
        <f t="array" ref="BE21">_xlfn.IFNA(INDEX('DMR 001C NEW'!$A$3:$O$9999,MATCH(('001-C DMR'!$AQ$6:$AZ$6&amp;'001-C DMR'!BE$10&amp;'001-C DMR'!$B21),('DMR 001C NEW'!$E$3:$E$1112&amp;'DMR 001C NEW'!$B$3:$B$1112&amp;'DMR 001C NEW'!$A$3:$A$1112),0),MATCH('001-C DMR'!$BA$11,'DMR 001C NEW'!$A$2:$O$2,0)),"")</f>
        <v/>
      </c>
      <c r="BF21" s="281" t="str">
        <f t="array" ref="BF21">_xlfn.IFNA(INDEX('DMR 001C NEW'!$A$3:$O$9999,MATCH(('001-C DMR'!$AQ$6:$AZ$6&amp;'001-C DMR'!BF$10&amp;'001-C DMR'!$B21),('DMR 001C NEW'!$E$3:$E$1112&amp;'DMR 001C NEW'!$B$3:$B$1112&amp;'DMR 001C NEW'!$A$3:$A$1112),0),MATCH('001-C DMR'!$BA$11,'DMR 001C NEW'!$A$2:$O$2,0)),"")</f>
        <v/>
      </c>
      <c r="BG21" s="57"/>
      <c r="BH21" s="58" t="str">
        <f t="array" ref="BH21">_xlfn.IFNA((INDEX('DMR 001C NEW'!$A$3:$O$9999,MATCH(('001-C DMR'!$BG$6&amp;'001-C DMR'!$BG$10&amp;'001-C DMR'!$B21),('DMR 001C NEW'!$E$3:$E$7246&amp;'DMR 001C NEW'!$B$3:$B$7246&amp;'DMR 001C NEW'!$A$3:$A$7246),0),MATCH('001-C DMR'!$BH$11,'DMR 001C NEW'!$A$2:$O$2,0))),"")</f>
        <v/>
      </c>
      <c r="BI21" s="58" t="str">
        <f t="array" ref="BI21">_xlfn.IFNA(INDEX('DMR 001C NEW'!$A$3:$O$9999,MATCH(('001-C DMR'!$BG$6&amp;'001-C DMR'!$BG$10&amp;'001-C DMR'!$B21),('DMR 001C NEW'!$E$3:$E$7246&amp;'DMR 001C NEW'!$B$3:$B$7246&amp;'DMR 001C NEW'!$A$3:$A$7246),0),MATCH('001-C DMR'!$BI$11,'DMR 001C NEW'!$A$2:$O$2,0)),"")</f>
        <v/>
      </c>
      <c r="BJ21" s="58" t="str">
        <f t="shared" si="7"/>
        <v/>
      </c>
      <c r="BK21" s="57" t="str">
        <f t="shared" si="8"/>
        <v/>
      </c>
      <c r="BL21" s="58" t="str">
        <f t="array" ref="BL21">_xlfn.IFNA((INDEX('DMR 001C NEW'!$A$3:$O$9999,MATCH(('001-C DMR'!$BG$6&amp;'001-C DMR'!$BK$10&amp;'001-C DMR'!$B21),('DMR 001C NEW'!$E$3:$E$7246&amp;'DMR 001C NEW'!$B$3:$B$7246&amp;'DMR 001C NEW'!$A$3:$A$7246),0),MATCH('001-C DMR'!$BH$11,'DMR 001C NEW'!$A$2:$O$2,0))),"")</f>
        <v/>
      </c>
      <c r="BM21" s="58" t="str">
        <f t="array" ref="BM21">_xlfn.IFNA(INDEX('DMR 001C NEW'!$A$3:$O$9999,MATCH(('001-C DMR'!$BG$6&amp;'001-C DMR'!$BK$10&amp;'001-C DMR'!$B21),('DMR 001C NEW'!$E$3:$E$7246&amp;'DMR 001C NEW'!$B$3:$B$7246&amp;'DMR 001C NEW'!$A$3:$A$7246),0),MATCH('001-C DMR'!$BI$11,'DMR 001C NEW'!$A$2:$O$2,0)),"")</f>
        <v/>
      </c>
      <c r="BN21" s="58" t="str">
        <f t="shared" si="9"/>
        <v/>
      </c>
      <c r="BO21" s="56" t="str">
        <f t="array" ref="BO21">IFERROR((($BJ21*$EI21)+($BN21*$EJ21))/($EK21),"")</f>
        <v/>
      </c>
      <c r="BP21" s="64" t="str">
        <f t="shared" si="32"/>
        <v/>
      </c>
      <c r="BQ21" s="280" t="str">
        <f t="array" ref="BQ21">_xlfn.IFNA(INDEX('DMR 001C NEW'!$A$3:$O$999,MATCH(('001-C DMR'!$BG$6&amp;'001-C DMR'!BQ$10&amp;'001-C DMR'!$B21),('DMR 001C NEW'!$E$3:$E$1112&amp;'DMR 001C NEW'!$B$3:$B$1112&amp;'DMR 001C NEW'!$A$3:$A$1112),0),MATCH('001-C DMR'!$BQ$11,'DMR 001C NEW'!$A$2:$O$2,0)),"")</f>
        <v/>
      </c>
      <c r="BR21" s="280" t="str">
        <f t="array" ref="BR21">_xlfn.IFNA(INDEX('DMR 001C NEW'!$A$3:$O$999,MATCH(('001-C DMR'!$BG$6&amp;'001-C DMR'!BR$10&amp;'001-C DMR'!$B21),('DMR 001C NEW'!$E$3:$E$1112&amp;'DMR 001C NEW'!$B$3:$B$1112&amp;'DMR 001C NEW'!$A$3:$A$1112),0),MATCH('001-C DMR'!$BQ$11,'DMR 001C NEW'!$A$2:$O$2,0)),"")</f>
        <v/>
      </c>
      <c r="BS21" s="280" t="str">
        <f t="array" ref="BS21">_xlfn.IFNA(INDEX('DMR 001C NEW'!$A$3:$O$999,MATCH(('001-C DMR'!$BG$6&amp;'001-C DMR'!BS$10&amp;'001-C DMR'!$B21),('DMR 001C NEW'!$E$3:$E$1112&amp;'DMR 001C NEW'!$B$3:$B$1112&amp;'DMR 001C NEW'!$A$3:$A$1112),0),MATCH('001-C DMR'!$BQ$11,'DMR 001C NEW'!$A$2:$O$2,0)),"")</f>
        <v/>
      </c>
      <c r="BT21" s="280" t="str">
        <f t="array" ref="BT21">_xlfn.IFNA(INDEX('DMR 001C NEW'!$A$3:$O$999,MATCH(('001-C DMR'!$BG$6&amp;'001-C DMR'!BT$10&amp;'001-C DMR'!$B21),('DMR 001C NEW'!$E$3:$E$1112&amp;'DMR 001C NEW'!$B$3:$B$1112&amp;'DMR 001C NEW'!$A$3:$A$1112),0),MATCH('001-C DMR'!$BQ$11,'DMR 001C NEW'!$A$2:$O$2,0)),"")</f>
        <v/>
      </c>
      <c r="BU21" s="280" t="str">
        <f t="array" ref="BU21">_xlfn.IFNA(INDEX('DMR 001C NEW'!$A$3:$O$999,MATCH(('001-C DMR'!$BG$6&amp;'001-C DMR'!BU$10&amp;'001-C DMR'!$B21),('DMR 001C NEW'!$E$3:$E$1112&amp;'DMR 001C NEW'!$B$3:$B$1112&amp;'DMR 001C NEW'!$A$3:$A$1112),0),MATCH('001-C DMR'!$BQ$11,'DMR 001C NEW'!$A$2:$O$2,0)),"")</f>
        <v/>
      </c>
      <c r="BV21" s="280" t="str">
        <f t="array" ref="BV21">_xlfn.IFNA(INDEX('DMR 001C NEW'!$A$3:$O$999,MATCH(('001-C DMR'!$BG$6&amp;'001-C DMR'!BV$10&amp;'001-C DMR'!$B21),('DMR 001C NEW'!$E$3:$E$1112&amp;'DMR 001C NEW'!$B$3:$B$1112&amp;'DMR 001C NEW'!$A$3:$A$1112),0),MATCH('001-C DMR'!$BQ$11,'DMR 001C NEW'!$A$2:$O$2,0)),"")</f>
        <v/>
      </c>
      <c r="BW21" s="65"/>
      <c r="BX21" s="65"/>
      <c r="BY21" s="57" t="str">
        <f t="shared" si="10"/>
        <v/>
      </c>
      <c r="BZ21" s="58" t="str">
        <f t="array" ref="BZ21">_xlfn.IFNA((INDEX('DMR 001C NEW'!$A$3:$O$9999,MATCH(('001-C DMR'!$BY$6&amp;'001-C DMR'!$BY$10&amp;'001-C DMR'!$B21),('DMR 001C NEW'!$E$3:$E$7246&amp;'DMR 001C NEW'!$B$3:$B$7246&amp;'DMR 001C NEW'!$A$3:$A$7246),0),MATCH('001-C DMR'!$BZ$11,'DMR 001C NEW'!$A$2:$O$2,0))),"")</f>
        <v/>
      </c>
      <c r="CA21" s="138" t="str">
        <f t="array" ref="CA21">_xlfn.IFNA(INDEX('DMR 001C NEW'!$A$3:$O$9999,MATCH(('001-C DMR'!$BY$6&amp;'001-C DMR'!$BY$10&amp;'001-C DMR'!$B21),('DMR 001C NEW'!$E$3:$E$7246&amp;'DMR 001C NEW'!$B$3:$B$7246&amp;'DMR 001C NEW'!$A$3:$A$7246),0),MATCH('001-C DMR'!$CA$11,'DMR 001C NEW'!$A$2:$O$2,0)),"")</f>
        <v/>
      </c>
      <c r="CB21" s="57" t="str">
        <f t="shared" si="11"/>
        <v/>
      </c>
      <c r="CC21" s="58" t="str">
        <f t="array" ref="CC21">_xlfn.IFNA((INDEX('DMR 001C NEW'!$A$3:$O$9999,MATCH(('001-C DMR'!$BY$6&amp;'001-C DMR'!$CB$10&amp;'001-C DMR'!$B21),('DMR 001C NEW'!$E$3:$E$7246&amp;'DMR 001C NEW'!$B$3:$B$7246&amp;'DMR 001C NEW'!$A$3:$A$7246),0),MATCH('001-C DMR'!$BZ$11,'DMR 001C NEW'!$A$2:$O$2,0))),"")</f>
        <v/>
      </c>
      <c r="CD21" s="138" t="str">
        <f t="array" ref="CD21">_xlfn.IFNA(INDEX('DMR 001C NEW'!$A$3:$O$9999,MATCH(('001-C DMR'!$BY$6&amp;'001-C DMR'!$CB$10&amp;'001-C DMR'!$B21),('DMR 001C NEW'!$E$3:$E$7246&amp;'DMR 001C NEW'!$B$3:$B$7246&amp;'DMR 001C NEW'!$A$3:$A$7246),0),MATCH('001-C DMR'!$CA$11,'DMR 001C NEW'!$A$2:$O$2,0)),"")</f>
        <v/>
      </c>
      <c r="CE21" s="138" t="str">
        <f t="array" ref="CE21">IFERROR((($CA21*$EI21)+($CD21*$EJ21))/($EK21),"")</f>
        <v/>
      </c>
      <c r="CF21" s="64" t="str">
        <f t="shared" si="33"/>
        <v/>
      </c>
      <c r="CG21" s="280" t="str">
        <f t="array" ref="CG21">_xlfn.IFNA(INDEX('DMR 001C NEW'!$A$3:$O$999,MATCH(('001-C DMR'!$BY$6&amp;'001-C DMR'!CG$10&amp;'001-C DMR'!$B21),('DMR 001C NEW'!$E$3:$E$1112&amp;'DMR 001C NEW'!$B$3:$B$1112&amp;'DMR 001C NEW'!$A$3:$A$1112),0),MATCH('001-C DMR'!$CA$11,'DMR 001C NEW'!$A$2:$O$2,0)),"")</f>
        <v/>
      </c>
      <c r="CH21" s="280" t="str">
        <f t="array" ref="CH21">_xlfn.IFNA(INDEX('DMR 001C NEW'!$A$3:$O$999,MATCH(('001-C DMR'!$BY$6&amp;'001-C DMR'!CH$10&amp;'001-C DMR'!$B21),('DMR 001C NEW'!$E$3:$E$1112&amp;'DMR 001C NEW'!$B$3:$B$1112&amp;'DMR 001C NEW'!$A$3:$A$1112),0),MATCH('001-C DMR'!$CA$11,'DMR 001C NEW'!$A$2:$O$2,0)),"")</f>
        <v/>
      </c>
      <c r="CI21" s="280" t="str">
        <f t="array" ref="CI21">_xlfn.IFNA(INDEX('DMR 001C NEW'!$A$3:$O$999,MATCH(('001-C DMR'!$BY$6&amp;'001-C DMR'!CI$10&amp;'001-C DMR'!$B21),('DMR 001C NEW'!$E$3:$E$1112&amp;'DMR 001C NEW'!$B$3:$B$1112&amp;'DMR 001C NEW'!$A$3:$A$1112),0),MATCH('001-C DMR'!$CA$11,'DMR 001C NEW'!$A$2:$O$2,0)),"")</f>
        <v/>
      </c>
      <c r="CJ21" s="280" t="str">
        <f t="array" ref="CJ21">_xlfn.IFNA(INDEX('DMR 001C NEW'!$A$3:$O$999,MATCH(('001-C DMR'!$BY$6&amp;'001-C DMR'!CJ$10&amp;'001-C DMR'!$B21),('DMR 001C NEW'!$E$3:$E$1112&amp;'DMR 001C NEW'!$B$3:$B$1112&amp;'DMR 001C NEW'!$A$3:$A$1112),0),MATCH('001-C DMR'!$CA$11,'DMR 001C NEW'!$A$2:$O$2,0)),"")</f>
        <v/>
      </c>
      <c r="CK21" s="280" t="str">
        <f t="array" ref="CK21">_xlfn.IFNA(INDEX('DMR 001C NEW'!$A$3:$O$999,MATCH(('001-C DMR'!$BY$6&amp;'001-C DMR'!CK$10&amp;'001-C DMR'!$B21),('DMR 001C NEW'!$E$3:$E$1112&amp;'DMR 001C NEW'!$B$3:$B$1112&amp;'DMR 001C NEW'!$A$3:$A$1112),0),MATCH('001-C DMR'!$CA$11,'DMR 001C NEW'!$A$2:$O$2,0)),"")</f>
        <v/>
      </c>
      <c r="CL21" s="280" t="str">
        <f t="array" ref="CL21">_xlfn.IFNA(INDEX('DMR 001C NEW'!$A$3:$O$999,MATCH(('001-C DMR'!$BY$6&amp;'001-C DMR'!CL$10&amp;'001-C DMR'!$B21),('DMR 001C NEW'!$E$3:$E$1112&amp;'DMR 001C NEW'!$B$3:$B$1112&amp;'DMR 001C NEW'!$A$3:$A$1112),0),MATCH('001-C DMR'!$CA$11,'DMR 001C NEW'!$A$2:$O$2,0)),"")</f>
        <v/>
      </c>
      <c r="CM21" s="61" t="str">
        <f t="shared" si="12"/>
        <v/>
      </c>
      <c r="CN21" s="138" t="str">
        <f t="array" ref="CN21">_xlfn.IFNA((INDEX('DMR 001C NEW'!$A$3:$O$9999,MATCH(('001-C DMR'!$CM$6&amp;'001-C DMR'!$CM$10&amp;'001-C DMR'!$B21),('DMR 001C NEW'!$E$3:$E$9018&amp;'DMR 001C NEW'!$B$3:$B$9018&amp;'DMR 001C NEW'!$A$3:$A$9018),0),MATCH('001-C DMR'!$CN$11,'DMR 001C NEW'!$A$2:$O$2,0))*1000),"")</f>
        <v/>
      </c>
      <c r="CO21" s="138" t="str">
        <f t="array" ref="CO21">_xlfn.IFNA(INDEX('DMR 001C NEW'!$A$3:$O$9999,MATCH(('001-C DMR'!$CM$6&amp;'001-C DMR'!$CM$10&amp;'001-C DMR'!$B21),('DMR 001C NEW'!$E$3:$E$9018&amp;'DMR 001C NEW'!$B$3:$B$9018&amp;'DMR 001C NEW'!$A$3:$A$9018),0),MATCH('001-C DMR'!$CO$11,'DMR 001C NEW'!$A$2:$O$2,0))*1000,"")</f>
        <v/>
      </c>
      <c r="CP21" s="138" t="str">
        <f t="shared" si="13"/>
        <v/>
      </c>
      <c r="CQ21" s="64" t="str">
        <f t="shared" si="34"/>
        <v/>
      </c>
      <c r="CR21" s="280" t="str">
        <f t="array" ref="CR21">_xlfn.IFNA(INDEX('DMR 001C NEW'!$A$3:$O$999,MATCH(('001-C DMR'!$CM$6&amp;'001-C DMR'!CR$10&amp;'001-C DMR'!$B21),('DMR 001C NEW'!$E$3:$E$1112&amp;'DMR 001C NEW'!$B$3:$B$1112&amp;'DMR 001C NEW'!$A$3:$A$1112),0),MATCH('001-C DMR'!$CO$11,'DMR 001C NEW'!$A$2:$O$2,0)),"")</f>
        <v/>
      </c>
      <c r="CS21" s="280" t="str">
        <f t="array" ref="CS21">_xlfn.IFNA(INDEX('DMR 001C NEW'!$A$3:$O$999,MATCH(('001-C DMR'!$CM$6&amp;'001-C DMR'!CS$10&amp;'001-C DMR'!$B21),('DMR 001C NEW'!$E$3:$E$1112&amp;'DMR 001C NEW'!$B$3:$B$1112&amp;'DMR 001C NEW'!$A$3:$A$1112),0),MATCH('001-C DMR'!$CO$11,'DMR 001C NEW'!$A$2:$O$2,0)),"")</f>
        <v/>
      </c>
      <c r="CT21" s="280" t="str">
        <f t="array" ref="CT21">_xlfn.IFNA(INDEX('DMR 001C NEW'!$A$3:$O$999,MATCH(('001-C DMR'!$CM$6&amp;'001-C DMR'!CT$10&amp;'001-C DMR'!$B21),('DMR 001C NEW'!$E$3:$E$1112&amp;'DMR 001C NEW'!$B$3:$B$1112&amp;'DMR 001C NEW'!$A$3:$A$1112),0),MATCH('001-C DMR'!$CO$11,'DMR 001C NEW'!$A$2:$O$2,0)),"")</f>
        <v/>
      </c>
      <c r="CU21" s="280" t="str">
        <f t="array" ref="CU21">_xlfn.IFNA(INDEX('DMR 001C NEW'!$A$3:$O$999,MATCH(('001-C DMR'!$CM$6&amp;'001-C DMR'!CU$10&amp;'001-C DMR'!$B21),('DMR 001C NEW'!$E$3:$E$1112&amp;'DMR 001C NEW'!$B$3:$B$1112&amp;'DMR 001C NEW'!$A$3:$A$1112),0),MATCH('001-C DMR'!$CO$11,'DMR 001C NEW'!$A$2:$O$2,0)),"")</f>
        <v/>
      </c>
      <c r="CV21" s="280" t="str">
        <f t="array" ref="CV21">_xlfn.IFNA(INDEX('DMR 001C NEW'!$A$3:$O$999,MATCH(('001-C DMR'!$CM$6&amp;'001-C DMR'!CV$10&amp;'001-C DMR'!$B21),('DMR 001C NEW'!$E$3:$E$1112&amp;'DMR 001C NEW'!$B$3:$B$1112&amp;'DMR 001C NEW'!$A$3:$A$1112),0),MATCH('001-C DMR'!$CO$11,'DMR 001C NEW'!$A$2:$O$2,0)),"")</f>
        <v/>
      </c>
      <c r="CW21" s="280" t="str">
        <f t="array" ref="CW21">_xlfn.IFNA(INDEX('DMR 001C NEW'!$A$3:$O$999,MATCH(('001-C DMR'!$CM$6&amp;'001-C DMR'!CW$10&amp;'001-C DMR'!$B21),('DMR 001C NEW'!$E$3:$E$1112&amp;'DMR 001C NEW'!$B$3:$B$1112&amp;'DMR 001C NEW'!$A$3:$A$1112),0),MATCH('001-C DMR'!$CO$11,'DMR 001C NEW'!$A$2:$O$2,0)),"")</f>
        <v/>
      </c>
      <c r="CX21" s="280" t="str">
        <f t="array" ref="CX21">_xlfn.IFNA(INDEX('DMR 001C NEW'!$A$3:$O$999,MATCH(('001-C DMR'!$CM$6&amp;'001-C DMR'!CX$10&amp;'001-C DMR'!$B21),('DMR 001C NEW'!$E$3:$E$1112&amp;'DMR 001C NEW'!$B$3:$B$1112&amp;'DMR 001C NEW'!$A$3:$A$1112),0),MATCH('001-C DMR'!$CO$11,'DMR 001C NEW'!$A$2:$O$2,0)),"")</f>
        <v/>
      </c>
      <c r="CY21" s="61" t="str">
        <f t="shared" si="14"/>
        <v/>
      </c>
      <c r="CZ21" s="138" t="str">
        <f t="array" ref="CZ21">_xlfn.IFNA((INDEX('DMR 001C NEW'!$A$3:$O$9999,MATCH(('001-C DMR'!$CY$6&amp;'001-C DMR'!$CY$10&amp;'001-C DMR'!$B21),('DMR 001C NEW'!$E$3:$E$9018&amp;'DMR 001C NEW'!$B$3:$B$9018&amp;'DMR 001C NEW'!$A$3:$A$9018),0),MATCH('001-C DMR'!$CZ$11,'DMR 001C NEW'!$A$2:$O$2,0))*1000),"")</f>
        <v/>
      </c>
      <c r="DA21" s="138" t="str">
        <f t="array" ref="DA21">_xlfn.IFNA(INDEX('DMR 001C NEW'!$A$3:$O$9999,MATCH(('001-C DMR'!$CY$6&amp;'001-C DMR'!$CY$10&amp;'001-C DMR'!$B21),('DMR 001C NEW'!$E$3:$E$9018&amp;'DMR 001C NEW'!$B$3:$B$9018&amp;'DMR 001C NEW'!$A$3:$A$9018),0),MATCH('001-C DMR'!$DA$11,'DMR 001C NEW'!$A$2:$O$2,0))*1000,"")</f>
        <v/>
      </c>
      <c r="DB21" s="138" t="str">
        <f t="shared" si="15"/>
        <v/>
      </c>
      <c r="DC21" s="64" t="str">
        <f t="shared" si="35"/>
        <v/>
      </c>
      <c r="DD21" s="280" t="str">
        <f t="array" ref="DD21">_xlfn.IFNA(INDEX('DMR 001C NEW'!$A$3:$O$999,MATCH(('001-C DMR'!$CY$6&amp;'001-C DMR'!DD$10&amp;'001-C DMR'!$B21),('DMR 001C NEW'!$E$3:$E$1112&amp;'DMR 001C NEW'!$B$3:$B$1112&amp;'DMR 001C NEW'!$A$3:$A$1112),0),MATCH('001-C DMR'!$DA$11,'DMR 001C NEW'!$A$2:$O$2,0)),"")</f>
        <v/>
      </c>
      <c r="DE21" s="280" t="str">
        <f t="array" ref="DE21">_xlfn.IFNA(INDEX('DMR 001C NEW'!$A$3:$O$999,MATCH(('001-C DMR'!$CY$6&amp;'001-C DMR'!DE$10&amp;'001-C DMR'!$B21),('DMR 001C NEW'!$E$3:$E$1112&amp;'DMR 001C NEW'!$B$3:$B$1112&amp;'DMR 001C NEW'!$A$3:$A$1112),0),MATCH('001-C DMR'!$DA$11,'DMR 001C NEW'!$A$2:$O$2,0)),"")</f>
        <v/>
      </c>
      <c r="DF21" s="280" t="str">
        <f t="array" ref="DF21">_xlfn.IFNA(INDEX('DMR 001C NEW'!$A$3:$O$999,MATCH(('001-C DMR'!$CY$6&amp;'001-C DMR'!DF$10&amp;'001-C DMR'!$B21),('DMR 001C NEW'!$E$3:$E$1112&amp;'DMR 001C NEW'!$B$3:$B$1112&amp;'DMR 001C NEW'!$A$3:$A$1112),0),MATCH('001-C DMR'!$DA$11,'DMR 001C NEW'!$A$2:$O$2,0)),"")</f>
        <v/>
      </c>
      <c r="DG21" s="280" t="str">
        <f t="array" ref="DG21">_xlfn.IFNA(INDEX('DMR 001C NEW'!$A$3:$O$999,MATCH(('001-C DMR'!$CY$6&amp;'001-C DMR'!DG$10&amp;'001-C DMR'!$B21),('DMR 001C NEW'!$E$3:$E$1112&amp;'DMR 001C NEW'!$B$3:$B$1112&amp;'DMR 001C NEW'!$A$3:$A$1112),0),MATCH('001-C DMR'!$DA$11,'DMR 001C NEW'!$A$2:$O$2,0)),"")</f>
        <v/>
      </c>
      <c r="DH21" s="280" t="str">
        <f t="array" ref="DH21">_xlfn.IFNA(INDEX('DMR 001C NEW'!$A$3:$O$999,MATCH(('001-C DMR'!$CY$6&amp;'001-C DMR'!DH$10&amp;'001-C DMR'!$B21),('DMR 001C NEW'!$E$3:$E$1112&amp;'DMR 001C NEW'!$B$3:$B$1112&amp;'DMR 001C NEW'!$A$3:$A$1112),0),MATCH('001-C DMR'!$DA$11,'DMR 001C NEW'!$A$2:$O$2,0)),"")</f>
        <v/>
      </c>
      <c r="DI21" s="280" t="str">
        <f t="array" ref="DI21">_xlfn.IFNA(INDEX('DMR 001C NEW'!$A$3:$O$999,MATCH(('001-C DMR'!$CY$6&amp;'001-C DMR'!DI$10&amp;'001-C DMR'!$B21),('DMR 001C NEW'!$E$3:$E$1112&amp;'DMR 001C NEW'!$B$3:$B$1112&amp;'DMR 001C NEW'!$A$3:$A$1112),0),MATCH('001-C DMR'!$DA$11,'DMR 001C NEW'!$A$2:$O$2,0)),"")</f>
        <v/>
      </c>
      <c r="DJ21" s="280" t="str">
        <f t="array" ref="DJ21">_xlfn.IFNA(INDEX('DMR 001C NEW'!$A$3:$O$999,MATCH(('001-C DMR'!$CY$6&amp;'001-C DMR'!DJ$10&amp;'001-C DMR'!$B21),('DMR 001C NEW'!$E$3:$E$1112&amp;'DMR 001C NEW'!$B$3:$B$1112&amp;'DMR 001C NEW'!$A$3:$A$1112),0),MATCH('001-C DMR'!$DA$11,'DMR 001C NEW'!$A$2:$O$2,0)),"")</f>
        <v/>
      </c>
      <c r="DK21" s="61" t="str">
        <f t="shared" si="16"/>
        <v/>
      </c>
      <c r="DL21" s="58" t="str">
        <f t="array" ref="DL21">_xlfn.IFNA((INDEX('DMR 001C NEW'!$A$3:$O$9999,MATCH(('001-C DMR'!$DK$6&amp;'001-C DMR'!$DK$10&amp;'001-C DMR'!$B21),('DMR 001C NEW'!$E$3:$E$9018&amp;'DMR 001C NEW'!$B$3:$B$9018&amp;'DMR 001C NEW'!$A$3:$A$9018),0),MATCH('001-C DMR'!$DL$11,'DMR 001C NEW'!$A$2:$O$2,0))),"")</f>
        <v/>
      </c>
      <c r="DM21" s="58" t="str">
        <f t="array" ref="DM21">_xlfn.IFNA(INDEX('DMR 001C NEW'!$A$3:$O$9999,MATCH(('001-C DMR'!$DK$6&amp;'001-C DMR'!$DK$10&amp;'001-C DMR'!$B21),('DMR 001C NEW'!$E$3:$E$9018&amp;'DMR 001C NEW'!$B$3:$B$9018&amp;'DMR 001C NEW'!$A$3:$A$9018),0),MATCH('001-C DMR'!$DM$11,'DMR 001C NEW'!$A$2:$O$2,0)),"")</f>
        <v/>
      </c>
      <c r="DN21" s="58" t="str">
        <f t="shared" si="17"/>
        <v/>
      </c>
      <c r="DO21" s="223"/>
      <c r="DP21" s="224"/>
      <c r="DQ21" s="64" t="str">
        <f t="shared" si="18"/>
        <v/>
      </c>
      <c r="DR21" s="280" t="str">
        <f t="array" ref="DR21">_xlfn.IFNA(INDEX('DMR 001C NEW'!$A$3:$O$999,MATCH(('001-C DMR'!$DK$6&amp;'001-C DMR'!DR$10&amp;'001-C DMR'!$B21),('DMR 001C NEW'!$E$3:$E$1112&amp;'DMR 001C NEW'!$B$3:$B$1112&amp;'DMR 001C NEW'!$A$3:$A$1112),0),MATCH('001-C DMR'!$DR$11,'DMR 001C NEW'!$A$2:$O$2,0)),"")</f>
        <v/>
      </c>
      <c r="DS21" s="280" t="str">
        <f t="array" ref="DS21">_xlfn.IFNA(INDEX('DMR 001C NEW'!$A$3:$O$999,MATCH(('001-C DMR'!$DK$6&amp;'001-C DMR'!DS$10&amp;'001-C DMR'!$B21),('DMR 001C NEW'!$E$3:$E$1112&amp;'DMR 001C NEW'!$B$3:$B$1112&amp;'DMR 001C NEW'!$A$3:$A$1112),0),MATCH('001-C DMR'!$DR$11,'DMR 001C NEW'!$A$2:$O$2,0)),"")</f>
        <v/>
      </c>
      <c r="DT21" s="280" t="str">
        <f t="array" ref="DT21">_xlfn.IFNA(INDEX('DMR 001C NEW'!$A$3:$O$999,MATCH(('001-C DMR'!$DK$6&amp;'001-C DMR'!DT$10&amp;'001-C DMR'!$B21),('DMR 001C NEW'!$E$3:$E$1112&amp;'DMR 001C NEW'!$B$3:$B$1112&amp;'DMR 001C NEW'!$A$3:$A$1112),0),MATCH('001-C DMR'!$DR$11,'DMR 001C NEW'!$A$2:$O$2,0)),"")</f>
        <v/>
      </c>
      <c r="DU21" s="280" t="str">
        <f t="array" ref="DU21">_xlfn.IFNA(INDEX('DMR 001C NEW'!$A$3:$O$999,MATCH(('001-C DMR'!$DK$6&amp;'001-C DMR'!DU$10&amp;'001-C DMR'!$B21),('DMR 001C NEW'!$E$3:$E$1112&amp;'DMR 001C NEW'!$B$3:$B$1112&amp;'DMR 001C NEW'!$A$3:$A$1112),0),MATCH('001-C DMR'!$DR$11,'DMR 001C NEW'!$A$2:$O$2,0)),"")</f>
        <v/>
      </c>
      <c r="DV21" s="280" t="str">
        <f t="array" ref="DV21">_xlfn.IFNA(INDEX('DMR 001C NEW'!$A$3:$O$999,MATCH(('001-C DMR'!$DK$6&amp;'001-C DMR'!DV$10&amp;'001-C DMR'!$B21),('DMR 001C NEW'!$E$3:$E$1112&amp;'DMR 001C NEW'!$B$3:$B$1112&amp;'DMR 001C NEW'!$A$3:$A$1112),0),MATCH('001-C DMR'!$DR$11,'DMR 001C NEW'!$A$2:$O$2,0)),"")</f>
        <v/>
      </c>
      <c r="DW21" s="280" t="str">
        <f t="array" ref="DW21">_xlfn.IFNA(INDEX('DMR 001C NEW'!$A$3:$O$999,MATCH(('001-C DMR'!$DK$6&amp;'001-C DMR'!DW$10&amp;'001-C DMR'!$B21),('DMR 001C NEW'!$E$3:$E$1112&amp;'DMR 001C NEW'!$B$3:$B$1112&amp;'DMR 001C NEW'!$A$3:$A$1112),0),MATCH('001-C DMR'!$DR$11,'DMR 001C NEW'!$A$2:$O$2,0)),"")</f>
        <v/>
      </c>
      <c r="DX21" s="280" t="str">
        <f t="array" ref="DX21">_xlfn.IFNA(INDEX('DMR 001C NEW'!$A$3:$O$999,MATCH(('001-C DMR'!$DK$6&amp;'001-C DMR'!DX$10&amp;'001-C DMR'!$B21),('DMR 001C NEW'!$E$3:$E$1112&amp;'DMR 001C NEW'!$B$3:$B$1112&amp;'DMR 001C NEW'!$A$3:$A$1112),0),MATCH('001-C DMR'!$DR$11,'DMR 001C NEW'!$A$2:$O$2,0)),"")</f>
        <v/>
      </c>
      <c r="DY21" s="61" t="str">
        <f t="shared" si="28"/>
        <v/>
      </c>
      <c r="DZ21" s="249" t="str">
        <f t="array" ref="DZ21">_xlfn.IFNA((INDEX('DMR 001C NEW'!$A$3:$O$9999,MATCH(('001-C DMR'!$DY$6&amp;'001-C DMR'!$DY$10&amp;'001-C DMR'!$B21),('DMR 001C NEW'!$E$3:$E$9018&amp;'DMR 001C NEW'!$B$3:$B$9018&amp;'DMR 001C NEW'!$A$3:$A$9018),0),MATCH('001-C DMR'!$DZ$11,'DMR 001C NEW'!$A$2:$O$2,0))),"")</f>
        <v/>
      </c>
      <c r="EA21" s="249" t="str">
        <f t="array" ref="EA21">_xlfn.IFNA((INDEX('DMR 001C NEW'!$A$3:$O$9999,MATCH(('001-C DMR'!$DY$6&amp;'001-C DMR'!$DY$10&amp;'001-C DMR'!$B21),('DMR 001C NEW'!$E$3:$E$9018&amp;'DMR 001C NEW'!$B$3:$B$9018&amp;'DMR 001C NEW'!$A$3:$A$9018),0),MATCH('001-C DMR'!$EA$11,'DMR 001C NEW'!$A$2:$O$2,0))),"")</f>
        <v/>
      </c>
      <c r="EB21" s="249" t="str">
        <f t="array" ref="EB21">IF(EA21="SCRATCHED","",IF(EA21&lt;DZ21,0,EA21))</f>
        <v/>
      </c>
      <c r="EC21" s="249" t="str">
        <f t="shared" si="29"/>
        <v/>
      </c>
      <c r="ED21" s="249" t="str">
        <f t="array" ref="ED21">_xlfn.IFNA((INDEX('DMR 001C NEW'!$A$3:$O$9999,MATCH(('001-C DMR'!$DY$6&amp;'001-C DMR'!$EC$10&amp;'001-C DMR'!$B21),('DMR 001C NEW'!$E$3:$E$9018&amp;'DMR 001C NEW'!$B$3:$B$9018&amp;'DMR 001C NEW'!$A$3:$A$9018),0),MATCH('001-C DMR'!$DZ$11,'DMR 001C NEW'!$A$2:$O$2,0))),"")</f>
        <v/>
      </c>
      <c r="EE21" s="249" t="str">
        <f t="array" ref="EE21">_xlfn.IFNA((INDEX('DMR 001C NEW'!$A$3:$O$9999,MATCH(('001-C DMR'!$DY$6&amp;'001-C DMR'!$EC$10&amp;'001-C DMR'!$B21),('DMR 001C NEW'!$E$3:$E$9018&amp;'DMR 001C NEW'!$B$3:$B$9018&amp;'DMR 001C NEW'!$A$3:$A$9018),0),MATCH('001-C DMR'!$EE$11,'DMR 001C NEW'!$A$2:$O$2,0))),"")</f>
        <v/>
      </c>
      <c r="EF21" s="249" t="str">
        <f t="array" ref="EF21">IF(EE21="SCRATCHED","",IF(EE21&lt;ED21,0,EE21))</f>
        <v/>
      </c>
      <c r="EG21" s="249"/>
      <c r="EH21" s="195"/>
      <c r="EI21" s="194">
        <f t="array" ref="EI21">_xlfn.IFNA(INDEX('DMR Flows-Effluent'!$A$3:$F$186,MATCH(($EI$10&amp;$B21),('DMR Flows-Effluent'!$B$3:$B$186&amp;'DMR Flows-Effluent'!$A$3:$A$186),0),MATCH($EI$8,'DMR Flows-Effluent'!$A$2:$F$2,0)),"")</f>
        <v>53.790799999999997</v>
      </c>
      <c r="EJ21" s="56">
        <f t="array" ref="EJ21">_xlfn.IFNA(INDEX('DMR Flows-Effluent'!$A$3:$F$186,MATCH(($EJ$10&amp;$B21),('DMR Flows-Effluent'!$B$3:$B$186&amp;'DMR Flows-Effluent'!$A$3:$A$186),0),MATCH($EI$8,'DMR Flows-Effluent'!$A$2:$F$2,0)),"")</f>
        <v>70.638599999999997</v>
      </c>
      <c r="EK21" s="168">
        <f t="shared" si="19"/>
        <v>124.42939999999999</v>
      </c>
      <c r="EL21" s="63"/>
      <c r="EM21" s="63"/>
      <c r="EN21" s="63"/>
      <c r="EO21" s="63"/>
      <c r="EP21" s="62"/>
      <c r="EQ21" s="157">
        <f>'E.Coli Calculations'!R15</f>
        <v>92.532003633549564</v>
      </c>
      <c r="ER21" s="56"/>
      <c r="ES21" s="64" t="str">
        <f t="shared" si="36"/>
        <v/>
      </c>
      <c r="ET21" s="61" t="str">
        <f t="shared" si="20"/>
        <v/>
      </c>
      <c r="EU21" s="58" t="str">
        <f t="array" ref="EU21">_xlfn.IFNA((INDEX('DMR 001C NEW'!$A$3:$O$9999,MATCH(('001-C DMR'!$ET$6&amp;'001-C DMR'!$ET$10&amp;'001-C DMR'!$B21),('DMR 001C NEW'!$E$3:$E$9018&amp;'DMR 001C NEW'!$B$3:$B$9018&amp;'DMR 001C NEW'!$A$3:$A$9018),0),MATCH('001-C DMR'!$EU$11,'DMR 001C NEW'!$A$2:$O$2,0))),"")</f>
        <v/>
      </c>
      <c r="EV21" s="58" t="str">
        <f t="array" ref="EV21">_xlfn.IFNA(INDEX('DMR 001C NEW'!$A$3:$O$9999,MATCH(('001-C DMR'!$ET$6&amp;'001-C DMR'!$ET$10&amp;'001-C DMR'!$B21),('DMR 001C NEW'!$E$3:$E$9018&amp;'DMR 001C NEW'!$B$3:$B$9018&amp;'DMR 001C NEW'!$A$3:$A$9018),0),MATCH('001-C DMR'!$EV$11,'DMR 001C NEW'!$A$2:$O$2,0)),"")</f>
        <v/>
      </c>
      <c r="EW21" s="56" t="str">
        <f t="shared" si="21"/>
        <v/>
      </c>
      <c r="EX21" s="64"/>
      <c r="EY21" s="279" t="str">
        <f t="array" ref="EY21">_xlfn.IFNA(INDEX('DMR 001C NEW'!$A$3:$O$999,MATCH(('001-C DMR'!$ET$6&amp;'001-C DMR'!EY$10&amp;'001-C DMR'!$B21),('DMR 001C NEW'!$E$3:$E$1112&amp;'DMR 001C NEW'!$B$3:$B$1112&amp;'DMR 001C NEW'!$A$3:$A$1112),0),MATCH('001-C DMR'!$EY$11,'DMR 001C NEW'!$A$2:$O$2,0)),"")</f>
        <v/>
      </c>
      <c r="EZ21" s="280" t="str">
        <f t="array" ref="EZ21">_xlfn.IFNA(INDEX('DMR 001C NEW'!$A$3:$O$999,MATCH(('001-C DMR'!$ET$6&amp;'001-C DMR'!EZ$10&amp;'001-C DMR'!$B21),('DMR 001C NEW'!$E$3:$E$1112&amp;'DMR 001C NEW'!$B$3:$B$1112&amp;'DMR 001C NEW'!$A$3:$A$1112),0),MATCH('001-C DMR'!$EY$11,'DMR 001C NEW'!$A$2:$O$2,0)),"")</f>
        <v/>
      </c>
      <c r="FA21" s="280" t="str">
        <f t="array" ref="FA21">_xlfn.IFNA(INDEX('DMR 001C NEW'!$A$3:$O$999,MATCH(('001-C DMR'!$ET$6&amp;'001-C DMR'!FA$10&amp;'001-C DMR'!$B21),('DMR 001C NEW'!$E$3:$E$1112&amp;'DMR 001C NEW'!$B$3:$B$1112&amp;'DMR 001C NEW'!$A$3:$A$1112),0),MATCH('001-C DMR'!$EY$11,'DMR 001C NEW'!$A$2:$O$2,0)),"")</f>
        <v/>
      </c>
      <c r="FB21" s="280" t="str">
        <f t="array" ref="FB21">_xlfn.IFNA(INDEX('DMR 001C NEW'!$A$3:$O$999,MATCH(('001-C DMR'!$ET$6&amp;'001-C DMR'!FB$10&amp;'001-C DMR'!$B21),('DMR 001C NEW'!$E$3:$E$1112&amp;'DMR 001C NEW'!$B$3:$B$1112&amp;'DMR 001C NEW'!$A$3:$A$1112),0),MATCH('001-C DMR'!$EY$11,'DMR 001C NEW'!$A$2:$O$2,0)),"")</f>
        <v/>
      </c>
      <c r="FC21" s="280" t="str">
        <f t="array" ref="FC21">_xlfn.IFNA(INDEX('DMR 001C NEW'!$A$3:$O$999,MATCH(('001-C DMR'!$ET$6&amp;'001-C DMR'!FC$10&amp;'001-C DMR'!$B21),('DMR 001C NEW'!$E$3:$E$1112&amp;'DMR 001C NEW'!$B$3:$B$1112&amp;'DMR 001C NEW'!$A$3:$A$1112),0),MATCH('001-C DMR'!$EY$11,'DMR 001C NEW'!$A$2:$O$2,0)),"")</f>
        <v/>
      </c>
      <c r="FD21" s="280" t="str">
        <f t="array" ref="FD21">_xlfn.IFNA(INDEX('DMR 001C NEW'!$A$3:$O$999,MATCH(('001-C DMR'!$ET$6&amp;'001-C DMR'!FD$10&amp;'001-C DMR'!$B21),('DMR 001C NEW'!$E$3:$E$1112&amp;'DMR 001C NEW'!$B$3:$B$1112&amp;'DMR 001C NEW'!$A$3:$A$1112),0),MATCH('001-C DMR'!$EY$11,'DMR 001C NEW'!$A$2:$O$2,0)),"")</f>
        <v/>
      </c>
      <c r="FE21" s="281" t="str">
        <f t="array" ref="FE21">_xlfn.IFNA(INDEX('DMR 001C NEW'!$A$3:$O$999,MATCH(('001-C DMR'!$ET$6&amp;'001-C DMR'!FE$10&amp;'001-C DMR'!$B21),('DMR 001C NEW'!$E$3:$E$1112&amp;'DMR 001C NEW'!$B$3:$B$1112&amp;'DMR 001C NEW'!$A$3:$A$1112),0),MATCH('001-C DMR'!$EY$11,'DMR 001C NEW'!$A$2:$O$2,0)),"")</f>
        <v/>
      </c>
      <c r="FF21" s="57" t="str">
        <f t="shared" si="22"/>
        <v/>
      </c>
      <c r="FG21" s="56">
        <f t="array" ref="FG21">_xlfn.IFNA(INDEX('DMR 001C NEW'!$A$3:$O$9999,MATCH(('001-C DMR'!$FF$6&amp;'001-C DMR'!$FF$10&amp;'001-C DMR'!$B21),('DMR 001C NEW'!$E$3:$E$7246&amp;'DMR 001C NEW'!$B$3:$B$7246&amp;'DMR 001C NEW'!$A$3:$A$7246),0),MATCH('001-C DMR'!$FG$11,'DMR 001C NEW'!$A$2:$O$2,0)),"")</f>
        <v>0</v>
      </c>
      <c r="FH21" s="56">
        <f t="array" ref="FH21">_xlfn.IFNA(INDEX('DMR 001C NEW'!$A$3:$O$9999,MATCH(('001-C DMR'!$FF$6&amp;'001-C DMR'!$FF$10&amp;'001-C DMR'!$B21),('DMR 001C NEW'!$E$3:$E$7246&amp;'DMR 001C NEW'!$B$3:$B$7246&amp;'DMR 001C NEW'!$A$3:$A$7246),0),MATCH('001-C DMR'!$FH$11,'DMR 001C NEW'!$A$2:$O$2,0)),"")</f>
        <v>4</v>
      </c>
      <c r="FI21" s="57" t="str">
        <f t="shared" si="23"/>
        <v/>
      </c>
      <c r="FJ21" s="56">
        <f t="array" ref="FJ21">_xlfn.IFNA(INDEX('DMR 001C NEW'!$A$3:$O$9999,MATCH(('001-C DMR'!$FF$6&amp;'001-C DMR'!$FI$10&amp;'001-C DMR'!$B21),('DMR 001C NEW'!$E$3:$E$7246&amp;'DMR 001C NEW'!$B$3:$B$7246&amp;'DMR 001C NEW'!$A$3:$A$7246),0),MATCH('001-C DMR'!$FG$11,'DMR 001C NEW'!$A$2:$O$2,0)),"")</f>
        <v>0</v>
      </c>
      <c r="FK21" s="56">
        <f t="array" ref="FK21">_xlfn.IFNA(INDEX('DMR 001C NEW'!$A$3:$O$9999,MATCH(('001-C DMR'!$FF$6&amp;'001-C DMR'!$FI$10&amp;'001-C DMR'!$B21),('DMR 001C NEW'!$E$3:$E$7246&amp;'DMR 001C NEW'!$B$3:$B$7246&amp;'DMR 001C NEW'!$A$3:$A$7246),0),MATCH('001-C DMR'!$FH$11,'DMR 001C NEW'!$A$2:$O$2,0)),"")</f>
        <v>3</v>
      </c>
      <c r="FL21" s="56">
        <f t="array" ref="FL21">IFERROR((($FH21*$EI21)+($FK21*$EJ21))/($EK21),"")</f>
        <v>3.4322997619533648</v>
      </c>
      <c r="FM21" s="56" t="str">
        <f t="shared" si="43"/>
        <v/>
      </c>
      <c r="FN21" s="64" t="str">
        <f t="shared" si="37"/>
        <v/>
      </c>
      <c r="FO21" s="66"/>
      <c r="FP21" s="280" t="str">
        <f t="array" ref="FP21">_xlfn.IFNA(INDEX('DMR 001C NEW'!$A$3:$O$999,MATCH(('001-C DMR'!$FF$6&amp;'001-C DMR'!FP$10&amp;'001-C DMR'!$B21),('DMR 001C NEW'!$E$3:$E$1112&amp;'DMR 001C NEW'!$B$3:$B$1112&amp;'DMR 001C NEW'!$A$3:$A$1112),0),MATCH('001-C DMR'!$FH$11,'DMR 001C NEW'!$A$2:$O$2,0)),"")</f>
        <v/>
      </c>
      <c r="FQ21" s="280" t="str">
        <f t="array" ref="FQ21">_xlfn.IFNA(INDEX('DMR 001C NEW'!$A$3:$O$999,MATCH(('001-C DMR'!$FF$6&amp;'001-C DMR'!FQ$10&amp;'001-C DMR'!$B21),('DMR 001C NEW'!$E$3:$E$1112&amp;'DMR 001C NEW'!$B$3:$B$1112&amp;'DMR 001C NEW'!$A$3:$A$1112),0),MATCH('001-C DMR'!$FH$11,'DMR 001C NEW'!$A$2:$O$2,0)),"")</f>
        <v/>
      </c>
      <c r="FR21" s="280" t="str">
        <f t="array" ref="FR21">_xlfn.IFNA(INDEX('DMR 001C NEW'!$A$3:$O$999,MATCH(('001-C DMR'!$FF$6&amp;'001-C DMR'!FR$10&amp;'001-C DMR'!$B21),('DMR 001C NEW'!$E$3:$E$1112&amp;'DMR 001C NEW'!$B$3:$B$1112&amp;'DMR 001C NEW'!$A$3:$A$1112),0),MATCH('001-C DMR'!$FH$11,'DMR 001C NEW'!$A$2:$O$2,0)),"")</f>
        <v/>
      </c>
      <c r="FS21" s="280" t="str">
        <f t="array" ref="FS21">_xlfn.IFNA(INDEX('DMR 001C NEW'!$A$3:$O$999,MATCH(('001-C DMR'!$FF$6&amp;'001-C DMR'!FS$10&amp;'001-C DMR'!$B21),('DMR 001C NEW'!$E$3:$E$1112&amp;'DMR 001C NEW'!$B$3:$B$1112&amp;'DMR 001C NEW'!$A$3:$A$1112),0),MATCH('001-C DMR'!$FH$11,'DMR 001C NEW'!$A$2:$O$2,0)),"")</f>
        <v/>
      </c>
      <c r="FT21" s="280" t="str">
        <f t="array" ref="FT21">_xlfn.IFNA(INDEX('DMR 001C NEW'!$A$3:$O$999,MATCH(('001-C DMR'!$FF$6&amp;'001-C DMR'!FT$10&amp;'001-C DMR'!$B21),('DMR 001C NEW'!$E$3:$E$1112&amp;'DMR 001C NEW'!$B$3:$B$1112&amp;'DMR 001C NEW'!$A$3:$A$1112),0),MATCH('001-C DMR'!$FH$11,'DMR 001C NEW'!$A$2:$O$2,0)),"")</f>
        <v/>
      </c>
      <c r="FU21" s="280" t="str">
        <f t="array" ref="FU21">_xlfn.IFNA(INDEX('DMR 001C NEW'!$A$3:$O$999,MATCH(('001-C DMR'!$FF$6&amp;'001-C DMR'!FU$10&amp;'001-C DMR'!$B21),('DMR 001C NEW'!$E$3:$E$1112&amp;'DMR 001C NEW'!$B$3:$B$1112&amp;'DMR 001C NEW'!$A$3:$A$1112),0),MATCH('001-C DMR'!$FH$11,'DMR 001C NEW'!$A$2:$O$2,0)),"")</f>
        <v/>
      </c>
      <c r="FV21" s="66"/>
      <c r="FW21" s="61" t="str">
        <f t="shared" si="24"/>
        <v/>
      </c>
      <c r="FX21" s="58" t="str">
        <f t="array" ref="FX21">_xlfn.IFNA(INDEX('DMR 001C NEW'!$A$3:$O$9999,MATCH(('001-C DMR'!$FW$6&amp;'001-C DMR'!$FW$10&amp;'001-C DMR'!$B21),('DMR 001C NEW'!$E$3:$E$7246&amp;'DMR 001C NEW'!$B$3:$B$7246&amp;'DMR 001C NEW'!$A$3:$A$7246),0),MATCH('001-C DMR'!$FX$11,'DMR 001C NEW'!$A$2:$O$2,0)),"")</f>
        <v/>
      </c>
      <c r="FY21" s="58" t="str">
        <f t="array" ref="FY21">_xlfn.IFNA(INDEX('DMR 001C NEW'!$A$3:$O$9999,MATCH(('001-C DMR'!$FW$6&amp;'001-C DMR'!$FW$10&amp;'001-C DMR'!$B21),('DMR 001C NEW'!$E$3:$E$7246&amp;'DMR 001C NEW'!$B$3:$B$7246&amp;'DMR 001C NEW'!$A$3:$A$7246),0),MATCH('001-C DMR'!$FY$11,'DMR 001C NEW'!$A$2:$O$2,0)),"")</f>
        <v/>
      </c>
      <c r="FZ21" s="57" t="str">
        <f t="shared" si="25"/>
        <v/>
      </c>
      <c r="GA21" s="58" t="str">
        <f t="array" ref="GA21">_xlfn.IFNA(INDEX('DMR 001C NEW'!$A$3:$O$9999,MATCH(('001-C DMR'!$FW$6&amp;'001-C DMR'!$FZ$10&amp;'001-C DMR'!$B21),('DMR 001C NEW'!$E$3:$E$7246&amp;'DMR 001C NEW'!$B$3:$B$7246&amp;'DMR 001C NEW'!$A$3:$A$7246),0),MATCH('001-C DMR'!$FX$11,'DMR 001C NEW'!$A$2:$O$2,0)),"")</f>
        <v/>
      </c>
      <c r="GB21" s="58" t="str">
        <f t="array" ref="GB21">_xlfn.IFNA(INDEX('DMR 001C NEW'!$A$3:$O$9999,MATCH(('001-C DMR'!$FW$6&amp;'001-C DMR'!$FZ$10&amp;'001-C DMR'!$B21),('DMR 001C NEW'!$E$3:$E$7246&amp;'DMR 001C NEW'!$B$3:$B$7246&amp;'DMR 001C NEW'!$A$3:$A$7246),0),MATCH('001-C DMR'!$GB$11,'DMR 001C NEW'!$A$2:$O$2,0)),"")</f>
        <v/>
      </c>
      <c r="GC21" s="56" t="str">
        <f t="shared" si="4"/>
        <v/>
      </c>
      <c r="GD21" s="64" t="str">
        <f t="shared" si="38"/>
        <v/>
      </c>
      <c r="GE21" s="279" t="str">
        <f t="array" ref="GE21">_xlfn.IFNA(INDEX('DMR 001C NEW'!$A$3:$O$999,MATCH(('001-C DMR'!$FW$6&amp;'001-C DMR'!GE$10&amp;'001-C DMR'!$B21),('DMR 001C NEW'!$E$3:$E$1112&amp;'DMR 001C NEW'!$B$3:$B$1112&amp;'DMR 001C NEW'!$A$3:$A$1112),0),MATCH('001-C DMR'!$FY$11,'DMR 001C NEW'!$A$2:$O$2,0)),"")</f>
        <v/>
      </c>
      <c r="GF21" s="280" t="str">
        <f t="array" ref="GF21">_xlfn.IFNA(INDEX('DMR 001C NEW'!$A$3:$O$999,MATCH(('001-C DMR'!$FW$6&amp;'001-C DMR'!GF$10&amp;'001-C DMR'!$B21),('DMR 001C NEW'!$E$3:$E$1112&amp;'DMR 001C NEW'!$B$3:$B$1112&amp;'DMR 001C NEW'!$A$3:$A$1112),0),MATCH('001-C DMR'!$FY$11,'DMR 001C NEW'!$A$2:$O$2,0)),"")</f>
        <v/>
      </c>
      <c r="GG21" s="280" t="str">
        <f t="array" ref="GG21">_xlfn.IFNA(INDEX('DMR 001C NEW'!$A$3:$O$999,MATCH(('001-C DMR'!$FW$6&amp;'001-C DMR'!GG$10&amp;'001-C DMR'!$B21),('DMR 001C NEW'!$E$3:$E$1112&amp;'DMR 001C NEW'!$B$3:$B$1112&amp;'DMR 001C NEW'!$A$3:$A$1112),0),MATCH('001-C DMR'!$FY$11,'DMR 001C NEW'!$A$2:$O$2,0)),"")</f>
        <v/>
      </c>
      <c r="GH21" s="280" t="str">
        <f t="array" ref="GH21">_xlfn.IFNA(INDEX('DMR 001C NEW'!$A$3:$O$999,MATCH(('001-C DMR'!$FW$6&amp;'001-C DMR'!GH$10&amp;'001-C DMR'!$B21),('DMR 001C NEW'!$E$3:$E$1112&amp;'DMR 001C NEW'!$B$3:$B$1112&amp;'DMR 001C NEW'!$A$3:$A$1112),0),MATCH('001-C DMR'!$FY$11,'DMR 001C NEW'!$A$2:$O$2,0)),"")</f>
        <v/>
      </c>
      <c r="GI21" s="280" t="str">
        <f t="array" ref="GI21">_xlfn.IFNA(INDEX('DMR 001C NEW'!$A$3:$O$999,MATCH(('001-C DMR'!$FW$6&amp;'001-C DMR'!GI$10&amp;'001-C DMR'!$B21),('DMR 001C NEW'!$E$3:$E$1112&amp;'DMR 001C NEW'!$B$3:$B$1112&amp;'DMR 001C NEW'!$A$3:$A$1112),0),MATCH('001-C DMR'!$FY$11,'DMR 001C NEW'!$A$2:$O$2,0)),"")</f>
        <v/>
      </c>
      <c r="GJ21" s="281" t="str">
        <f t="array" ref="GJ21">_xlfn.IFNA(INDEX('DMR 001C NEW'!$A$3:$O$999,MATCH(('001-C DMR'!$FW$6&amp;'001-C DMR'!GJ$10&amp;'001-C DMR'!$B21),('DMR 001C NEW'!$E$3:$E$1112&amp;'DMR 001C NEW'!$B$3:$B$1112&amp;'DMR 001C NEW'!$A$3:$A$1112),0),MATCH('001-C DMR'!$FY$11,'DMR 001C NEW'!$A$2:$O$2,0)),"")</f>
        <v/>
      </c>
      <c r="GK21" s="58" t="str">
        <f t="array" ref="GK21">_xlfn.IFNA(INDEX('DMR 001C NEW'!$A$3:$O$9999,MATCH(('001-C DMR'!$GK$6&amp;'001-C DMR'!$GK$10&amp;'001-C DMR'!$B21),('DMR 001C NEW'!$E$3:$E$9018&amp;'DMR 001C NEW'!$B$3:$B$9018&amp;'DMR 001C NEW'!$A$3:$A$9018),0),MATCH('001-C DMR'!$GK$11,'DMR 001C NEW'!$A$2:$O$2,0)),"")</f>
        <v>n</v>
      </c>
      <c r="GL21" s="58" t="str">
        <f t="array" ref="GL21">_xlfn.IFNA(INDEX('DMR 001C NEW'!$A$3:$O$9999,MATCH(('001-C DMR'!$GK$6&amp;'001-C DMR'!$GL$10&amp;'001-C DMR'!$B21),('DMR 001C NEW'!$E$3:$E$9018&amp;'DMR 001C NEW'!$B$3:$B$9018&amp;'DMR 001C NEW'!$A$3:$A$9018),0),MATCH('001-C DMR'!$GK$11,'DMR 001C NEW'!$A$2:$O$2,0)),"")</f>
        <v>n</v>
      </c>
      <c r="GM21" s="134"/>
      <c r="GN21" s="64" t="str">
        <f t="shared" si="44"/>
        <v/>
      </c>
    </row>
    <row r="22" spans="1:282" s="51" customFormat="1" x14ac:dyDescent="0.25">
      <c r="A22" s="67" t="str">
        <f t="shared" si="5"/>
        <v>Wed</v>
      </c>
      <c r="B22" s="216">
        <f t="shared" si="26"/>
        <v>43684</v>
      </c>
      <c r="C22" s="93">
        <f t="array" ref="C22">INDEX('DMR 001C NEW'!$A$3:$N$10020,MATCH(('001-C DMR'!$C$6:$K$6&amp;'001-C DMR'!$C$10:$E$10&amp;'001-C DMR'!$B22),('DMR 001C NEW'!$E$3:$E$7246&amp;'DMR 001C NEW'!$B$3:$B$7246&amp;'DMR 001C NEW'!$A$3:$A$7246),0),MATCH('001-C DMR'!$C$11,'DMR 001C NEW'!$A$2:$O$2,0))</f>
        <v>5.8</v>
      </c>
      <c r="D22" s="56" t="str">
        <f t="array" ref="D22">INDEX('DMR 001C NEW'!$A$3:$N$11771,MATCH(('001-C DMR'!$C$6:$K$6&amp;'001-C DMR'!$C$10:$E$10&amp;'001-C DMR'!$B22),('DMR 001C NEW'!$E$3:$E$9018&amp;'DMR 001C NEW'!$B$3:$B$9018&amp;'DMR 001C NEW'!$A$3:$A$9018),0),MATCH('001-C DMR'!$D$11,'DMR 001C NEW'!$A$2:$O$2,0))</f>
        <v>AE68520</v>
      </c>
      <c r="E22" s="56">
        <f t="array" ref="E22">INDEX('DMR 001C NEW'!$A$3:$N$9999,MATCH(('001-C DMR'!$E$11&amp;'001-C DMR'!$C$10:$E$10&amp;'001-C DMR'!$B22&amp;$D22),('DMR 001C NEW'!$E$3:$E$7246&amp;'DMR 001C NEW'!$B$3:$B$7246&amp;'DMR 001C NEW'!$A$3:$A$7246&amp;'DMR 001C NEW'!$M$3:$M$7188),0),MATCH($C$11,'DMR 001C NEW'!$A$2:$O$2,0))</f>
        <v>79.92</v>
      </c>
      <c r="F22" s="56">
        <f t="array" ref="F22">INDEX('DMR 001C NEW'!$A$3:$N$9999,MATCH('001-C DMR'!$C$6:$K$6&amp;'001-C DMR'!$F$10&amp;'001-C DMR'!$B22,('DMR 001C NEW'!$E$3:$E$7246&amp;'DMR 001C NEW'!$B$3:$B$7246&amp;'DMR 001C NEW'!$A$3:$A$7246),0),MATCH('001-C DMR'!$C$11,'DMR 001C NEW'!$A$2:$O$2,0))</f>
        <v>6.7</v>
      </c>
      <c r="G22" s="56" t="str">
        <f t="array" ref="G22">INDEX('DMR 001C NEW'!$A$3:$N$3865,MATCH(('001-C DMR'!$C$6:$K$6&amp;'001-C DMR'!$F$10&amp;'001-C DMR'!$B22),('DMR 001C NEW'!$E$3:$E$1112&amp;'DMR 001C NEW'!$B$3:$B$1112&amp;'DMR 001C NEW'!$A$3:$A$1112),0),MATCH('001-C DMR'!$D$11,'DMR 001C NEW'!$A$2:$O$2,0))</f>
        <v>AE68521</v>
      </c>
      <c r="H22" s="56">
        <f t="array" ref="H22">INDEX('DMR 001C NEW'!$A$3:$N$9999,MATCH(('001-C DMR'!$E$11&amp;'001-C DMR'!$F$10&amp;'001-C DMR'!$B22&amp;$G22),('DMR 001C NEW'!$E$3:$E$7246&amp;'DMR 001C NEW'!$B$3:$B$7246&amp;'DMR 001C NEW'!$A$3:$A$7246&amp;'DMR 001C NEW'!$M$3:$M$7188),0),MATCH($C$11,'DMR 001C NEW'!$A$2:$O$2,0))</f>
        <v>57.41</v>
      </c>
      <c r="I22" s="56">
        <f t="shared" si="0"/>
        <v>6.1762397145561794</v>
      </c>
      <c r="J22" s="58" t="str">
        <f t="shared" si="39"/>
        <v/>
      </c>
      <c r="K22" s="64" t="str">
        <f t="shared" si="40"/>
        <v/>
      </c>
      <c r="L22" s="262" t="str">
        <f t="array" ref="L22">_xlfn.IFNA(INDEX('DMR 001C NEW'!$A$3:$N$3865,MATCH(('001-C DMR'!$C$6:$K$6&amp;'001-C DMR'!L$10&amp;'001-C DMR'!$B22),('DMR 001C NEW'!$E$3:$E$1112&amp;'DMR 001C NEW'!$B$3:$B$1112&amp;'DMR 001C NEW'!$A$3:$A$1112),0),MATCH('001-C DMR'!$C$11,'DMR 001C NEW'!$A$2:$O$2,0)),"")</f>
        <v/>
      </c>
      <c r="M22" s="262" t="str">
        <f t="array" ref="M22">_xlfn.IFNA(INDEX('DMR 001C NEW'!$A$3:$N$3865,MATCH(('001-C DMR'!$C$6:$K$6&amp;'001-C DMR'!M$10&amp;'001-C DMR'!$B22),('DMR 001C NEW'!$E$3:$E$1112&amp;'DMR 001C NEW'!$B$3:$B$1112&amp;'DMR 001C NEW'!$A$3:$A$1112),0),MATCH('001-C DMR'!$C$11,'DMR 001C NEW'!$A$2:$O$2,0)),"")</f>
        <v/>
      </c>
      <c r="N22" s="262" t="str">
        <f t="array" ref="N22">_xlfn.IFNA(INDEX('DMR 001C NEW'!$A$3:$N$3865,MATCH(('001-C DMR'!$C$6:$K$6&amp;'001-C DMR'!N$10&amp;'001-C DMR'!$B22),('DMR 001C NEW'!$E$3:$E$1112&amp;'DMR 001C NEW'!$B$3:$B$1112&amp;'DMR 001C NEW'!$A$3:$A$1112),0),MATCH('001-C DMR'!$C$11,'DMR 001C NEW'!$A$2:$O$2,0)),"")</f>
        <v/>
      </c>
      <c r="O22" s="262" t="str">
        <f t="array" ref="O22">_xlfn.IFNA(INDEX('DMR 001C NEW'!$A$3:$N$3865,MATCH(('001-C DMR'!$C$6:$K$6&amp;'001-C DMR'!O$10&amp;'001-C DMR'!$B22),('DMR 001C NEW'!$E$3:$E$1112&amp;'DMR 001C NEW'!$B$3:$B$1112&amp;'DMR 001C NEW'!$A$3:$A$1112),0),MATCH('001-C DMR'!$C$11,'DMR 001C NEW'!$A$2:$O$2,0)),"")</f>
        <v/>
      </c>
      <c r="P22" s="262" t="str">
        <f t="array" ref="P22">_xlfn.IFNA(INDEX('DMR 001C NEW'!$A$3:$N$3865,MATCH(('001-C DMR'!$C$6:$K$6&amp;'001-C DMR'!P$10&amp;'001-C DMR'!$B22),('DMR 001C NEW'!$E$3:$E$1112&amp;'DMR 001C NEW'!$B$3:$B$1112&amp;'DMR 001C NEW'!$A$3:$A$1112),0),MATCH('001-C DMR'!$C$11,'DMR 001C NEW'!$A$2:$O$2,0)),"")</f>
        <v/>
      </c>
      <c r="Q22" s="120" t="e">
        <f t="array" ref="Q22">INDEX('DMR 001C NEW'!$A$3:$N$3865,MATCH(('001-C DMR'!$C$6:$K$6&amp;'001-C DMR'!Q$10&amp;'001-C DMR'!$B22),('DMR 001C NEW'!$E$3:$E$1112&amp;'DMR 001C NEW'!$B$3:$B$1112&amp;'DMR 001C NEW'!$A$3:$A$1112),0),MATCH('001-C DMR'!$C$11,'DMR 001C NEW'!$A$2:$O$2,0))</f>
        <v>#N/A</v>
      </c>
      <c r="R22" s="61"/>
      <c r="S22" s="56">
        <f t="array" ref="S22">_xlfn.IFNA(INDEX('DMR 001C NEW'!$A$3:$N$11771,MATCH(('001-C DMR'!$R$6:$T$6&amp;'001-C DMR'!$R$10&amp;'001-C DMR'!$B22),('DMR 001C NEW'!$E$3:$E$9018&amp;'DMR 001C NEW'!$B$3:$B$9018&amp;'DMR 001C NEW'!$A$3:$A$9018),0),MATCH('001-C DMR'!$S$11,'DMR 001C NEW'!$A$2:$O$2,0)),"")</f>
        <v>7</v>
      </c>
      <c r="T22" s="64" t="str">
        <f t="shared" si="41"/>
        <v/>
      </c>
      <c r="U22" s="262" t="str">
        <f t="array" ref="U22">_xlfn.IFNA(INDEX('DMR 001C NEW'!$A$3:$O$591,MATCH('001-C DMR'!$R$6:$T$6&amp;'001-C DMR'!U$10&amp;'001-C DMR'!$B22,('DMR 001C NEW'!$E$3:$E$704&amp;'DMR 001C NEW'!$B$3:$B$704&amp;'DMR 001C NEW'!$A$3:$A$704),0),MATCH('001-C DMR'!$U$11,'DMR 001C NEW'!$A$2:$O$2,0)),"")</f>
        <v/>
      </c>
      <c r="V22" s="262" t="str">
        <f t="array" ref="V22">_xlfn.IFNA(INDEX('DMR 001C NEW'!$A$3:$O$591,MATCH('001-C DMR'!$R$6:$T$6&amp;'001-C DMR'!V$10&amp;'001-C DMR'!$B22,('DMR 001C NEW'!$E$3:$E$704&amp;'DMR 001C NEW'!$B$3:$B$704&amp;'DMR 001C NEW'!$A$3:$A$704),0),MATCH('001-C DMR'!$U$11,'DMR 001C NEW'!$A$2:$O$2,0)),"")</f>
        <v/>
      </c>
      <c r="W22" s="262" t="str">
        <f t="array" ref="W22">_xlfn.IFNA(INDEX('DMR 001C NEW'!$A$3:$O$591,MATCH('001-C DMR'!$R$6:$T$6&amp;'001-C DMR'!W$10&amp;'001-C DMR'!$B22,('DMR 001C NEW'!$E$3:$E$704&amp;'DMR 001C NEW'!$B$3:$B$704&amp;'DMR 001C NEW'!$A$3:$A$704),0),MATCH('001-C DMR'!$U$11,'DMR 001C NEW'!$A$2:$O$2,0)),"")</f>
        <v/>
      </c>
      <c r="X22" s="262" t="str">
        <f t="array" ref="X22">_xlfn.IFNA(INDEX('DMR 001C NEW'!$A$3:$O$591,MATCH('001-C DMR'!$R$6:$T$6&amp;'001-C DMR'!X$10&amp;'001-C DMR'!$B22,('DMR 001C NEW'!$E$3:$E$704&amp;'DMR 001C NEW'!$B$3:$B$704&amp;'DMR 001C NEW'!$A$3:$A$704),0),MATCH('001-C DMR'!$U$11,'DMR 001C NEW'!$A$2:$O$2,0)),"")</f>
        <v/>
      </c>
      <c r="Y22" s="262" t="str">
        <f t="array" ref="Y22">_xlfn.IFNA(INDEX('DMR 001C NEW'!$A$3:$O$591,MATCH('001-C DMR'!$R$6:$T$6&amp;'001-C DMR'!Y$10&amp;'001-C DMR'!$B22,('DMR 001C NEW'!$E$3:$E$704&amp;'DMR 001C NEW'!$B$3:$B$704&amp;'DMR 001C NEW'!$A$3:$A$704),0),MATCH('001-C DMR'!$U$11,'DMR 001C NEW'!$A$2:$O$2,0)),"")</f>
        <v/>
      </c>
      <c r="Z22" s="262" t="str">
        <f t="array" ref="Z22">_xlfn.IFNA(INDEX('DMR 001C NEW'!$A$3:$O$591,MATCH('001-C DMR'!$R$6:$T$6&amp;'001-C DMR'!Z$10&amp;'001-C DMR'!$B22,('DMR 001C NEW'!$E$3:$E$704&amp;'DMR 001C NEW'!$B$3:$B$704&amp;'DMR 001C NEW'!$A$3:$A$704),0),MATCH('001-C DMR'!$U$11,'DMR 001C NEW'!$A$2:$O$2,0)),"")</f>
        <v/>
      </c>
      <c r="AA22" s="262" t="str">
        <f t="array" ref="AA22">_xlfn.IFNA(INDEX('DMR 001C NEW'!$A$3:$O$591,MATCH('001-C DMR'!$R$6:$T$6&amp;'001-C DMR'!AA$10&amp;'001-C DMR'!$B22,('DMR 001C NEW'!$E$3:$E$704&amp;'DMR 001C NEW'!$B$3:$B$704&amp;'DMR 001C NEW'!$A$3:$A$704),0),MATCH('001-C DMR'!$U$11,'DMR 001C NEW'!$A$2:$O$2,0)),"")</f>
        <v/>
      </c>
      <c r="AB22" s="61" t="str">
        <f t="array" ref="AB22">IF(AD22&lt;AC22,"&lt;","")</f>
        <v/>
      </c>
      <c r="AC22" s="56">
        <f t="array" ref="AC22">_xlfn.IFNA(INDEX('DMR 001C NEW'!$A$3:$O$9999,MATCH(('001-C DMR'!$AB$6:$AJ$6&amp;'001-C DMR'!$AB$10:$AD$10&amp;'001-C DMR'!$B22),('DMR 001C NEW'!$E$3:$E$7246&amp;'DMR 001C NEW'!$B$3:$B$7246&amp;'DMR 001C NEW'!$A$3:$A$7246),0),MATCH('001-C DMR'!$AC$11,'DMR 001C NEW'!$A$2:$O$2,0)),"")</f>
        <v>3</v>
      </c>
      <c r="AD22" s="56">
        <f t="array" ref="AD22">_xlfn.IFNA(INDEX('DMR 001C NEW'!$A$3:$O$9999,MATCH(('001-C DMR'!$AB$6:$AJ$6&amp;'001-C DMR'!$AB$10:$AD$10&amp;'001-C DMR'!$B22),('DMR 001C NEW'!$E$3:$E$7246&amp;'DMR 001C NEW'!$B$3:$B$7246&amp;'DMR 001C NEW'!$A$3:$A$7246),0),MATCH('001-C DMR'!$AD$11,'DMR 001C NEW'!$A$2:$O$2,0)),"")</f>
        <v>15</v>
      </c>
      <c r="AE22" s="57" t="str">
        <f t="array" ref="AE22">IF(AG22&lt;AF22,"&lt;","")</f>
        <v/>
      </c>
      <c r="AF22" s="56">
        <f t="array" ref="AF22">_xlfn.IFNA(INDEX('DMR 001C NEW'!$A$3:$O$9999,MATCH(('001-C DMR'!$AB$6:$AJ$6&amp;'001-C DMR'!$AE$10&amp;'001-C DMR'!$B22),('DMR 001C NEW'!$E$3:$E$9018&amp;'DMR 001C NEW'!$B$3:$B$9018&amp;'DMR 001C NEW'!$A$3:$A$9018),0),MATCH('001-C DMR'!$AF$11,'DMR 001C NEW'!$A$2:$O$2,0)),"")</f>
        <v>3</v>
      </c>
      <c r="AG22" s="56">
        <f t="array" ref="AG22">_xlfn.IFNA(INDEX('DMR 001C NEW'!$A$3:$O$9999,MATCH(('001-C DMR'!$AB$6:$AJ$6&amp;'001-C DMR'!$AE$10&amp;'001-C DMR'!$B22),('DMR 001C NEW'!$E$3:$E$9018&amp;'DMR 001C NEW'!$B$3:$B$9018&amp;'DMR 001C NEW'!$A$3:$A$9018),0),MATCH('001-C DMR'!$AG$11,'DMR 001C NEW'!$A$2:$O$2,0)),"")</f>
        <v>8</v>
      </c>
      <c r="AH22" s="56">
        <f t="array" ref="AH22">IFERROR((($AD22*$EI22)+($AG22*$EJ22))/($EK22),"")</f>
        <v>11.329098399907796</v>
      </c>
      <c r="AI22" s="56" t="str">
        <f t="shared" si="42"/>
        <v/>
      </c>
      <c r="AJ22" s="64" t="str">
        <f t="shared" si="30"/>
        <v/>
      </c>
      <c r="AK22" s="262" t="str">
        <f t="array" ref="AK22">_xlfn.IFNA(INDEX('DMR 001C NEW'!$A$3:$O$999,MATCH(('001-C DMR'!$AB$6:$AJ$6&amp;'001-C DMR'!AK$10&amp;'001-C DMR'!$B22),('DMR 001C NEW'!$E$3:$E$1112&amp;'DMR 001C NEW'!$B$3:$B$1112&amp;'DMR 001C NEW'!$A$3:$A$1112),0),MATCH('001-C DMR'!$AD$11,'DMR 001C NEW'!$A$2:$O$2,0)),"")</f>
        <v/>
      </c>
      <c r="AL22" s="262" t="str">
        <f t="array" ref="AL22">_xlfn.IFNA(INDEX('DMR 001C NEW'!$A$3:$O$999,MATCH(('001-C DMR'!$AB$6:$AJ$6&amp;'001-C DMR'!AL$10&amp;'001-C DMR'!$B22),('DMR 001C NEW'!$E$3:$E$1112&amp;'DMR 001C NEW'!$B$3:$B$1112&amp;'DMR 001C NEW'!$A$3:$A$1112),0),MATCH('001-C DMR'!$AD$11,'DMR 001C NEW'!$A$2:$O$2,0)),"")</f>
        <v/>
      </c>
      <c r="AM22" s="262" t="str">
        <f t="array" ref="AM22">_xlfn.IFNA(INDEX('DMR 001C NEW'!$A$3:$O$999,MATCH(('001-C DMR'!$AB$6:$AJ$6&amp;'001-C DMR'!AM$10&amp;'001-C DMR'!$B22),('DMR 001C NEW'!$E$3:$E$1112&amp;'DMR 001C NEW'!$B$3:$B$1112&amp;'DMR 001C NEW'!$A$3:$A$1112),0),MATCH('001-C DMR'!$AD$11,'DMR 001C NEW'!$A$2:$O$2,0)),"")</f>
        <v/>
      </c>
      <c r="AN22" s="262" t="str">
        <f t="array" ref="AN22">_xlfn.IFNA(INDEX('DMR 001C NEW'!$A$3:$O$999,MATCH(('001-C DMR'!$AB$6:$AJ$6&amp;'001-C DMR'!AN$10&amp;'001-C DMR'!$B22),('DMR 001C NEW'!$E$3:$E$1112&amp;'DMR 001C NEW'!$B$3:$B$1112&amp;'DMR 001C NEW'!$A$3:$A$1112),0),MATCH('001-C DMR'!$AD$11,'DMR 001C NEW'!$A$2:$O$2,0)),"")</f>
        <v/>
      </c>
      <c r="AO22" s="262" t="str">
        <f t="array" ref="AO22">_xlfn.IFNA(INDEX('DMR 001C NEW'!$A$3:$O$999,MATCH(('001-C DMR'!$AB$6:$AJ$6&amp;'001-C DMR'!AO$10&amp;'001-C DMR'!$B22),('DMR 001C NEW'!$E$3:$E$1112&amp;'DMR 001C NEW'!$B$3:$B$1112&amp;'DMR 001C NEW'!$A$3:$A$1112),0),MATCH('001-C DMR'!$AD$11,'DMR 001C NEW'!$A$2:$O$2,0)),"")</f>
        <v/>
      </c>
      <c r="AP22" s="262" t="str">
        <f t="array" ref="AP22">_xlfn.IFNA(INDEX('DMR 001C NEW'!$A$3:$O$999,MATCH(('001-C DMR'!$AB$6:$AJ$6&amp;'001-C DMR'!AP$10&amp;'001-C DMR'!$B22),('DMR 001C NEW'!$E$3:$E$1112&amp;'DMR 001C NEW'!$B$3:$B$1112&amp;'DMR 001C NEW'!$A$3:$A$1112),0),MATCH('001-C DMR'!$AD$11,'DMR 001C NEW'!$A$2:$O$2,0)),"")</f>
        <v/>
      </c>
      <c r="AQ22" s="61" t="str">
        <f t="array" ref="AQ22">IF(AS22&lt;AR22,"&lt;","")</f>
        <v/>
      </c>
      <c r="AR22" s="58">
        <f t="array" ref="AR22">_xlfn.IFNA((INDEX('DMR 001C NEW'!$A$3:$O$9999,MATCH(('001-C DMR'!$AQ$6:$AZ$6&amp;'001-C DMR'!$AQ$10:$AS$10&amp;'001-C DMR'!$B22),('DMR 001C NEW'!$E$3:$E$7246&amp;'DMR 001C NEW'!$B$3:$B$7246&amp;'DMR 001C NEW'!$A$3:$A$7246),0),MATCH('001-C DMR'!$AR$11,'DMR 001C NEW'!$A$2:$O$2,0))),"")</f>
        <v>0.15</v>
      </c>
      <c r="AS22" s="58">
        <f t="array" ref="AS22">_xlfn.IFNA(INDEX('DMR 001C NEW'!$A$3:$O$9999,MATCH(('001-C DMR'!$AQ$6:$AZ$6&amp;'001-C DMR'!$AQ$10:$AS$10&amp;'001-C DMR'!$B22),('DMR 001C NEW'!$E$3:$E$7246&amp;'DMR 001C NEW'!$B$3:$B$7246&amp;'DMR 001C NEW'!$A$3:$A$7246),0),MATCH('001-C DMR'!$AS$11,'DMR 001C NEW'!$A$2:$O$2,0)),"")</f>
        <v>0.51</v>
      </c>
      <c r="AT22" s="58">
        <f t="shared" si="27"/>
        <v>0.51</v>
      </c>
      <c r="AU22" s="57" t="str">
        <f t="array" ref="AU22">IF(AW22&lt;AV22,"&lt;","")</f>
        <v/>
      </c>
      <c r="AV22" s="58">
        <f t="array" ref="AV22">_xlfn.IFNA((INDEX('DMR 001C NEW'!$A$3:$O$9999,MATCH(('001-C DMR'!$AQ$6:$AZ$6&amp;'001-C DMR'!$AU$10&amp;'001-C DMR'!$B22),('DMR 001C NEW'!$E$3:$E$7246&amp;'DMR 001C NEW'!$B$3:$B$7246&amp;'DMR 001C NEW'!$A$3:$A$7246),0),MATCH('001-C DMR'!$AR$11,'DMR 001C NEW'!$A$2:$O$2,0))),"")</f>
        <v>0.15</v>
      </c>
      <c r="AW22" s="58">
        <f t="array" ref="AW22">_xlfn.IFNA(INDEX('DMR 001C NEW'!$A$3:$O$9999,MATCH(('001-C DMR'!$AQ$6:$AZ$6&amp;'001-C DMR'!$AU$10&amp;'001-C DMR'!$B22),('DMR 001C NEW'!$E$3:$E$7246&amp;'DMR 001C NEW'!$B$3:$B$7246&amp;'DMR 001C NEW'!$A$3:$A$7246),0),MATCH('001-C DMR'!$AW$11,'DMR 001C NEW'!$A$2:$O$2,0)),"")</f>
        <v>0.73</v>
      </c>
      <c r="AX22" s="58">
        <f t="shared" si="6"/>
        <v>0.73</v>
      </c>
      <c r="AY22" s="56">
        <f t="array" ref="AY22">IFERROR((($AT22*$EI22)+($AX22*$EJ22))/($EK22),"")</f>
        <v>0.62537119314575507</v>
      </c>
      <c r="AZ22" s="64" t="str">
        <f t="shared" si="31"/>
        <v/>
      </c>
      <c r="BA22" s="279" t="str">
        <f t="array" ref="BA22">_xlfn.IFNA(INDEX('DMR 001C NEW'!$A$3:$O$9999,MATCH(('001-C DMR'!$AQ$6:$AZ$6&amp;'001-C DMR'!BA$10&amp;'001-C DMR'!$B22),('DMR 001C NEW'!$E$3:$E$1112&amp;'DMR 001C NEW'!$B$3:$B$1112&amp;'DMR 001C NEW'!$A$3:$A$1112),0),MATCH('001-C DMR'!$BA$11,'DMR 001C NEW'!$A$2:$O$2,0)),"")</f>
        <v/>
      </c>
      <c r="BB22" s="280" t="str">
        <f t="array" ref="BB22">_xlfn.IFNA(INDEX('DMR 001C NEW'!$A$3:$O$9999,MATCH(('001-C DMR'!$AQ$6:$AZ$6&amp;'001-C DMR'!BB$10&amp;'001-C DMR'!$B22),('DMR 001C NEW'!$E$3:$E$1112&amp;'DMR 001C NEW'!$B$3:$B$1112&amp;'DMR 001C NEW'!$A$3:$A$1112),0),MATCH('001-C DMR'!$BA$11,'DMR 001C NEW'!$A$2:$O$2,0)),"")</f>
        <v/>
      </c>
      <c r="BC22" s="280" t="str">
        <f t="array" ref="BC22">_xlfn.IFNA(INDEX('DMR 001C NEW'!$A$3:$O$9999,MATCH(('001-C DMR'!$AQ$6:$AZ$6&amp;'001-C DMR'!BC$10&amp;'001-C DMR'!$B22),('DMR 001C NEW'!$E$3:$E$1112&amp;'DMR 001C NEW'!$B$3:$B$1112&amp;'DMR 001C NEW'!$A$3:$A$1112),0),MATCH('001-C DMR'!$BA$11,'DMR 001C NEW'!$A$2:$O$2,0)),"")</f>
        <v/>
      </c>
      <c r="BD22" s="280" t="str">
        <f t="array" ref="BD22">_xlfn.IFNA(INDEX('DMR 001C NEW'!$A$3:$O$9999,MATCH(('001-C DMR'!$AQ$6:$AZ$6&amp;'001-C DMR'!BD$10&amp;'001-C DMR'!$B22),('DMR 001C NEW'!$E$3:$E$1112&amp;'DMR 001C NEW'!$B$3:$B$1112&amp;'DMR 001C NEW'!$A$3:$A$1112),0),MATCH('001-C DMR'!$BA$11,'DMR 001C NEW'!$A$2:$O$2,0)),"")</f>
        <v/>
      </c>
      <c r="BE22" s="280" t="str">
        <f t="array" ref="BE22">_xlfn.IFNA(INDEX('DMR 001C NEW'!$A$3:$O$9999,MATCH(('001-C DMR'!$AQ$6:$AZ$6&amp;'001-C DMR'!BE$10&amp;'001-C DMR'!$B22),('DMR 001C NEW'!$E$3:$E$1112&amp;'DMR 001C NEW'!$B$3:$B$1112&amp;'DMR 001C NEW'!$A$3:$A$1112),0),MATCH('001-C DMR'!$BA$11,'DMR 001C NEW'!$A$2:$O$2,0)),"")</f>
        <v/>
      </c>
      <c r="BF22" s="281" t="str">
        <f t="array" ref="BF22">_xlfn.IFNA(INDEX('DMR 001C NEW'!$A$3:$O$9999,MATCH(('001-C DMR'!$AQ$6:$AZ$6&amp;'001-C DMR'!BF$10&amp;'001-C DMR'!$B22),('DMR 001C NEW'!$E$3:$E$1112&amp;'DMR 001C NEW'!$B$3:$B$1112&amp;'DMR 001C NEW'!$A$3:$A$1112),0),MATCH('001-C DMR'!$BA$11,'DMR 001C NEW'!$A$2:$O$2,0)),"")</f>
        <v/>
      </c>
      <c r="BG22" s="57"/>
      <c r="BH22" s="58">
        <f t="array" ref="BH22">_xlfn.IFNA((INDEX('DMR 001C NEW'!$A$3:$O$9999,MATCH(('001-C DMR'!$BG$6&amp;'001-C DMR'!$BG$10&amp;'001-C DMR'!$B22),('DMR 001C NEW'!$E$3:$E$7246&amp;'DMR 001C NEW'!$B$3:$B$7246&amp;'DMR 001C NEW'!$A$3:$A$7246),0),MATCH('001-C DMR'!$BH$11,'DMR 001C NEW'!$A$2:$O$2,0))),"")</f>
        <v>0.18</v>
      </c>
      <c r="BI22" s="58">
        <f t="array" ref="BI22">_xlfn.IFNA(INDEX('DMR 001C NEW'!$A$3:$O$9999,MATCH(('001-C DMR'!$BG$6&amp;'001-C DMR'!$BG$10&amp;'001-C DMR'!$B22),('DMR 001C NEW'!$E$3:$E$7246&amp;'DMR 001C NEW'!$B$3:$B$7246&amp;'DMR 001C NEW'!$A$3:$A$7246),0),MATCH('001-C DMR'!$BI$11,'DMR 001C NEW'!$A$2:$O$2,0)),"")</f>
        <v>2.76</v>
      </c>
      <c r="BJ22" s="58">
        <f t="shared" si="7"/>
        <v>2.76</v>
      </c>
      <c r="BK22" s="57" t="str">
        <f t="shared" si="8"/>
        <v/>
      </c>
      <c r="BL22" s="58">
        <f t="array" ref="BL22">_xlfn.IFNA((INDEX('DMR 001C NEW'!$A$3:$O$9999,MATCH(('001-C DMR'!$BG$6&amp;'001-C DMR'!$BK$10&amp;'001-C DMR'!$B22),('DMR 001C NEW'!$E$3:$E$7246&amp;'DMR 001C NEW'!$B$3:$B$7246&amp;'DMR 001C NEW'!$A$3:$A$7246),0),MATCH('001-C DMR'!$BH$11,'DMR 001C NEW'!$A$2:$O$2,0))),"")</f>
        <v>0.06</v>
      </c>
      <c r="BM22" s="58">
        <f t="array" ref="BM22">_xlfn.IFNA(INDEX('DMR 001C NEW'!$A$3:$O$9999,MATCH(('001-C DMR'!$BG$6&amp;'001-C DMR'!$BK$10&amp;'001-C DMR'!$B22),('DMR 001C NEW'!$E$3:$E$7246&amp;'DMR 001C NEW'!$B$3:$B$7246&amp;'DMR 001C NEW'!$A$3:$A$7246),0),MATCH('001-C DMR'!$BI$11,'DMR 001C NEW'!$A$2:$O$2,0)),"")</f>
        <v>5.12</v>
      </c>
      <c r="BN22" s="58">
        <f t="shared" si="9"/>
        <v>5.12</v>
      </c>
      <c r="BO22" s="56">
        <f t="array" ref="BO22">IFERROR((($BJ22*$EI22)+($BN22*$EJ22))/($EK22),"")</f>
        <v>3.9976182537453715</v>
      </c>
      <c r="BP22" s="64" t="str">
        <f t="shared" si="32"/>
        <v/>
      </c>
      <c r="BQ22" s="280" t="str">
        <f t="array" ref="BQ22">_xlfn.IFNA(INDEX('DMR 001C NEW'!$A$3:$O$999,MATCH(('001-C DMR'!$BG$6&amp;'001-C DMR'!BQ$10&amp;'001-C DMR'!$B22),('DMR 001C NEW'!$E$3:$E$1112&amp;'DMR 001C NEW'!$B$3:$B$1112&amp;'DMR 001C NEW'!$A$3:$A$1112),0),MATCH('001-C DMR'!$BQ$11,'DMR 001C NEW'!$A$2:$O$2,0)),"")</f>
        <v/>
      </c>
      <c r="BR22" s="280" t="str">
        <f t="array" ref="BR22">_xlfn.IFNA(INDEX('DMR 001C NEW'!$A$3:$O$999,MATCH(('001-C DMR'!$BG$6&amp;'001-C DMR'!BR$10&amp;'001-C DMR'!$B22),('DMR 001C NEW'!$E$3:$E$1112&amp;'DMR 001C NEW'!$B$3:$B$1112&amp;'DMR 001C NEW'!$A$3:$A$1112),0),MATCH('001-C DMR'!$BQ$11,'DMR 001C NEW'!$A$2:$O$2,0)),"")</f>
        <v/>
      </c>
      <c r="BS22" s="280" t="str">
        <f t="array" ref="BS22">_xlfn.IFNA(INDEX('DMR 001C NEW'!$A$3:$O$999,MATCH(('001-C DMR'!$BG$6&amp;'001-C DMR'!BS$10&amp;'001-C DMR'!$B22),('DMR 001C NEW'!$E$3:$E$1112&amp;'DMR 001C NEW'!$B$3:$B$1112&amp;'DMR 001C NEW'!$A$3:$A$1112),0),MATCH('001-C DMR'!$BQ$11,'DMR 001C NEW'!$A$2:$O$2,0)),"")</f>
        <v/>
      </c>
      <c r="BT22" s="280" t="str">
        <f t="array" ref="BT22">_xlfn.IFNA(INDEX('DMR 001C NEW'!$A$3:$O$999,MATCH(('001-C DMR'!$BG$6&amp;'001-C DMR'!BT$10&amp;'001-C DMR'!$B22),('DMR 001C NEW'!$E$3:$E$1112&amp;'DMR 001C NEW'!$B$3:$B$1112&amp;'DMR 001C NEW'!$A$3:$A$1112),0),MATCH('001-C DMR'!$BQ$11,'DMR 001C NEW'!$A$2:$O$2,0)),"")</f>
        <v/>
      </c>
      <c r="BU22" s="280" t="str">
        <f t="array" ref="BU22">_xlfn.IFNA(INDEX('DMR 001C NEW'!$A$3:$O$999,MATCH(('001-C DMR'!$BG$6&amp;'001-C DMR'!BU$10&amp;'001-C DMR'!$B22),('DMR 001C NEW'!$E$3:$E$1112&amp;'DMR 001C NEW'!$B$3:$B$1112&amp;'DMR 001C NEW'!$A$3:$A$1112),0),MATCH('001-C DMR'!$BQ$11,'DMR 001C NEW'!$A$2:$O$2,0)),"")</f>
        <v/>
      </c>
      <c r="BV22" s="280" t="str">
        <f t="array" ref="BV22">_xlfn.IFNA(INDEX('DMR 001C NEW'!$A$3:$O$999,MATCH(('001-C DMR'!$BG$6&amp;'001-C DMR'!BV$10&amp;'001-C DMR'!$B22),('DMR 001C NEW'!$E$3:$E$1112&amp;'DMR 001C NEW'!$B$3:$B$1112&amp;'DMR 001C NEW'!$A$3:$A$1112),0),MATCH('001-C DMR'!$BQ$11,'DMR 001C NEW'!$A$2:$O$2,0)),"")</f>
        <v/>
      </c>
      <c r="BW22" s="65"/>
      <c r="BX22" s="65"/>
      <c r="BY22" s="57" t="str">
        <f t="shared" si="10"/>
        <v/>
      </c>
      <c r="BZ22" s="58" t="str">
        <f t="array" ref="BZ22">_xlfn.IFNA((INDEX('DMR 001C NEW'!$A$3:$O$9999,MATCH(('001-C DMR'!$BY$6&amp;'001-C DMR'!$BY$10&amp;'001-C DMR'!$B22),('DMR 001C NEW'!$E$3:$E$7246&amp;'DMR 001C NEW'!$B$3:$B$7246&amp;'DMR 001C NEW'!$A$3:$A$7246),0),MATCH('001-C DMR'!$BZ$11,'DMR 001C NEW'!$A$2:$O$2,0))),"")</f>
        <v/>
      </c>
      <c r="CA22" s="138" t="str">
        <f t="array" ref="CA22">_xlfn.IFNA(INDEX('DMR 001C NEW'!$A$3:$O$9999,MATCH(('001-C DMR'!$BY$6&amp;'001-C DMR'!$BY$10&amp;'001-C DMR'!$B22),('DMR 001C NEW'!$E$3:$E$7246&amp;'DMR 001C NEW'!$B$3:$B$7246&amp;'DMR 001C NEW'!$A$3:$A$7246),0),MATCH('001-C DMR'!$CA$11,'DMR 001C NEW'!$A$2:$O$2,0)),"")</f>
        <v/>
      </c>
      <c r="CB22" s="57" t="str">
        <f t="shared" si="11"/>
        <v/>
      </c>
      <c r="CC22" s="58" t="str">
        <f t="array" ref="CC22">_xlfn.IFNA((INDEX('DMR 001C NEW'!$A$3:$O$9999,MATCH(('001-C DMR'!$BY$6&amp;'001-C DMR'!$CB$10&amp;'001-C DMR'!$B22),('DMR 001C NEW'!$E$3:$E$7246&amp;'DMR 001C NEW'!$B$3:$B$7246&amp;'DMR 001C NEW'!$A$3:$A$7246),0),MATCH('001-C DMR'!$BZ$11,'DMR 001C NEW'!$A$2:$O$2,0))),"")</f>
        <v/>
      </c>
      <c r="CD22" s="138" t="str">
        <f t="array" ref="CD22">_xlfn.IFNA(INDEX('DMR 001C NEW'!$A$3:$O$9999,MATCH(('001-C DMR'!$BY$6&amp;'001-C DMR'!$CB$10&amp;'001-C DMR'!$B22),('DMR 001C NEW'!$E$3:$E$7246&amp;'DMR 001C NEW'!$B$3:$B$7246&amp;'DMR 001C NEW'!$A$3:$A$7246),0),MATCH('001-C DMR'!$CA$11,'DMR 001C NEW'!$A$2:$O$2,0)),"")</f>
        <v/>
      </c>
      <c r="CE22" s="138" t="str">
        <f t="array" ref="CE22">IFERROR((($CA22*$EI22)+($CD22*$EJ22))/($EK22),"")</f>
        <v/>
      </c>
      <c r="CF22" s="64" t="str">
        <f t="shared" si="33"/>
        <v/>
      </c>
      <c r="CG22" s="280" t="str">
        <f t="array" ref="CG22">_xlfn.IFNA(INDEX('DMR 001C NEW'!$A$3:$O$999,MATCH(('001-C DMR'!$BY$6&amp;'001-C DMR'!CG$10&amp;'001-C DMR'!$B22),('DMR 001C NEW'!$E$3:$E$1112&amp;'DMR 001C NEW'!$B$3:$B$1112&amp;'DMR 001C NEW'!$A$3:$A$1112),0),MATCH('001-C DMR'!$CA$11,'DMR 001C NEW'!$A$2:$O$2,0)),"")</f>
        <v/>
      </c>
      <c r="CH22" s="280" t="str">
        <f t="array" ref="CH22">_xlfn.IFNA(INDEX('DMR 001C NEW'!$A$3:$O$999,MATCH(('001-C DMR'!$BY$6&amp;'001-C DMR'!CH$10&amp;'001-C DMR'!$B22),('DMR 001C NEW'!$E$3:$E$1112&amp;'DMR 001C NEW'!$B$3:$B$1112&amp;'DMR 001C NEW'!$A$3:$A$1112),0),MATCH('001-C DMR'!$CA$11,'DMR 001C NEW'!$A$2:$O$2,0)),"")</f>
        <v/>
      </c>
      <c r="CI22" s="280" t="str">
        <f t="array" ref="CI22">_xlfn.IFNA(INDEX('DMR 001C NEW'!$A$3:$O$999,MATCH(('001-C DMR'!$BY$6&amp;'001-C DMR'!CI$10&amp;'001-C DMR'!$B22),('DMR 001C NEW'!$E$3:$E$1112&amp;'DMR 001C NEW'!$B$3:$B$1112&amp;'DMR 001C NEW'!$A$3:$A$1112),0),MATCH('001-C DMR'!$CA$11,'DMR 001C NEW'!$A$2:$O$2,0)),"")</f>
        <v/>
      </c>
      <c r="CJ22" s="280" t="str">
        <f t="array" ref="CJ22">_xlfn.IFNA(INDEX('DMR 001C NEW'!$A$3:$O$999,MATCH(('001-C DMR'!$BY$6&amp;'001-C DMR'!CJ$10&amp;'001-C DMR'!$B22),('DMR 001C NEW'!$E$3:$E$1112&amp;'DMR 001C NEW'!$B$3:$B$1112&amp;'DMR 001C NEW'!$A$3:$A$1112),0),MATCH('001-C DMR'!$CA$11,'DMR 001C NEW'!$A$2:$O$2,0)),"")</f>
        <v/>
      </c>
      <c r="CK22" s="280" t="str">
        <f t="array" ref="CK22">_xlfn.IFNA(INDEX('DMR 001C NEW'!$A$3:$O$999,MATCH(('001-C DMR'!$BY$6&amp;'001-C DMR'!CK$10&amp;'001-C DMR'!$B22),('DMR 001C NEW'!$E$3:$E$1112&amp;'DMR 001C NEW'!$B$3:$B$1112&amp;'DMR 001C NEW'!$A$3:$A$1112),0),MATCH('001-C DMR'!$CA$11,'DMR 001C NEW'!$A$2:$O$2,0)),"")</f>
        <v/>
      </c>
      <c r="CL22" s="280" t="str">
        <f t="array" ref="CL22">_xlfn.IFNA(INDEX('DMR 001C NEW'!$A$3:$O$999,MATCH(('001-C DMR'!$BY$6&amp;'001-C DMR'!CL$10&amp;'001-C DMR'!$B22),('DMR 001C NEW'!$E$3:$E$1112&amp;'DMR 001C NEW'!$B$3:$B$1112&amp;'DMR 001C NEW'!$A$3:$A$1112),0),MATCH('001-C DMR'!$CA$11,'DMR 001C NEW'!$A$2:$O$2,0)),"")</f>
        <v/>
      </c>
      <c r="CM22" s="61" t="str">
        <f t="shared" si="12"/>
        <v/>
      </c>
      <c r="CN22" s="138" t="str">
        <f t="array" ref="CN22">_xlfn.IFNA((INDEX('DMR 001C NEW'!$A$3:$O$9999,MATCH(('001-C DMR'!$CM$6&amp;'001-C DMR'!$CM$10&amp;'001-C DMR'!$B22),('DMR 001C NEW'!$E$3:$E$9018&amp;'DMR 001C NEW'!$B$3:$B$9018&amp;'DMR 001C NEW'!$A$3:$A$9018),0),MATCH('001-C DMR'!$CN$11,'DMR 001C NEW'!$A$2:$O$2,0))*1000),"")</f>
        <v/>
      </c>
      <c r="CO22" s="138" t="str">
        <f t="array" ref="CO22">_xlfn.IFNA(INDEX('DMR 001C NEW'!$A$3:$O$9999,MATCH(('001-C DMR'!$CM$6&amp;'001-C DMR'!$CM$10&amp;'001-C DMR'!$B22),('DMR 001C NEW'!$E$3:$E$9018&amp;'DMR 001C NEW'!$B$3:$B$9018&amp;'DMR 001C NEW'!$A$3:$A$9018),0),MATCH('001-C DMR'!$CO$11,'DMR 001C NEW'!$A$2:$O$2,0))*1000,"")</f>
        <v/>
      </c>
      <c r="CP22" s="138" t="str">
        <f t="shared" si="13"/>
        <v/>
      </c>
      <c r="CQ22" s="64" t="str">
        <f t="shared" si="34"/>
        <v/>
      </c>
      <c r="CR22" s="280" t="str">
        <f t="array" ref="CR22">_xlfn.IFNA(INDEX('DMR 001C NEW'!$A$3:$O$999,MATCH(('001-C DMR'!$CM$6&amp;'001-C DMR'!CR$10&amp;'001-C DMR'!$B22),('DMR 001C NEW'!$E$3:$E$1112&amp;'DMR 001C NEW'!$B$3:$B$1112&amp;'DMR 001C NEW'!$A$3:$A$1112),0),MATCH('001-C DMR'!$CO$11,'DMR 001C NEW'!$A$2:$O$2,0)),"")</f>
        <v/>
      </c>
      <c r="CS22" s="280" t="str">
        <f t="array" ref="CS22">_xlfn.IFNA(INDEX('DMR 001C NEW'!$A$3:$O$999,MATCH(('001-C DMR'!$CM$6&amp;'001-C DMR'!CS$10&amp;'001-C DMR'!$B22),('DMR 001C NEW'!$E$3:$E$1112&amp;'DMR 001C NEW'!$B$3:$B$1112&amp;'DMR 001C NEW'!$A$3:$A$1112),0),MATCH('001-C DMR'!$CO$11,'DMR 001C NEW'!$A$2:$O$2,0)),"")</f>
        <v/>
      </c>
      <c r="CT22" s="280" t="str">
        <f t="array" ref="CT22">_xlfn.IFNA(INDEX('DMR 001C NEW'!$A$3:$O$999,MATCH(('001-C DMR'!$CM$6&amp;'001-C DMR'!CT$10&amp;'001-C DMR'!$B22),('DMR 001C NEW'!$E$3:$E$1112&amp;'DMR 001C NEW'!$B$3:$B$1112&amp;'DMR 001C NEW'!$A$3:$A$1112),0),MATCH('001-C DMR'!$CO$11,'DMR 001C NEW'!$A$2:$O$2,0)),"")</f>
        <v/>
      </c>
      <c r="CU22" s="280" t="str">
        <f t="array" ref="CU22">_xlfn.IFNA(INDEX('DMR 001C NEW'!$A$3:$O$999,MATCH(('001-C DMR'!$CM$6&amp;'001-C DMR'!CU$10&amp;'001-C DMR'!$B22),('DMR 001C NEW'!$E$3:$E$1112&amp;'DMR 001C NEW'!$B$3:$B$1112&amp;'DMR 001C NEW'!$A$3:$A$1112),0),MATCH('001-C DMR'!$CO$11,'DMR 001C NEW'!$A$2:$O$2,0)),"")</f>
        <v/>
      </c>
      <c r="CV22" s="280" t="str">
        <f t="array" ref="CV22">_xlfn.IFNA(INDEX('DMR 001C NEW'!$A$3:$O$999,MATCH(('001-C DMR'!$CM$6&amp;'001-C DMR'!CV$10&amp;'001-C DMR'!$B22),('DMR 001C NEW'!$E$3:$E$1112&amp;'DMR 001C NEW'!$B$3:$B$1112&amp;'DMR 001C NEW'!$A$3:$A$1112),0),MATCH('001-C DMR'!$CO$11,'DMR 001C NEW'!$A$2:$O$2,0)),"")</f>
        <v/>
      </c>
      <c r="CW22" s="280" t="str">
        <f t="array" ref="CW22">_xlfn.IFNA(INDEX('DMR 001C NEW'!$A$3:$O$999,MATCH(('001-C DMR'!$CM$6&amp;'001-C DMR'!CW$10&amp;'001-C DMR'!$B22),('DMR 001C NEW'!$E$3:$E$1112&amp;'DMR 001C NEW'!$B$3:$B$1112&amp;'DMR 001C NEW'!$A$3:$A$1112),0),MATCH('001-C DMR'!$CO$11,'DMR 001C NEW'!$A$2:$O$2,0)),"")</f>
        <v/>
      </c>
      <c r="CX22" s="280" t="str">
        <f t="array" ref="CX22">_xlfn.IFNA(INDEX('DMR 001C NEW'!$A$3:$O$999,MATCH(('001-C DMR'!$CM$6&amp;'001-C DMR'!CX$10&amp;'001-C DMR'!$B22),('DMR 001C NEW'!$E$3:$E$1112&amp;'DMR 001C NEW'!$B$3:$B$1112&amp;'DMR 001C NEW'!$A$3:$A$1112),0),MATCH('001-C DMR'!$CO$11,'DMR 001C NEW'!$A$2:$O$2,0)),"")</f>
        <v/>
      </c>
      <c r="CY22" s="61" t="str">
        <f t="shared" si="14"/>
        <v/>
      </c>
      <c r="CZ22" s="138" t="str">
        <f t="array" ref="CZ22">_xlfn.IFNA((INDEX('DMR 001C NEW'!$A$3:$O$9999,MATCH(('001-C DMR'!$CY$6&amp;'001-C DMR'!$CY$10&amp;'001-C DMR'!$B22),('DMR 001C NEW'!$E$3:$E$9018&amp;'DMR 001C NEW'!$B$3:$B$9018&amp;'DMR 001C NEW'!$A$3:$A$9018),0),MATCH('001-C DMR'!$CZ$11,'DMR 001C NEW'!$A$2:$O$2,0))*1000),"")</f>
        <v/>
      </c>
      <c r="DA22" s="138" t="str">
        <f t="array" ref="DA22">_xlfn.IFNA(INDEX('DMR 001C NEW'!$A$3:$O$9999,MATCH(('001-C DMR'!$CY$6&amp;'001-C DMR'!$CY$10&amp;'001-C DMR'!$B22),('DMR 001C NEW'!$E$3:$E$9018&amp;'DMR 001C NEW'!$B$3:$B$9018&amp;'DMR 001C NEW'!$A$3:$A$9018),0),MATCH('001-C DMR'!$DA$11,'DMR 001C NEW'!$A$2:$O$2,0))*1000,"")</f>
        <v/>
      </c>
      <c r="DB22" s="138" t="str">
        <f t="shared" si="15"/>
        <v/>
      </c>
      <c r="DC22" s="64" t="str">
        <f t="shared" si="35"/>
        <v/>
      </c>
      <c r="DD22" s="280" t="str">
        <f t="array" ref="DD22">_xlfn.IFNA(INDEX('DMR 001C NEW'!$A$3:$O$999,MATCH(('001-C DMR'!$CY$6&amp;'001-C DMR'!DD$10&amp;'001-C DMR'!$B22),('DMR 001C NEW'!$E$3:$E$1112&amp;'DMR 001C NEW'!$B$3:$B$1112&amp;'DMR 001C NEW'!$A$3:$A$1112),0),MATCH('001-C DMR'!$DA$11,'DMR 001C NEW'!$A$2:$O$2,0)),"")</f>
        <v/>
      </c>
      <c r="DE22" s="280" t="str">
        <f t="array" ref="DE22">_xlfn.IFNA(INDEX('DMR 001C NEW'!$A$3:$O$999,MATCH(('001-C DMR'!$CY$6&amp;'001-C DMR'!DE$10&amp;'001-C DMR'!$B22),('DMR 001C NEW'!$E$3:$E$1112&amp;'DMR 001C NEW'!$B$3:$B$1112&amp;'DMR 001C NEW'!$A$3:$A$1112),0),MATCH('001-C DMR'!$DA$11,'DMR 001C NEW'!$A$2:$O$2,0)),"")</f>
        <v/>
      </c>
      <c r="DF22" s="280" t="str">
        <f t="array" ref="DF22">_xlfn.IFNA(INDEX('DMR 001C NEW'!$A$3:$O$999,MATCH(('001-C DMR'!$CY$6&amp;'001-C DMR'!DF$10&amp;'001-C DMR'!$B22),('DMR 001C NEW'!$E$3:$E$1112&amp;'DMR 001C NEW'!$B$3:$B$1112&amp;'DMR 001C NEW'!$A$3:$A$1112),0),MATCH('001-C DMR'!$DA$11,'DMR 001C NEW'!$A$2:$O$2,0)),"")</f>
        <v/>
      </c>
      <c r="DG22" s="280" t="str">
        <f t="array" ref="DG22">_xlfn.IFNA(INDEX('DMR 001C NEW'!$A$3:$O$999,MATCH(('001-C DMR'!$CY$6&amp;'001-C DMR'!DG$10&amp;'001-C DMR'!$B22),('DMR 001C NEW'!$E$3:$E$1112&amp;'DMR 001C NEW'!$B$3:$B$1112&amp;'DMR 001C NEW'!$A$3:$A$1112),0),MATCH('001-C DMR'!$DA$11,'DMR 001C NEW'!$A$2:$O$2,0)),"")</f>
        <v/>
      </c>
      <c r="DH22" s="280" t="str">
        <f t="array" ref="DH22">_xlfn.IFNA(INDEX('DMR 001C NEW'!$A$3:$O$999,MATCH(('001-C DMR'!$CY$6&amp;'001-C DMR'!DH$10&amp;'001-C DMR'!$B22),('DMR 001C NEW'!$E$3:$E$1112&amp;'DMR 001C NEW'!$B$3:$B$1112&amp;'DMR 001C NEW'!$A$3:$A$1112),0),MATCH('001-C DMR'!$DA$11,'DMR 001C NEW'!$A$2:$O$2,0)),"")</f>
        <v/>
      </c>
      <c r="DI22" s="280" t="str">
        <f t="array" ref="DI22">_xlfn.IFNA(INDEX('DMR 001C NEW'!$A$3:$O$999,MATCH(('001-C DMR'!$CY$6&amp;'001-C DMR'!DI$10&amp;'001-C DMR'!$B22),('DMR 001C NEW'!$E$3:$E$1112&amp;'DMR 001C NEW'!$B$3:$B$1112&amp;'DMR 001C NEW'!$A$3:$A$1112),0),MATCH('001-C DMR'!$DA$11,'DMR 001C NEW'!$A$2:$O$2,0)),"")</f>
        <v/>
      </c>
      <c r="DJ22" s="280" t="str">
        <f t="array" ref="DJ22">_xlfn.IFNA(INDEX('DMR 001C NEW'!$A$3:$O$999,MATCH(('001-C DMR'!$CY$6&amp;'001-C DMR'!DJ$10&amp;'001-C DMR'!$B22),('DMR 001C NEW'!$E$3:$E$1112&amp;'DMR 001C NEW'!$B$3:$B$1112&amp;'DMR 001C NEW'!$A$3:$A$1112),0),MATCH('001-C DMR'!$DA$11,'DMR 001C NEW'!$A$2:$O$2,0)),"")</f>
        <v/>
      </c>
      <c r="DK22" s="61" t="str">
        <f t="shared" si="16"/>
        <v/>
      </c>
      <c r="DL22" s="58" t="str">
        <f t="array" ref="DL22">_xlfn.IFNA((INDEX('DMR 001C NEW'!$A$3:$O$9999,MATCH(('001-C DMR'!$DK$6&amp;'001-C DMR'!$DK$10&amp;'001-C DMR'!$B22),('DMR 001C NEW'!$E$3:$E$9018&amp;'DMR 001C NEW'!$B$3:$B$9018&amp;'DMR 001C NEW'!$A$3:$A$9018),0),MATCH('001-C DMR'!$DL$11,'DMR 001C NEW'!$A$2:$O$2,0))),"")</f>
        <v/>
      </c>
      <c r="DM22" s="58" t="str">
        <f t="array" ref="DM22">_xlfn.IFNA(INDEX('DMR 001C NEW'!$A$3:$O$9999,MATCH(('001-C DMR'!$DK$6&amp;'001-C DMR'!$DK$10&amp;'001-C DMR'!$B22),('DMR 001C NEW'!$E$3:$E$9018&amp;'DMR 001C NEW'!$B$3:$B$9018&amp;'DMR 001C NEW'!$A$3:$A$9018),0),MATCH('001-C DMR'!$DM$11,'DMR 001C NEW'!$A$2:$O$2,0)),"")</f>
        <v/>
      </c>
      <c r="DN22" s="58" t="str">
        <f t="shared" si="17"/>
        <v/>
      </c>
      <c r="DO22" s="223"/>
      <c r="DP22" s="224"/>
      <c r="DQ22" s="64" t="str">
        <f t="shared" si="18"/>
        <v/>
      </c>
      <c r="DR22" s="280" t="str">
        <f t="array" ref="DR22">_xlfn.IFNA(INDEX('DMR 001C NEW'!$A$3:$O$999,MATCH(('001-C DMR'!$DK$6&amp;'001-C DMR'!DR$10&amp;'001-C DMR'!$B22),('DMR 001C NEW'!$E$3:$E$1112&amp;'DMR 001C NEW'!$B$3:$B$1112&amp;'DMR 001C NEW'!$A$3:$A$1112),0),MATCH('001-C DMR'!$DR$11,'DMR 001C NEW'!$A$2:$O$2,0)),"")</f>
        <v/>
      </c>
      <c r="DS22" s="280" t="str">
        <f t="array" ref="DS22">_xlfn.IFNA(INDEX('DMR 001C NEW'!$A$3:$O$999,MATCH(('001-C DMR'!$DK$6&amp;'001-C DMR'!DS$10&amp;'001-C DMR'!$B22),('DMR 001C NEW'!$E$3:$E$1112&amp;'DMR 001C NEW'!$B$3:$B$1112&amp;'DMR 001C NEW'!$A$3:$A$1112),0),MATCH('001-C DMR'!$DR$11,'DMR 001C NEW'!$A$2:$O$2,0)),"")</f>
        <v/>
      </c>
      <c r="DT22" s="280" t="str">
        <f t="array" ref="DT22">_xlfn.IFNA(INDEX('DMR 001C NEW'!$A$3:$O$999,MATCH(('001-C DMR'!$DK$6&amp;'001-C DMR'!DT$10&amp;'001-C DMR'!$B22),('DMR 001C NEW'!$E$3:$E$1112&amp;'DMR 001C NEW'!$B$3:$B$1112&amp;'DMR 001C NEW'!$A$3:$A$1112),0),MATCH('001-C DMR'!$DR$11,'DMR 001C NEW'!$A$2:$O$2,0)),"")</f>
        <v/>
      </c>
      <c r="DU22" s="280" t="str">
        <f t="array" ref="DU22">_xlfn.IFNA(INDEX('DMR 001C NEW'!$A$3:$O$999,MATCH(('001-C DMR'!$DK$6&amp;'001-C DMR'!DU$10&amp;'001-C DMR'!$B22),('DMR 001C NEW'!$E$3:$E$1112&amp;'DMR 001C NEW'!$B$3:$B$1112&amp;'DMR 001C NEW'!$A$3:$A$1112),0),MATCH('001-C DMR'!$DR$11,'DMR 001C NEW'!$A$2:$O$2,0)),"")</f>
        <v/>
      </c>
      <c r="DV22" s="280" t="str">
        <f t="array" ref="DV22">_xlfn.IFNA(INDEX('DMR 001C NEW'!$A$3:$O$999,MATCH(('001-C DMR'!$DK$6&amp;'001-C DMR'!DV$10&amp;'001-C DMR'!$B22),('DMR 001C NEW'!$E$3:$E$1112&amp;'DMR 001C NEW'!$B$3:$B$1112&amp;'DMR 001C NEW'!$A$3:$A$1112),0),MATCH('001-C DMR'!$DR$11,'DMR 001C NEW'!$A$2:$O$2,0)),"")</f>
        <v/>
      </c>
      <c r="DW22" s="280" t="str">
        <f t="array" ref="DW22">_xlfn.IFNA(INDEX('DMR 001C NEW'!$A$3:$O$999,MATCH(('001-C DMR'!$DK$6&amp;'001-C DMR'!DW$10&amp;'001-C DMR'!$B22),('DMR 001C NEW'!$E$3:$E$1112&amp;'DMR 001C NEW'!$B$3:$B$1112&amp;'DMR 001C NEW'!$A$3:$A$1112),0),MATCH('001-C DMR'!$DR$11,'DMR 001C NEW'!$A$2:$O$2,0)),"")</f>
        <v/>
      </c>
      <c r="DX22" s="280" t="str">
        <f t="array" ref="DX22">_xlfn.IFNA(INDEX('DMR 001C NEW'!$A$3:$O$999,MATCH(('001-C DMR'!$DK$6&amp;'001-C DMR'!DX$10&amp;'001-C DMR'!$B22),('DMR 001C NEW'!$E$3:$E$1112&amp;'DMR 001C NEW'!$B$3:$B$1112&amp;'DMR 001C NEW'!$A$3:$A$1112),0),MATCH('001-C DMR'!$DR$11,'DMR 001C NEW'!$A$2:$O$2,0)),"")</f>
        <v/>
      </c>
      <c r="DY22" s="61" t="str">
        <f t="shared" si="28"/>
        <v>&lt;</v>
      </c>
      <c r="DZ22" s="56">
        <f t="array" ref="DZ22">_xlfn.IFNA((INDEX('DMR 001C NEW'!$A$3:$O$9999,MATCH(('001-C DMR'!$DY$6&amp;'001-C DMR'!$DY$10&amp;'001-C DMR'!$B22),('DMR 001C NEW'!$E$3:$E$9018&amp;'DMR 001C NEW'!$B$3:$B$9018&amp;'DMR 001C NEW'!$A$3:$A$9018),0),MATCH('001-C DMR'!$DZ$11,'DMR 001C NEW'!$A$2:$O$2,0))),"")</f>
        <v>5</v>
      </c>
      <c r="EA22" s="249">
        <f t="array" ref="EA22">_xlfn.IFNA((INDEX('DMR 001C NEW'!$A$3:$O$9999,MATCH(('001-C DMR'!$DY$6&amp;'001-C DMR'!$DY$10&amp;'001-C DMR'!$B22),('DMR 001C NEW'!$E$3:$E$9018&amp;'DMR 001C NEW'!$B$3:$B$9018&amp;'DMR 001C NEW'!$A$3:$A$9018),0),MATCH('001-C DMR'!$EA$11,'DMR 001C NEW'!$A$2:$O$2,0))),"")</f>
        <v>0</v>
      </c>
      <c r="EB22" s="249">
        <f t="array" ref="EB22">IF(EA22="SCRATCHED","",IF(EA22&lt;DZ22,0,EA22))</f>
        <v>0</v>
      </c>
      <c r="EC22" s="249" t="str">
        <f t="shared" si="29"/>
        <v>&lt;</v>
      </c>
      <c r="ED22" s="56">
        <f t="array" ref="ED22">_xlfn.IFNA((INDEX('DMR 001C NEW'!$A$3:$O$9999,MATCH(('001-C DMR'!$DY$6&amp;'001-C DMR'!$EC$10&amp;'001-C DMR'!$B22),('DMR 001C NEW'!$E$3:$E$9018&amp;'DMR 001C NEW'!$B$3:$B$9018&amp;'DMR 001C NEW'!$A$3:$A$9018),0),MATCH('001-C DMR'!$DZ$11,'DMR 001C NEW'!$A$2:$O$2,0))),"")</f>
        <v>5.3</v>
      </c>
      <c r="EE22" s="249">
        <f t="array" ref="EE22">_xlfn.IFNA((INDEX('DMR 001C NEW'!$A$3:$O$9999,MATCH(('001-C DMR'!$DY$6&amp;'001-C DMR'!$EC$10&amp;'001-C DMR'!$B22),('DMR 001C NEW'!$E$3:$E$9018&amp;'DMR 001C NEW'!$B$3:$B$9018&amp;'DMR 001C NEW'!$A$3:$A$9018),0),MATCH('001-C DMR'!$EE$11,'DMR 001C NEW'!$A$2:$O$2,0))),"")</f>
        <v>0</v>
      </c>
      <c r="EF22" s="249">
        <f t="array" ref="EF22">IF(EE22="SCRATCHED","",IF(EE22&lt;ED22,0,EE22))</f>
        <v>0</v>
      </c>
      <c r="EG22" s="249"/>
      <c r="EH22" s="195"/>
      <c r="EI22" s="194">
        <f t="array" ref="EI22">_xlfn.IFNA(INDEX('DMR Flows-Effluent'!$A$3:$F$186,MATCH(($EI$10&amp;$B22),('DMR Flows-Effluent'!$B$3:$B$186&amp;'DMR Flows-Effluent'!$A$3:$A$186),0),MATCH($EI$8,'DMR Flows-Effluent'!$A$2:$F$2,0)),"")</f>
        <v>58.594700000000003</v>
      </c>
      <c r="EJ22" s="56">
        <f t="array" ref="EJ22">_xlfn.IFNA(INDEX('DMR Flows-Effluent'!$A$3:$F$186,MATCH(($EJ$10&amp;$B22),('DMR Flows-Effluent'!$B$3:$B$186&amp;'DMR Flows-Effluent'!$A$3:$A$186),0),MATCH($EI$8,'DMR Flows-Effluent'!$A$2:$F$2,0)),"")</f>
        <v>64.610699999999994</v>
      </c>
      <c r="EK22" s="168">
        <f t="shared" si="19"/>
        <v>123.2054</v>
      </c>
      <c r="EL22" s="63"/>
      <c r="EM22" s="63"/>
      <c r="EN22" s="63"/>
      <c r="EO22" s="63"/>
      <c r="EP22" s="62"/>
      <c r="EQ22" s="157">
        <f>'E.Coli Calculations'!R16</f>
        <v>73.024374391106363</v>
      </c>
      <c r="ER22" s="56"/>
      <c r="ES22" s="64" t="str">
        <f t="shared" si="36"/>
        <v/>
      </c>
      <c r="ET22" s="61" t="str">
        <f t="shared" si="20"/>
        <v>&lt;</v>
      </c>
      <c r="EU22" s="58">
        <f t="array" ref="EU22">_xlfn.IFNA((INDEX('DMR 001C NEW'!$A$3:$O$9999,MATCH(('001-C DMR'!$ET$6&amp;'001-C DMR'!$ET$10&amp;'001-C DMR'!$B22),('DMR 001C NEW'!$E$3:$E$9018&amp;'DMR 001C NEW'!$B$3:$B$9018&amp;'DMR 001C NEW'!$A$3:$A$9018),0),MATCH('001-C DMR'!$EU$11,'DMR 001C NEW'!$A$2:$O$2,0))),"")</f>
        <v>2.76</v>
      </c>
      <c r="EV22" s="58">
        <f t="array" ref="EV22">_xlfn.IFNA(INDEX('DMR 001C NEW'!$A$3:$O$9999,MATCH(('001-C DMR'!$ET$6&amp;'001-C DMR'!$ET$10&amp;'001-C DMR'!$B22),('DMR 001C NEW'!$E$3:$E$9018&amp;'DMR 001C NEW'!$B$3:$B$9018&amp;'DMR 001C NEW'!$A$3:$A$9018),0),MATCH('001-C DMR'!$EV$11,'DMR 001C NEW'!$A$2:$O$2,0)),"")</f>
        <v>1.22</v>
      </c>
      <c r="EW22" s="56">
        <f t="shared" si="21"/>
        <v>0</v>
      </c>
      <c r="EX22" s="64"/>
      <c r="EY22" s="279" t="str">
        <f t="array" ref="EY22">_xlfn.IFNA(INDEX('DMR 001C NEW'!$A$3:$O$999,MATCH(('001-C DMR'!$ET$6&amp;'001-C DMR'!EY$10&amp;'001-C DMR'!$B22),('DMR 001C NEW'!$E$3:$E$1112&amp;'DMR 001C NEW'!$B$3:$B$1112&amp;'DMR 001C NEW'!$A$3:$A$1112),0),MATCH('001-C DMR'!$EY$11,'DMR 001C NEW'!$A$2:$O$2,0)),"")</f>
        <v/>
      </c>
      <c r="EZ22" s="280" t="str">
        <f t="array" ref="EZ22">_xlfn.IFNA(INDEX('DMR 001C NEW'!$A$3:$O$999,MATCH(('001-C DMR'!$ET$6&amp;'001-C DMR'!EZ$10&amp;'001-C DMR'!$B22),('DMR 001C NEW'!$E$3:$E$1112&amp;'DMR 001C NEW'!$B$3:$B$1112&amp;'DMR 001C NEW'!$A$3:$A$1112),0),MATCH('001-C DMR'!$EY$11,'DMR 001C NEW'!$A$2:$O$2,0)),"")</f>
        <v/>
      </c>
      <c r="FA22" s="280" t="str">
        <f t="array" ref="FA22">_xlfn.IFNA(INDEX('DMR 001C NEW'!$A$3:$O$999,MATCH(('001-C DMR'!$ET$6&amp;'001-C DMR'!FA$10&amp;'001-C DMR'!$B22),('DMR 001C NEW'!$E$3:$E$1112&amp;'DMR 001C NEW'!$B$3:$B$1112&amp;'DMR 001C NEW'!$A$3:$A$1112),0),MATCH('001-C DMR'!$EY$11,'DMR 001C NEW'!$A$2:$O$2,0)),"")</f>
        <v/>
      </c>
      <c r="FB22" s="280" t="str">
        <f t="array" ref="FB22">_xlfn.IFNA(INDEX('DMR 001C NEW'!$A$3:$O$999,MATCH(('001-C DMR'!$ET$6&amp;'001-C DMR'!FB$10&amp;'001-C DMR'!$B22),('DMR 001C NEW'!$E$3:$E$1112&amp;'DMR 001C NEW'!$B$3:$B$1112&amp;'DMR 001C NEW'!$A$3:$A$1112),0),MATCH('001-C DMR'!$EY$11,'DMR 001C NEW'!$A$2:$O$2,0)),"")</f>
        <v/>
      </c>
      <c r="FC22" s="280" t="str">
        <f t="array" ref="FC22">_xlfn.IFNA(INDEX('DMR 001C NEW'!$A$3:$O$999,MATCH(('001-C DMR'!$ET$6&amp;'001-C DMR'!FC$10&amp;'001-C DMR'!$B22),('DMR 001C NEW'!$E$3:$E$1112&amp;'DMR 001C NEW'!$B$3:$B$1112&amp;'DMR 001C NEW'!$A$3:$A$1112),0),MATCH('001-C DMR'!$EY$11,'DMR 001C NEW'!$A$2:$O$2,0)),"")</f>
        <v/>
      </c>
      <c r="FD22" s="280" t="str">
        <f t="array" ref="FD22">_xlfn.IFNA(INDEX('DMR 001C NEW'!$A$3:$O$999,MATCH(('001-C DMR'!$ET$6&amp;'001-C DMR'!FD$10&amp;'001-C DMR'!$B22),('DMR 001C NEW'!$E$3:$E$1112&amp;'DMR 001C NEW'!$B$3:$B$1112&amp;'DMR 001C NEW'!$A$3:$A$1112),0),MATCH('001-C DMR'!$EY$11,'DMR 001C NEW'!$A$2:$O$2,0)),"")</f>
        <v/>
      </c>
      <c r="FE22" s="281" t="str">
        <f t="array" ref="FE22">_xlfn.IFNA(INDEX('DMR 001C NEW'!$A$3:$O$999,MATCH(('001-C DMR'!$ET$6&amp;'001-C DMR'!FE$10&amp;'001-C DMR'!$B22),('DMR 001C NEW'!$E$3:$E$1112&amp;'DMR 001C NEW'!$B$3:$B$1112&amp;'DMR 001C NEW'!$A$3:$A$1112),0),MATCH('001-C DMR'!$EY$11,'DMR 001C NEW'!$A$2:$O$2,0)),"")</f>
        <v/>
      </c>
      <c r="FF22" s="57" t="str">
        <f t="shared" si="22"/>
        <v/>
      </c>
      <c r="FG22" s="56">
        <f t="array" ref="FG22">_xlfn.IFNA(INDEX('DMR 001C NEW'!$A$3:$O$9999,MATCH(('001-C DMR'!$FF$6&amp;'001-C DMR'!$FF$10&amp;'001-C DMR'!$B22),('DMR 001C NEW'!$E$3:$E$7246&amp;'DMR 001C NEW'!$B$3:$B$7246&amp;'DMR 001C NEW'!$A$3:$A$7246),0),MATCH('001-C DMR'!$FG$11,'DMR 001C NEW'!$A$2:$O$2,0)),"")</f>
        <v>0</v>
      </c>
      <c r="FH22" s="56">
        <f t="array" ref="FH22">_xlfn.IFNA(INDEX('DMR 001C NEW'!$A$3:$O$9999,MATCH(('001-C DMR'!$FF$6&amp;'001-C DMR'!$FF$10&amp;'001-C DMR'!$B22),('DMR 001C NEW'!$E$3:$E$7246&amp;'DMR 001C NEW'!$B$3:$B$7246&amp;'DMR 001C NEW'!$A$3:$A$7246),0),MATCH('001-C DMR'!$FH$11,'DMR 001C NEW'!$A$2:$O$2,0)),"")</f>
        <v>4</v>
      </c>
      <c r="FI22" s="57" t="str">
        <f t="shared" si="23"/>
        <v/>
      </c>
      <c r="FJ22" s="56">
        <f t="array" ref="FJ22">_xlfn.IFNA(INDEX('DMR 001C NEW'!$A$3:$O$9999,MATCH(('001-C DMR'!$FF$6&amp;'001-C DMR'!$FI$10&amp;'001-C DMR'!$B22),('DMR 001C NEW'!$E$3:$E$7246&amp;'DMR 001C NEW'!$B$3:$B$7246&amp;'DMR 001C NEW'!$A$3:$A$7246),0),MATCH('001-C DMR'!$FG$11,'DMR 001C NEW'!$A$2:$O$2,0)),"")</f>
        <v>0</v>
      </c>
      <c r="FK22" s="56">
        <f t="array" ref="FK22">_xlfn.IFNA(INDEX('DMR 001C NEW'!$A$3:$O$9999,MATCH(('001-C DMR'!$FF$6&amp;'001-C DMR'!$FI$10&amp;'001-C DMR'!$B22),('DMR 001C NEW'!$E$3:$E$7246&amp;'DMR 001C NEW'!$B$3:$B$7246&amp;'DMR 001C NEW'!$A$3:$A$7246),0),MATCH('001-C DMR'!$FH$11,'DMR 001C NEW'!$A$2:$O$2,0)),"")</f>
        <v>3</v>
      </c>
      <c r="FL22" s="56">
        <f t="array" ref="FL22">IFERROR((($FH22*$EI22)+($FK22*$EJ22))/($EK22),"")</f>
        <v>3.4755854857011137</v>
      </c>
      <c r="FM22" s="56" t="str">
        <f t="shared" si="43"/>
        <v/>
      </c>
      <c r="FN22" s="64" t="str">
        <f t="shared" si="37"/>
        <v/>
      </c>
      <c r="FO22" s="66"/>
      <c r="FP22" s="280" t="str">
        <f t="array" ref="FP22">_xlfn.IFNA(INDEX('DMR 001C NEW'!$A$3:$O$999,MATCH(('001-C DMR'!$FF$6&amp;'001-C DMR'!FP$10&amp;'001-C DMR'!$B22),('DMR 001C NEW'!$E$3:$E$1112&amp;'DMR 001C NEW'!$B$3:$B$1112&amp;'DMR 001C NEW'!$A$3:$A$1112),0),MATCH('001-C DMR'!$FH$11,'DMR 001C NEW'!$A$2:$O$2,0)),"")</f>
        <v/>
      </c>
      <c r="FQ22" s="280" t="str">
        <f t="array" ref="FQ22">_xlfn.IFNA(INDEX('DMR 001C NEW'!$A$3:$O$999,MATCH(('001-C DMR'!$FF$6&amp;'001-C DMR'!FQ$10&amp;'001-C DMR'!$B22),('DMR 001C NEW'!$E$3:$E$1112&amp;'DMR 001C NEW'!$B$3:$B$1112&amp;'DMR 001C NEW'!$A$3:$A$1112),0),MATCH('001-C DMR'!$FH$11,'DMR 001C NEW'!$A$2:$O$2,0)),"")</f>
        <v/>
      </c>
      <c r="FR22" s="280" t="str">
        <f t="array" ref="FR22">_xlfn.IFNA(INDEX('DMR 001C NEW'!$A$3:$O$999,MATCH(('001-C DMR'!$FF$6&amp;'001-C DMR'!FR$10&amp;'001-C DMR'!$B22),('DMR 001C NEW'!$E$3:$E$1112&amp;'DMR 001C NEW'!$B$3:$B$1112&amp;'DMR 001C NEW'!$A$3:$A$1112),0),MATCH('001-C DMR'!$FH$11,'DMR 001C NEW'!$A$2:$O$2,0)),"")</f>
        <v/>
      </c>
      <c r="FS22" s="280" t="str">
        <f t="array" ref="FS22">_xlfn.IFNA(INDEX('DMR 001C NEW'!$A$3:$O$999,MATCH(('001-C DMR'!$FF$6&amp;'001-C DMR'!FS$10&amp;'001-C DMR'!$B22),('DMR 001C NEW'!$E$3:$E$1112&amp;'DMR 001C NEW'!$B$3:$B$1112&amp;'DMR 001C NEW'!$A$3:$A$1112),0),MATCH('001-C DMR'!$FH$11,'DMR 001C NEW'!$A$2:$O$2,0)),"")</f>
        <v/>
      </c>
      <c r="FT22" s="280" t="str">
        <f t="array" ref="FT22">_xlfn.IFNA(INDEX('DMR 001C NEW'!$A$3:$O$999,MATCH(('001-C DMR'!$FF$6&amp;'001-C DMR'!FT$10&amp;'001-C DMR'!$B22),('DMR 001C NEW'!$E$3:$E$1112&amp;'DMR 001C NEW'!$B$3:$B$1112&amp;'DMR 001C NEW'!$A$3:$A$1112),0),MATCH('001-C DMR'!$FH$11,'DMR 001C NEW'!$A$2:$O$2,0)),"")</f>
        <v/>
      </c>
      <c r="FU22" s="280" t="str">
        <f t="array" ref="FU22">_xlfn.IFNA(INDEX('DMR 001C NEW'!$A$3:$O$999,MATCH(('001-C DMR'!$FF$6&amp;'001-C DMR'!FU$10&amp;'001-C DMR'!$B22),('DMR 001C NEW'!$E$3:$E$1112&amp;'DMR 001C NEW'!$B$3:$B$1112&amp;'DMR 001C NEW'!$A$3:$A$1112),0),MATCH('001-C DMR'!$FH$11,'DMR 001C NEW'!$A$2:$O$2,0)),"")</f>
        <v/>
      </c>
      <c r="FV22" s="66"/>
      <c r="FW22" s="61" t="str">
        <f t="shared" si="24"/>
        <v/>
      </c>
      <c r="FX22" s="58" t="str">
        <f t="array" ref="FX22">_xlfn.IFNA(INDEX('DMR 001C NEW'!$A$3:$O$9999,MATCH(('001-C DMR'!$FW$6&amp;'001-C DMR'!$FW$10&amp;'001-C DMR'!$B22),('DMR 001C NEW'!$E$3:$E$7246&amp;'DMR 001C NEW'!$B$3:$B$7246&amp;'DMR 001C NEW'!$A$3:$A$7246),0),MATCH('001-C DMR'!$FX$11,'DMR 001C NEW'!$A$2:$O$2,0)),"")</f>
        <v/>
      </c>
      <c r="FY22" s="58" t="str">
        <f t="array" ref="FY22">_xlfn.IFNA(INDEX('DMR 001C NEW'!$A$3:$O$9999,MATCH(('001-C DMR'!$FW$6&amp;'001-C DMR'!$FW$10&amp;'001-C DMR'!$B22),('DMR 001C NEW'!$E$3:$E$7246&amp;'DMR 001C NEW'!$B$3:$B$7246&amp;'DMR 001C NEW'!$A$3:$A$7246),0),MATCH('001-C DMR'!$FY$11,'DMR 001C NEW'!$A$2:$O$2,0)),"")</f>
        <v/>
      </c>
      <c r="FZ22" s="57" t="str">
        <f t="shared" si="25"/>
        <v/>
      </c>
      <c r="GA22" s="58" t="str">
        <f t="array" ref="GA22">_xlfn.IFNA(INDEX('DMR 001C NEW'!$A$3:$O$9999,MATCH(('001-C DMR'!$FW$6&amp;'001-C DMR'!$FZ$10&amp;'001-C DMR'!$B22),('DMR 001C NEW'!$E$3:$E$7246&amp;'DMR 001C NEW'!$B$3:$B$7246&amp;'DMR 001C NEW'!$A$3:$A$7246),0),MATCH('001-C DMR'!$FX$11,'DMR 001C NEW'!$A$2:$O$2,0)),"")</f>
        <v/>
      </c>
      <c r="GB22" s="58" t="str">
        <f t="array" ref="GB22">_xlfn.IFNA(INDEX('DMR 001C NEW'!$A$3:$O$9999,MATCH(('001-C DMR'!$FW$6&amp;'001-C DMR'!$FZ$10&amp;'001-C DMR'!$B22),('DMR 001C NEW'!$E$3:$E$7246&amp;'DMR 001C NEW'!$B$3:$B$7246&amp;'DMR 001C NEW'!$A$3:$A$7246),0),MATCH('001-C DMR'!$GB$11,'DMR 001C NEW'!$A$2:$O$2,0)),"")</f>
        <v/>
      </c>
      <c r="GC22" s="56" t="str">
        <f t="shared" si="4"/>
        <v/>
      </c>
      <c r="GD22" s="64" t="str">
        <f t="shared" si="38"/>
        <v/>
      </c>
      <c r="GE22" s="279" t="str">
        <f t="array" ref="GE22">_xlfn.IFNA(INDEX('DMR 001C NEW'!$A$3:$O$999,MATCH(('001-C DMR'!$FW$6&amp;'001-C DMR'!GE$10&amp;'001-C DMR'!$B22),('DMR 001C NEW'!$E$3:$E$1112&amp;'DMR 001C NEW'!$B$3:$B$1112&amp;'DMR 001C NEW'!$A$3:$A$1112),0),MATCH('001-C DMR'!$FY$11,'DMR 001C NEW'!$A$2:$O$2,0)),"")</f>
        <v/>
      </c>
      <c r="GF22" s="280" t="str">
        <f t="array" ref="GF22">_xlfn.IFNA(INDEX('DMR 001C NEW'!$A$3:$O$999,MATCH(('001-C DMR'!$FW$6&amp;'001-C DMR'!GF$10&amp;'001-C DMR'!$B22),('DMR 001C NEW'!$E$3:$E$1112&amp;'DMR 001C NEW'!$B$3:$B$1112&amp;'DMR 001C NEW'!$A$3:$A$1112),0),MATCH('001-C DMR'!$FY$11,'DMR 001C NEW'!$A$2:$O$2,0)),"")</f>
        <v/>
      </c>
      <c r="GG22" s="280" t="str">
        <f t="array" ref="GG22">_xlfn.IFNA(INDEX('DMR 001C NEW'!$A$3:$O$999,MATCH(('001-C DMR'!$FW$6&amp;'001-C DMR'!GG$10&amp;'001-C DMR'!$B22),('DMR 001C NEW'!$E$3:$E$1112&amp;'DMR 001C NEW'!$B$3:$B$1112&amp;'DMR 001C NEW'!$A$3:$A$1112),0),MATCH('001-C DMR'!$FY$11,'DMR 001C NEW'!$A$2:$O$2,0)),"")</f>
        <v/>
      </c>
      <c r="GH22" s="280" t="str">
        <f t="array" ref="GH22">_xlfn.IFNA(INDEX('DMR 001C NEW'!$A$3:$O$999,MATCH(('001-C DMR'!$FW$6&amp;'001-C DMR'!GH$10&amp;'001-C DMR'!$B22),('DMR 001C NEW'!$E$3:$E$1112&amp;'DMR 001C NEW'!$B$3:$B$1112&amp;'DMR 001C NEW'!$A$3:$A$1112),0),MATCH('001-C DMR'!$FY$11,'DMR 001C NEW'!$A$2:$O$2,0)),"")</f>
        <v/>
      </c>
      <c r="GI22" s="280" t="str">
        <f t="array" ref="GI22">_xlfn.IFNA(INDEX('DMR 001C NEW'!$A$3:$O$999,MATCH(('001-C DMR'!$FW$6&amp;'001-C DMR'!GI$10&amp;'001-C DMR'!$B22),('DMR 001C NEW'!$E$3:$E$1112&amp;'DMR 001C NEW'!$B$3:$B$1112&amp;'DMR 001C NEW'!$A$3:$A$1112),0),MATCH('001-C DMR'!$FY$11,'DMR 001C NEW'!$A$2:$O$2,0)),"")</f>
        <v/>
      </c>
      <c r="GJ22" s="281" t="str">
        <f t="array" ref="GJ22">_xlfn.IFNA(INDEX('DMR 001C NEW'!$A$3:$O$999,MATCH(('001-C DMR'!$FW$6&amp;'001-C DMR'!GJ$10&amp;'001-C DMR'!$B22),('DMR 001C NEW'!$E$3:$E$1112&amp;'DMR 001C NEW'!$B$3:$B$1112&amp;'DMR 001C NEW'!$A$3:$A$1112),0),MATCH('001-C DMR'!$FY$11,'DMR 001C NEW'!$A$2:$O$2,0)),"")</f>
        <v/>
      </c>
      <c r="GK22" s="58" t="str">
        <f t="array" ref="GK22">_xlfn.IFNA(INDEX('DMR 001C NEW'!$A$3:$O$9999,MATCH(('001-C DMR'!$GK$6&amp;'001-C DMR'!$GK$10&amp;'001-C DMR'!$B22),('DMR 001C NEW'!$E$3:$E$9018&amp;'DMR 001C NEW'!$B$3:$B$9018&amp;'DMR 001C NEW'!$A$3:$A$9018),0),MATCH('001-C DMR'!$GK$11,'DMR 001C NEW'!$A$2:$O$2,0)),"")</f>
        <v>n</v>
      </c>
      <c r="GL22" s="58" t="str">
        <f t="array" ref="GL22">_xlfn.IFNA(INDEX('DMR 001C NEW'!$A$3:$O$9999,MATCH(('001-C DMR'!$GK$6&amp;'001-C DMR'!$GL$10&amp;'001-C DMR'!$B22),('DMR 001C NEW'!$E$3:$E$9018&amp;'DMR 001C NEW'!$B$3:$B$9018&amp;'DMR 001C NEW'!$A$3:$A$9018),0),MATCH('001-C DMR'!$GK$11,'DMR 001C NEW'!$A$2:$O$2,0)),"")</f>
        <v>n</v>
      </c>
      <c r="GM22" s="134"/>
      <c r="GN22" s="64" t="str">
        <f t="shared" si="44"/>
        <v/>
      </c>
    </row>
    <row r="23" spans="1:282" s="51" customFormat="1" x14ac:dyDescent="0.25">
      <c r="A23" s="67" t="str">
        <f t="shared" si="5"/>
        <v>Thu</v>
      </c>
      <c r="B23" s="216">
        <f t="shared" si="26"/>
        <v>43685</v>
      </c>
      <c r="C23" s="93">
        <f t="array" ref="C23">INDEX('DMR 001C NEW'!$A$3:$N$10020,MATCH(('001-C DMR'!$C$6:$K$6&amp;'001-C DMR'!$C$10:$E$10&amp;'001-C DMR'!$B23),('DMR 001C NEW'!$E$3:$E$7246&amp;'DMR 001C NEW'!$B$3:$B$7246&amp;'DMR 001C NEW'!$A$3:$A$7246),0),MATCH('001-C DMR'!$C$11,'DMR 001C NEW'!$A$2:$O$2,0))</f>
        <v>5.6</v>
      </c>
      <c r="D23" s="56" t="str">
        <f t="array" ref="D23">INDEX('DMR 001C NEW'!$A$3:$N$11771,MATCH(('001-C DMR'!$C$6:$K$6&amp;'001-C DMR'!$C$10:$E$10&amp;'001-C DMR'!$B23),('DMR 001C NEW'!$E$3:$E$9018&amp;'DMR 001C NEW'!$B$3:$B$9018&amp;'DMR 001C NEW'!$A$3:$A$9018),0),MATCH('001-C DMR'!$D$11,'DMR 001C NEW'!$A$2:$O$2,0))</f>
        <v>AE68659</v>
      </c>
      <c r="E23" s="56">
        <f t="array" ref="E23">INDEX('DMR 001C NEW'!$A$3:$N$9999,MATCH(('001-C DMR'!$E$11&amp;'001-C DMR'!$C$10:$E$10&amp;'001-C DMR'!$B23&amp;$D23),('DMR 001C NEW'!$E$3:$E$7246&amp;'DMR 001C NEW'!$B$3:$B$7246&amp;'DMR 001C NEW'!$A$3:$A$7246&amp;'DMR 001C NEW'!$M$3:$M$7188),0),MATCH($C$11,'DMR 001C NEW'!$A$2:$O$2,0))</f>
        <v>77.95</v>
      </c>
      <c r="F23" s="56">
        <f t="array" ref="F23">INDEX('DMR 001C NEW'!$A$3:$N$9999,MATCH('001-C DMR'!$C$6:$K$6&amp;'001-C DMR'!$F$10&amp;'001-C DMR'!$B23,('DMR 001C NEW'!$E$3:$E$7246&amp;'DMR 001C NEW'!$B$3:$B$7246&amp;'DMR 001C NEW'!$A$3:$A$7246),0),MATCH('001-C DMR'!$C$11,'DMR 001C NEW'!$A$2:$O$2,0))</f>
        <v>6.5</v>
      </c>
      <c r="G23" s="56" t="str">
        <f t="array" ref="G23">INDEX('DMR 001C NEW'!$A$3:$N$3865,MATCH(('001-C DMR'!$C$6:$K$6&amp;'001-C DMR'!$F$10&amp;'001-C DMR'!$B23),('DMR 001C NEW'!$E$3:$E$1112&amp;'DMR 001C NEW'!$B$3:$B$1112&amp;'DMR 001C NEW'!$A$3:$A$1112),0),MATCH('001-C DMR'!$D$11,'DMR 001C NEW'!$A$2:$O$2,0))</f>
        <v>AE68660</v>
      </c>
      <c r="H23" s="56">
        <f t="array" ref="H23">INDEX('DMR 001C NEW'!$A$3:$N$9999,MATCH(('001-C DMR'!$E$11&amp;'001-C DMR'!$F$10&amp;'001-C DMR'!$B23&amp;$G23),('DMR 001C NEW'!$E$3:$E$7246&amp;'DMR 001C NEW'!$B$3:$B$7246&amp;'DMR 001C NEW'!$A$3:$A$7246&amp;'DMR 001C NEW'!$M$3:$M$7188),0),MATCH($C$11,'DMR 001C NEW'!$A$2:$O$2,0))</f>
        <v>88.95</v>
      </c>
      <c r="I23" s="56">
        <f t="shared" si="0"/>
        <v>6.0796584781306171</v>
      </c>
      <c r="J23" s="58" t="str">
        <f t="shared" si="39"/>
        <v/>
      </c>
      <c r="K23" s="64" t="str">
        <f t="shared" si="40"/>
        <v/>
      </c>
      <c r="L23" s="262" t="str">
        <f t="array" ref="L23">_xlfn.IFNA(INDEX('DMR 001C NEW'!$A$3:$N$3865,MATCH(('001-C DMR'!$C$6:$K$6&amp;'001-C DMR'!L$10&amp;'001-C DMR'!$B23),('DMR 001C NEW'!$E$3:$E$1112&amp;'DMR 001C NEW'!$B$3:$B$1112&amp;'DMR 001C NEW'!$A$3:$A$1112),0),MATCH('001-C DMR'!$C$11,'DMR 001C NEW'!$A$2:$O$2,0)),"")</f>
        <v/>
      </c>
      <c r="M23" s="262" t="str">
        <f t="array" ref="M23">_xlfn.IFNA(INDEX('DMR 001C NEW'!$A$3:$N$3865,MATCH(('001-C DMR'!$C$6:$K$6&amp;'001-C DMR'!M$10&amp;'001-C DMR'!$B23),('DMR 001C NEW'!$E$3:$E$1112&amp;'DMR 001C NEW'!$B$3:$B$1112&amp;'DMR 001C NEW'!$A$3:$A$1112),0),MATCH('001-C DMR'!$C$11,'DMR 001C NEW'!$A$2:$O$2,0)),"")</f>
        <v/>
      </c>
      <c r="N23" s="262" t="str">
        <f t="array" ref="N23">_xlfn.IFNA(INDEX('DMR 001C NEW'!$A$3:$N$3865,MATCH(('001-C DMR'!$C$6:$K$6&amp;'001-C DMR'!N$10&amp;'001-C DMR'!$B23),('DMR 001C NEW'!$E$3:$E$1112&amp;'DMR 001C NEW'!$B$3:$B$1112&amp;'DMR 001C NEW'!$A$3:$A$1112),0),MATCH('001-C DMR'!$C$11,'DMR 001C NEW'!$A$2:$O$2,0)),"")</f>
        <v/>
      </c>
      <c r="O23" s="262" t="str">
        <f t="array" ref="O23">_xlfn.IFNA(INDEX('DMR 001C NEW'!$A$3:$N$3865,MATCH(('001-C DMR'!$C$6:$K$6&amp;'001-C DMR'!O$10&amp;'001-C DMR'!$B23),('DMR 001C NEW'!$E$3:$E$1112&amp;'DMR 001C NEW'!$B$3:$B$1112&amp;'DMR 001C NEW'!$A$3:$A$1112),0),MATCH('001-C DMR'!$C$11,'DMR 001C NEW'!$A$2:$O$2,0)),"")</f>
        <v/>
      </c>
      <c r="P23" s="262" t="str">
        <f t="array" ref="P23">_xlfn.IFNA(INDEX('DMR 001C NEW'!$A$3:$N$3865,MATCH(('001-C DMR'!$C$6:$K$6&amp;'001-C DMR'!P$10&amp;'001-C DMR'!$B23),('DMR 001C NEW'!$E$3:$E$1112&amp;'DMR 001C NEW'!$B$3:$B$1112&amp;'DMR 001C NEW'!$A$3:$A$1112),0),MATCH('001-C DMR'!$C$11,'DMR 001C NEW'!$A$2:$O$2,0)),"")</f>
        <v/>
      </c>
      <c r="Q23" s="120" t="e">
        <f t="array" ref="Q23">INDEX('DMR 001C NEW'!$A$3:$N$3865,MATCH(('001-C DMR'!$C$6:$K$6&amp;'001-C DMR'!Q$10&amp;'001-C DMR'!$B23),('DMR 001C NEW'!$E$3:$E$1112&amp;'DMR 001C NEW'!$B$3:$B$1112&amp;'DMR 001C NEW'!$A$3:$A$1112),0),MATCH('001-C DMR'!$C$11,'DMR 001C NEW'!$A$2:$O$2,0))</f>
        <v>#N/A</v>
      </c>
      <c r="R23" s="61"/>
      <c r="S23" s="56">
        <f t="array" ref="S23">_xlfn.IFNA(INDEX('DMR 001C NEW'!$A$3:$N$11771,MATCH(('001-C DMR'!$R$6:$T$6&amp;'001-C DMR'!$R$10&amp;'001-C DMR'!$B23),('DMR 001C NEW'!$E$3:$E$9018&amp;'DMR 001C NEW'!$B$3:$B$9018&amp;'DMR 001C NEW'!$A$3:$A$9018),0),MATCH('001-C DMR'!$S$11,'DMR 001C NEW'!$A$2:$O$2,0)),"")</f>
        <v>7.1</v>
      </c>
      <c r="T23" s="64" t="str">
        <f t="shared" si="41"/>
        <v/>
      </c>
      <c r="U23" s="262" t="str">
        <f t="array" ref="U23">_xlfn.IFNA(INDEX('DMR 001C NEW'!$A$3:$O$591,MATCH('001-C DMR'!$R$6:$T$6&amp;'001-C DMR'!U$10&amp;'001-C DMR'!$B23,('DMR 001C NEW'!$E$3:$E$704&amp;'DMR 001C NEW'!$B$3:$B$704&amp;'DMR 001C NEW'!$A$3:$A$704),0),MATCH('001-C DMR'!$U$11,'DMR 001C NEW'!$A$2:$O$2,0)),"")</f>
        <v/>
      </c>
      <c r="V23" s="262" t="str">
        <f t="array" ref="V23">_xlfn.IFNA(INDEX('DMR 001C NEW'!$A$3:$O$591,MATCH('001-C DMR'!$R$6:$T$6&amp;'001-C DMR'!V$10&amp;'001-C DMR'!$B23,('DMR 001C NEW'!$E$3:$E$704&amp;'DMR 001C NEW'!$B$3:$B$704&amp;'DMR 001C NEW'!$A$3:$A$704),0),MATCH('001-C DMR'!$U$11,'DMR 001C NEW'!$A$2:$O$2,0)),"")</f>
        <v/>
      </c>
      <c r="W23" s="262" t="str">
        <f t="array" ref="W23">_xlfn.IFNA(INDEX('DMR 001C NEW'!$A$3:$O$591,MATCH('001-C DMR'!$R$6:$T$6&amp;'001-C DMR'!W$10&amp;'001-C DMR'!$B23,('DMR 001C NEW'!$E$3:$E$704&amp;'DMR 001C NEW'!$B$3:$B$704&amp;'DMR 001C NEW'!$A$3:$A$704),0),MATCH('001-C DMR'!$U$11,'DMR 001C NEW'!$A$2:$O$2,0)),"")</f>
        <v/>
      </c>
      <c r="X23" s="262" t="str">
        <f t="array" ref="X23">_xlfn.IFNA(INDEX('DMR 001C NEW'!$A$3:$O$591,MATCH('001-C DMR'!$R$6:$T$6&amp;'001-C DMR'!X$10&amp;'001-C DMR'!$B23,('DMR 001C NEW'!$E$3:$E$704&amp;'DMR 001C NEW'!$B$3:$B$704&amp;'DMR 001C NEW'!$A$3:$A$704),0),MATCH('001-C DMR'!$U$11,'DMR 001C NEW'!$A$2:$O$2,0)),"")</f>
        <v/>
      </c>
      <c r="Y23" s="262" t="str">
        <f t="array" ref="Y23">_xlfn.IFNA(INDEX('DMR 001C NEW'!$A$3:$O$591,MATCH('001-C DMR'!$R$6:$T$6&amp;'001-C DMR'!Y$10&amp;'001-C DMR'!$B23,('DMR 001C NEW'!$E$3:$E$704&amp;'DMR 001C NEW'!$B$3:$B$704&amp;'DMR 001C NEW'!$A$3:$A$704),0),MATCH('001-C DMR'!$U$11,'DMR 001C NEW'!$A$2:$O$2,0)),"")</f>
        <v/>
      </c>
      <c r="Z23" s="262" t="str">
        <f t="array" ref="Z23">_xlfn.IFNA(INDEX('DMR 001C NEW'!$A$3:$O$591,MATCH('001-C DMR'!$R$6:$T$6&amp;'001-C DMR'!Z$10&amp;'001-C DMR'!$B23,('DMR 001C NEW'!$E$3:$E$704&amp;'DMR 001C NEW'!$B$3:$B$704&amp;'DMR 001C NEW'!$A$3:$A$704),0),MATCH('001-C DMR'!$U$11,'DMR 001C NEW'!$A$2:$O$2,0)),"")</f>
        <v/>
      </c>
      <c r="AA23" s="262" t="str">
        <f t="array" ref="AA23">_xlfn.IFNA(INDEX('DMR 001C NEW'!$A$3:$O$591,MATCH('001-C DMR'!$R$6:$T$6&amp;'001-C DMR'!AA$10&amp;'001-C DMR'!$B23,('DMR 001C NEW'!$E$3:$E$704&amp;'DMR 001C NEW'!$B$3:$B$704&amp;'DMR 001C NEW'!$A$3:$A$704),0),MATCH('001-C DMR'!$U$11,'DMR 001C NEW'!$A$2:$O$2,0)),"")</f>
        <v/>
      </c>
      <c r="AB23" s="61" t="str">
        <f t="array" ref="AB23">IF(AD23&lt;AC23,"&lt;","")</f>
        <v/>
      </c>
      <c r="AC23" s="56">
        <f t="array" ref="AC23">_xlfn.IFNA(INDEX('DMR 001C NEW'!$A$3:$O$9999,MATCH(('001-C DMR'!$AB$6:$AJ$6&amp;'001-C DMR'!$AB$10:$AD$10&amp;'001-C DMR'!$B23),('DMR 001C NEW'!$E$3:$E$7246&amp;'DMR 001C NEW'!$B$3:$B$7246&amp;'DMR 001C NEW'!$A$3:$A$7246),0),MATCH('001-C DMR'!$AC$11,'DMR 001C NEW'!$A$2:$O$2,0)),"")</f>
        <v>3</v>
      </c>
      <c r="AD23" s="56">
        <f t="array" ref="AD23">_xlfn.IFNA(INDEX('DMR 001C NEW'!$A$3:$O$9999,MATCH(('001-C DMR'!$AB$6:$AJ$6&amp;'001-C DMR'!$AB$10:$AD$10&amp;'001-C DMR'!$B23),('DMR 001C NEW'!$E$3:$E$7246&amp;'DMR 001C NEW'!$B$3:$B$7246&amp;'DMR 001C NEW'!$A$3:$A$7246),0),MATCH('001-C DMR'!$AD$11,'DMR 001C NEW'!$A$2:$O$2,0)),"")</f>
        <v>12</v>
      </c>
      <c r="AE23" s="57" t="str">
        <f t="array" ref="AE23">IF(AG23&lt;AF23,"&lt;","")</f>
        <v/>
      </c>
      <c r="AF23" s="56">
        <f t="array" ref="AF23">_xlfn.IFNA(INDEX('DMR 001C NEW'!$A$3:$O$9999,MATCH(('001-C DMR'!$AB$6:$AJ$6&amp;'001-C DMR'!$AE$10&amp;'001-C DMR'!$B23),('DMR 001C NEW'!$E$3:$E$9018&amp;'DMR 001C NEW'!$B$3:$B$9018&amp;'DMR 001C NEW'!$A$3:$A$9018),0),MATCH('001-C DMR'!$AF$11,'DMR 001C NEW'!$A$2:$O$2,0)),"")</f>
        <v>3</v>
      </c>
      <c r="AG23" s="56">
        <f t="array" ref="AG23">_xlfn.IFNA(INDEX('DMR 001C NEW'!$A$3:$O$9999,MATCH(('001-C DMR'!$AB$6:$AJ$6&amp;'001-C DMR'!$AE$10&amp;'001-C DMR'!$B23),('DMR 001C NEW'!$E$3:$E$9018&amp;'DMR 001C NEW'!$B$3:$B$9018&amp;'DMR 001C NEW'!$A$3:$A$9018),0),MATCH('001-C DMR'!$AG$11,'DMR 001C NEW'!$A$2:$O$2,0)),"")</f>
        <v>10</v>
      </c>
      <c r="AH23" s="56">
        <f t="array" ref="AH23">IFERROR((($AD23*$EI23)+($AG23*$EJ23))/($EK23),"")</f>
        <v>10.864478580533847</v>
      </c>
      <c r="AI23" s="56" t="str">
        <f t="shared" si="42"/>
        <v/>
      </c>
      <c r="AJ23" s="64" t="str">
        <f t="shared" si="30"/>
        <v/>
      </c>
      <c r="AK23" s="262" t="str">
        <f t="array" ref="AK23">_xlfn.IFNA(INDEX('DMR 001C NEW'!$A$3:$O$999,MATCH(('001-C DMR'!$AB$6:$AJ$6&amp;'001-C DMR'!AK$10&amp;'001-C DMR'!$B23),('DMR 001C NEW'!$E$3:$E$1112&amp;'DMR 001C NEW'!$B$3:$B$1112&amp;'DMR 001C NEW'!$A$3:$A$1112),0),MATCH('001-C DMR'!$AD$11,'DMR 001C NEW'!$A$2:$O$2,0)),"")</f>
        <v/>
      </c>
      <c r="AL23" s="262" t="str">
        <f t="array" ref="AL23">_xlfn.IFNA(INDEX('DMR 001C NEW'!$A$3:$O$999,MATCH(('001-C DMR'!$AB$6:$AJ$6&amp;'001-C DMR'!AL$10&amp;'001-C DMR'!$B23),('DMR 001C NEW'!$E$3:$E$1112&amp;'DMR 001C NEW'!$B$3:$B$1112&amp;'DMR 001C NEW'!$A$3:$A$1112),0),MATCH('001-C DMR'!$AD$11,'DMR 001C NEW'!$A$2:$O$2,0)),"")</f>
        <v/>
      </c>
      <c r="AM23" s="262" t="str">
        <f t="array" ref="AM23">_xlfn.IFNA(INDEX('DMR 001C NEW'!$A$3:$O$999,MATCH(('001-C DMR'!$AB$6:$AJ$6&amp;'001-C DMR'!AM$10&amp;'001-C DMR'!$B23),('DMR 001C NEW'!$E$3:$E$1112&amp;'DMR 001C NEW'!$B$3:$B$1112&amp;'DMR 001C NEW'!$A$3:$A$1112),0),MATCH('001-C DMR'!$AD$11,'DMR 001C NEW'!$A$2:$O$2,0)),"")</f>
        <v/>
      </c>
      <c r="AN23" s="262" t="str">
        <f t="array" ref="AN23">_xlfn.IFNA(INDEX('DMR 001C NEW'!$A$3:$O$999,MATCH(('001-C DMR'!$AB$6:$AJ$6&amp;'001-C DMR'!AN$10&amp;'001-C DMR'!$B23),('DMR 001C NEW'!$E$3:$E$1112&amp;'DMR 001C NEW'!$B$3:$B$1112&amp;'DMR 001C NEW'!$A$3:$A$1112),0),MATCH('001-C DMR'!$AD$11,'DMR 001C NEW'!$A$2:$O$2,0)),"")</f>
        <v/>
      </c>
      <c r="AO23" s="262" t="str">
        <f t="array" ref="AO23">_xlfn.IFNA(INDEX('DMR 001C NEW'!$A$3:$O$999,MATCH(('001-C DMR'!$AB$6:$AJ$6&amp;'001-C DMR'!AO$10&amp;'001-C DMR'!$B23),('DMR 001C NEW'!$E$3:$E$1112&amp;'DMR 001C NEW'!$B$3:$B$1112&amp;'DMR 001C NEW'!$A$3:$A$1112),0),MATCH('001-C DMR'!$AD$11,'DMR 001C NEW'!$A$2:$O$2,0)),"")</f>
        <v/>
      </c>
      <c r="AP23" s="262" t="str">
        <f t="array" ref="AP23">_xlfn.IFNA(INDEX('DMR 001C NEW'!$A$3:$O$999,MATCH(('001-C DMR'!$AB$6:$AJ$6&amp;'001-C DMR'!AP$10&amp;'001-C DMR'!$B23),('DMR 001C NEW'!$E$3:$E$1112&amp;'DMR 001C NEW'!$B$3:$B$1112&amp;'DMR 001C NEW'!$A$3:$A$1112),0),MATCH('001-C DMR'!$AD$11,'DMR 001C NEW'!$A$2:$O$2,0)),"")</f>
        <v/>
      </c>
      <c r="AQ23" s="61" t="str">
        <f t="array" ref="AQ23">IF(AS23&lt;AR23,"&lt;","")</f>
        <v/>
      </c>
      <c r="AR23" s="58" t="str">
        <f t="array" ref="AR23">_xlfn.IFNA((INDEX('DMR 001C NEW'!$A$3:$O$9999,MATCH(('001-C DMR'!$AQ$6:$AZ$6&amp;'001-C DMR'!$AQ$10:$AS$10&amp;'001-C DMR'!$B23),('DMR 001C NEW'!$E$3:$E$7246&amp;'DMR 001C NEW'!$B$3:$B$7246&amp;'DMR 001C NEW'!$A$3:$A$7246),0),MATCH('001-C DMR'!$AR$11,'DMR 001C NEW'!$A$2:$O$2,0))),"")</f>
        <v/>
      </c>
      <c r="AS23" s="58" t="str">
        <f t="array" ref="AS23">_xlfn.IFNA(INDEX('DMR 001C NEW'!$A$3:$O$9999,MATCH(('001-C DMR'!$AQ$6:$AZ$6&amp;'001-C DMR'!$AQ$10:$AS$10&amp;'001-C DMR'!$B23),('DMR 001C NEW'!$E$3:$E$7246&amp;'DMR 001C NEW'!$B$3:$B$7246&amp;'DMR 001C NEW'!$A$3:$A$7246),0),MATCH('001-C DMR'!$AS$11,'DMR 001C NEW'!$A$2:$O$2,0)),"")</f>
        <v/>
      </c>
      <c r="AT23" s="58" t="str">
        <f t="shared" si="27"/>
        <v/>
      </c>
      <c r="AU23" s="57" t="str">
        <f t="array" ref="AU23">IF(AW23&lt;AV23,"&lt;","")</f>
        <v/>
      </c>
      <c r="AV23" s="58" t="str">
        <f t="array" ref="AV23">_xlfn.IFNA((INDEX('DMR 001C NEW'!$A$3:$O$9999,MATCH(('001-C DMR'!$AQ$6:$AZ$6&amp;'001-C DMR'!$AU$10&amp;'001-C DMR'!$B23),('DMR 001C NEW'!$E$3:$E$7246&amp;'DMR 001C NEW'!$B$3:$B$7246&amp;'DMR 001C NEW'!$A$3:$A$7246),0),MATCH('001-C DMR'!$AR$11,'DMR 001C NEW'!$A$2:$O$2,0))),"")</f>
        <v/>
      </c>
      <c r="AW23" s="58" t="str">
        <f t="array" ref="AW23">_xlfn.IFNA(INDEX('DMR 001C NEW'!$A$3:$O$9999,MATCH(('001-C DMR'!$AQ$6:$AZ$6&amp;'001-C DMR'!$AU$10&amp;'001-C DMR'!$B23),('DMR 001C NEW'!$E$3:$E$7246&amp;'DMR 001C NEW'!$B$3:$B$7246&amp;'DMR 001C NEW'!$A$3:$A$7246),0),MATCH('001-C DMR'!$AW$11,'DMR 001C NEW'!$A$2:$O$2,0)),"")</f>
        <v/>
      </c>
      <c r="AX23" s="58" t="str">
        <f t="shared" si="6"/>
        <v/>
      </c>
      <c r="AY23" s="56" t="str">
        <f t="array" ref="AY23">IFERROR((($AT23*$EI23)+($AX23*$EJ23))/($EK23),"")</f>
        <v/>
      </c>
      <c r="AZ23" s="64" t="str">
        <f t="shared" si="31"/>
        <v/>
      </c>
      <c r="BA23" s="279" t="str">
        <f t="array" ref="BA23">_xlfn.IFNA(INDEX('DMR 001C NEW'!$A$3:$O$9999,MATCH(('001-C DMR'!$AQ$6:$AZ$6&amp;'001-C DMR'!BA$10&amp;'001-C DMR'!$B23),('DMR 001C NEW'!$E$3:$E$1112&amp;'DMR 001C NEW'!$B$3:$B$1112&amp;'DMR 001C NEW'!$A$3:$A$1112),0),MATCH('001-C DMR'!$BA$11,'DMR 001C NEW'!$A$2:$O$2,0)),"")</f>
        <v/>
      </c>
      <c r="BB23" s="280" t="str">
        <f t="array" ref="BB23">_xlfn.IFNA(INDEX('DMR 001C NEW'!$A$3:$O$9999,MATCH(('001-C DMR'!$AQ$6:$AZ$6&amp;'001-C DMR'!BB$10&amp;'001-C DMR'!$B23),('DMR 001C NEW'!$E$3:$E$1112&amp;'DMR 001C NEW'!$B$3:$B$1112&amp;'DMR 001C NEW'!$A$3:$A$1112),0),MATCH('001-C DMR'!$BA$11,'DMR 001C NEW'!$A$2:$O$2,0)),"")</f>
        <v/>
      </c>
      <c r="BC23" s="280" t="str">
        <f t="array" ref="BC23">_xlfn.IFNA(INDEX('DMR 001C NEW'!$A$3:$O$9999,MATCH(('001-C DMR'!$AQ$6:$AZ$6&amp;'001-C DMR'!BC$10&amp;'001-C DMR'!$B23),('DMR 001C NEW'!$E$3:$E$1112&amp;'DMR 001C NEW'!$B$3:$B$1112&amp;'DMR 001C NEW'!$A$3:$A$1112),0),MATCH('001-C DMR'!$BA$11,'DMR 001C NEW'!$A$2:$O$2,0)),"")</f>
        <v/>
      </c>
      <c r="BD23" s="280" t="str">
        <f t="array" ref="BD23">_xlfn.IFNA(INDEX('DMR 001C NEW'!$A$3:$O$9999,MATCH(('001-C DMR'!$AQ$6:$AZ$6&amp;'001-C DMR'!BD$10&amp;'001-C DMR'!$B23),('DMR 001C NEW'!$E$3:$E$1112&amp;'DMR 001C NEW'!$B$3:$B$1112&amp;'DMR 001C NEW'!$A$3:$A$1112),0),MATCH('001-C DMR'!$BA$11,'DMR 001C NEW'!$A$2:$O$2,0)),"")</f>
        <v/>
      </c>
      <c r="BE23" s="280" t="str">
        <f t="array" ref="BE23">_xlfn.IFNA(INDEX('DMR 001C NEW'!$A$3:$O$9999,MATCH(('001-C DMR'!$AQ$6:$AZ$6&amp;'001-C DMR'!BE$10&amp;'001-C DMR'!$B23),('DMR 001C NEW'!$E$3:$E$1112&amp;'DMR 001C NEW'!$B$3:$B$1112&amp;'DMR 001C NEW'!$A$3:$A$1112),0),MATCH('001-C DMR'!$BA$11,'DMR 001C NEW'!$A$2:$O$2,0)),"")</f>
        <v/>
      </c>
      <c r="BF23" s="281" t="str">
        <f t="array" ref="BF23">_xlfn.IFNA(INDEX('DMR 001C NEW'!$A$3:$O$9999,MATCH(('001-C DMR'!$AQ$6:$AZ$6&amp;'001-C DMR'!BF$10&amp;'001-C DMR'!$B23),('DMR 001C NEW'!$E$3:$E$1112&amp;'DMR 001C NEW'!$B$3:$B$1112&amp;'DMR 001C NEW'!$A$3:$A$1112),0),MATCH('001-C DMR'!$BA$11,'DMR 001C NEW'!$A$2:$O$2,0)),"")</f>
        <v/>
      </c>
      <c r="BG23" s="57"/>
      <c r="BH23" s="58" t="str">
        <f t="array" ref="BH23">_xlfn.IFNA((INDEX('DMR 001C NEW'!$A$3:$O$9999,MATCH(('001-C DMR'!$BG$6&amp;'001-C DMR'!$BG$10&amp;'001-C DMR'!$B23),('DMR 001C NEW'!$E$3:$E$7246&amp;'DMR 001C NEW'!$B$3:$B$7246&amp;'DMR 001C NEW'!$A$3:$A$7246),0),MATCH('001-C DMR'!$BH$11,'DMR 001C NEW'!$A$2:$O$2,0))),"")</f>
        <v/>
      </c>
      <c r="BI23" s="58" t="str">
        <f t="array" ref="BI23">_xlfn.IFNA(INDEX('DMR 001C NEW'!$A$3:$O$9999,MATCH(('001-C DMR'!$BG$6&amp;'001-C DMR'!$BG$10&amp;'001-C DMR'!$B23),('DMR 001C NEW'!$E$3:$E$7246&amp;'DMR 001C NEW'!$B$3:$B$7246&amp;'DMR 001C NEW'!$A$3:$A$7246),0),MATCH('001-C DMR'!$BI$11,'DMR 001C NEW'!$A$2:$O$2,0)),"")</f>
        <v/>
      </c>
      <c r="BJ23" s="58" t="str">
        <f t="shared" si="7"/>
        <v/>
      </c>
      <c r="BK23" s="57" t="str">
        <f t="shared" si="8"/>
        <v/>
      </c>
      <c r="BL23" s="58" t="str">
        <f t="array" ref="BL23">_xlfn.IFNA((INDEX('DMR 001C NEW'!$A$3:$O$9999,MATCH(('001-C DMR'!$BG$6&amp;'001-C DMR'!$BK$10&amp;'001-C DMR'!$B23),('DMR 001C NEW'!$E$3:$E$7246&amp;'DMR 001C NEW'!$B$3:$B$7246&amp;'DMR 001C NEW'!$A$3:$A$7246),0),MATCH('001-C DMR'!$BH$11,'DMR 001C NEW'!$A$2:$O$2,0))),"")</f>
        <v/>
      </c>
      <c r="BM23" s="58" t="str">
        <f t="array" ref="BM23">_xlfn.IFNA(INDEX('DMR 001C NEW'!$A$3:$O$9999,MATCH(('001-C DMR'!$BG$6&amp;'001-C DMR'!$BK$10&amp;'001-C DMR'!$B23),('DMR 001C NEW'!$E$3:$E$7246&amp;'DMR 001C NEW'!$B$3:$B$7246&amp;'DMR 001C NEW'!$A$3:$A$7246),0),MATCH('001-C DMR'!$BI$11,'DMR 001C NEW'!$A$2:$O$2,0)),"")</f>
        <v/>
      </c>
      <c r="BN23" s="58" t="str">
        <f t="shared" si="9"/>
        <v/>
      </c>
      <c r="BO23" s="56" t="str">
        <f t="array" ref="BO23">IFERROR((($BJ23*$EI23)+($BN23*$EJ23))/($EK23),"")</f>
        <v/>
      </c>
      <c r="BP23" s="64" t="str">
        <f t="shared" si="32"/>
        <v/>
      </c>
      <c r="BQ23" s="280" t="str">
        <f t="array" ref="BQ23">_xlfn.IFNA(INDEX('DMR 001C NEW'!$A$3:$O$999,MATCH(('001-C DMR'!$BG$6&amp;'001-C DMR'!BQ$10&amp;'001-C DMR'!$B23),('DMR 001C NEW'!$E$3:$E$1112&amp;'DMR 001C NEW'!$B$3:$B$1112&amp;'DMR 001C NEW'!$A$3:$A$1112),0),MATCH('001-C DMR'!$BQ$11,'DMR 001C NEW'!$A$2:$O$2,0)),"")</f>
        <v/>
      </c>
      <c r="BR23" s="280" t="str">
        <f t="array" ref="BR23">_xlfn.IFNA(INDEX('DMR 001C NEW'!$A$3:$O$999,MATCH(('001-C DMR'!$BG$6&amp;'001-C DMR'!BR$10&amp;'001-C DMR'!$B23),('DMR 001C NEW'!$E$3:$E$1112&amp;'DMR 001C NEW'!$B$3:$B$1112&amp;'DMR 001C NEW'!$A$3:$A$1112),0),MATCH('001-C DMR'!$BQ$11,'DMR 001C NEW'!$A$2:$O$2,0)),"")</f>
        <v/>
      </c>
      <c r="BS23" s="280" t="str">
        <f t="array" ref="BS23">_xlfn.IFNA(INDEX('DMR 001C NEW'!$A$3:$O$999,MATCH(('001-C DMR'!$BG$6&amp;'001-C DMR'!BS$10&amp;'001-C DMR'!$B23),('DMR 001C NEW'!$E$3:$E$1112&amp;'DMR 001C NEW'!$B$3:$B$1112&amp;'DMR 001C NEW'!$A$3:$A$1112),0),MATCH('001-C DMR'!$BQ$11,'DMR 001C NEW'!$A$2:$O$2,0)),"")</f>
        <v/>
      </c>
      <c r="BT23" s="280" t="str">
        <f t="array" ref="BT23">_xlfn.IFNA(INDEX('DMR 001C NEW'!$A$3:$O$999,MATCH(('001-C DMR'!$BG$6&amp;'001-C DMR'!BT$10&amp;'001-C DMR'!$B23),('DMR 001C NEW'!$E$3:$E$1112&amp;'DMR 001C NEW'!$B$3:$B$1112&amp;'DMR 001C NEW'!$A$3:$A$1112),0),MATCH('001-C DMR'!$BQ$11,'DMR 001C NEW'!$A$2:$O$2,0)),"")</f>
        <v/>
      </c>
      <c r="BU23" s="280" t="str">
        <f t="array" ref="BU23">_xlfn.IFNA(INDEX('DMR 001C NEW'!$A$3:$O$999,MATCH(('001-C DMR'!$BG$6&amp;'001-C DMR'!BU$10&amp;'001-C DMR'!$B23),('DMR 001C NEW'!$E$3:$E$1112&amp;'DMR 001C NEW'!$B$3:$B$1112&amp;'DMR 001C NEW'!$A$3:$A$1112),0),MATCH('001-C DMR'!$BQ$11,'DMR 001C NEW'!$A$2:$O$2,0)),"")</f>
        <v/>
      </c>
      <c r="BV23" s="280" t="str">
        <f t="array" ref="BV23">_xlfn.IFNA(INDEX('DMR 001C NEW'!$A$3:$O$999,MATCH(('001-C DMR'!$BG$6&amp;'001-C DMR'!BV$10&amp;'001-C DMR'!$B23),('DMR 001C NEW'!$E$3:$E$1112&amp;'DMR 001C NEW'!$B$3:$B$1112&amp;'DMR 001C NEW'!$A$3:$A$1112),0),MATCH('001-C DMR'!$BQ$11,'DMR 001C NEW'!$A$2:$O$2,0)),"")</f>
        <v/>
      </c>
      <c r="BW23" s="65"/>
      <c r="BX23" s="65"/>
      <c r="BY23" s="57" t="str">
        <f t="shared" si="10"/>
        <v/>
      </c>
      <c r="BZ23" s="58" t="str">
        <f t="array" ref="BZ23">_xlfn.IFNA((INDEX('DMR 001C NEW'!$A$3:$O$9999,MATCH(('001-C DMR'!$BY$6&amp;'001-C DMR'!$BY$10&amp;'001-C DMR'!$B23),('DMR 001C NEW'!$E$3:$E$7246&amp;'DMR 001C NEW'!$B$3:$B$7246&amp;'DMR 001C NEW'!$A$3:$A$7246),0),MATCH('001-C DMR'!$BZ$11,'DMR 001C NEW'!$A$2:$O$2,0))),"")</f>
        <v/>
      </c>
      <c r="CA23" s="138" t="str">
        <f t="array" ref="CA23">_xlfn.IFNA(INDEX('DMR 001C NEW'!$A$3:$O$9999,MATCH(('001-C DMR'!$BY$6&amp;'001-C DMR'!$BY$10&amp;'001-C DMR'!$B23),('DMR 001C NEW'!$E$3:$E$7246&amp;'DMR 001C NEW'!$B$3:$B$7246&amp;'DMR 001C NEW'!$A$3:$A$7246),0),MATCH('001-C DMR'!$CA$11,'DMR 001C NEW'!$A$2:$O$2,0)),"")</f>
        <v/>
      </c>
      <c r="CB23" s="57" t="str">
        <f t="shared" si="11"/>
        <v/>
      </c>
      <c r="CC23" s="58" t="str">
        <f t="array" ref="CC23">_xlfn.IFNA((INDEX('DMR 001C NEW'!$A$3:$O$9999,MATCH(('001-C DMR'!$BY$6&amp;'001-C DMR'!$CB$10&amp;'001-C DMR'!$B23),('DMR 001C NEW'!$E$3:$E$7246&amp;'DMR 001C NEW'!$B$3:$B$7246&amp;'DMR 001C NEW'!$A$3:$A$7246),0),MATCH('001-C DMR'!$BZ$11,'DMR 001C NEW'!$A$2:$O$2,0))),"")</f>
        <v/>
      </c>
      <c r="CD23" s="138" t="str">
        <f t="array" ref="CD23">_xlfn.IFNA(INDEX('DMR 001C NEW'!$A$3:$O$9999,MATCH(('001-C DMR'!$BY$6&amp;'001-C DMR'!$CB$10&amp;'001-C DMR'!$B23),('DMR 001C NEW'!$E$3:$E$7246&amp;'DMR 001C NEW'!$B$3:$B$7246&amp;'DMR 001C NEW'!$A$3:$A$7246),0),MATCH('001-C DMR'!$CA$11,'DMR 001C NEW'!$A$2:$O$2,0)),"")</f>
        <v/>
      </c>
      <c r="CE23" s="138" t="str">
        <f t="array" ref="CE23">IFERROR((($CA23*$EI23)+($CD23*$EJ23))/($EK23),"")</f>
        <v/>
      </c>
      <c r="CF23" s="64" t="str">
        <f t="shared" si="33"/>
        <v/>
      </c>
      <c r="CG23" s="280" t="str">
        <f t="array" ref="CG23">_xlfn.IFNA(INDEX('DMR 001C NEW'!$A$3:$O$999,MATCH(('001-C DMR'!$BY$6&amp;'001-C DMR'!CG$10&amp;'001-C DMR'!$B23),('DMR 001C NEW'!$E$3:$E$1112&amp;'DMR 001C NEW'!$B$3:$B$1112&amp;'DMR 001C NEW'!$A$3:$A$1112),0),MATCH('001-C DMR'!$CA$11,'DMR 001C NEW'!$A$2:$O$2,0)),"")</f>
        <v/>
      </c>
      <c r="CH23" s="280" t="str">
        <f t="array" ref="CH23">_xlfn.IFNA(INDEX('DMR 001C NEW'!$A$3:$O$999,MATCH(('001-C DMR'!$BY$6&amp;'001-C DMR'!CH$10&amp;'001-C DMR'!$B23),('DMR 001C NEW'!$E$3:$E$1112&amp;'DMR 001C NEW'!$B$3:$B$1112&amp;'DMR 001C NEW'!$A$3:$A$1112),0),MATCH('001-C DMR'!$CA$11,'DMR 001C NEW'!$A$2:$O$2,0)),"")</f>
        <v/>
      </c>
      <c r="CI23" s="280" t="str">
        <f t="array" ref="CI23">_xlfn.IFNA(INDEX('DMR 001C NEW'!$A$3:$O$999,MATCH(('001-C DMR'!$BY$6&amp;'001-C DMR'!CI$10&amp;'001-C DMR'!$B23),('DMR 001C NEW'!$E$3:$E$1112&amp;'DMR 001C NEW'!$B$3:$B$1112&amp;'DMR 001C NEW'!$A$3:$A$1112),0),MATCH('001-C DMR'!$CA$11,'DMR 001C NEW'!$A$2:$O$2,0)),"")</f>
        <v/>
      </c>
      <c r="CJ23" s="280" t="str">
        <f t="array" ref="CJ23">_xlfn.IFNA(INDEX('DMR 001C NEW'!$A$3:$O$999,MATCH(('001-C DMR'!$BY$6&amp;'001-C DMR'!CJ$10&amp;'001-C DMR'!$B23),('DMR 001C NEW'!$E$3:$E$1112&amp;'DMR 001C NEW'!$B$3:$B$1112&amp;'DMR 001C NEW'!$A$3:$A$1112),0),MATCH('001-C DMR'!$CA$11,'DMR 001C NEW'!$A$2:$O$2,0)),"")</f>
        <v/>
      </c>
      <c r="CK23" s="280" t="str">
        <f t="array" ref="CK23">_xlfn.IFNA(INDEX('DMR 001C NEW'!$A$3:$O$999,MATCH(('001-C DMR'!$BY$6&amp;'001-C DMR'!CK$10&amp;'001-C DMR'!$B23),('DMR 001C NEW'!$E$3:$E$1112&amp;'DMR 001C NEW'!$B$3:$B$1112&amp;'DMR 001C NEW'!$A$3:$A$1112),0),MATCH('001-C DMR'!$CA$11,'DMR 001C NEW'!$A$2:$O$2,0)),"")</f>
        <v/>
      </c>
      <c r="CL23" s="280" t="str">
        <f t="array" ref="CL23">_xlfn.IFNA(INDEX('DMR 001C NEW'!$A$3:$O$999,MATCH(('001-C DMR'!$BY$6&amp;'001-C DMR'!CL$10&amp;'001-C DMR'!$B23),('DMR 001C NEW'!$E$3:$E$1112&amp;'DMR 001C NEW'!$B$3:$B$1112&amp;'DMR 001C NEW'!$A$3:$A$1112),0),MATCH('001-C DMR'!$CA$11,'DMR 001C NEW'!$A$2:$O$2,0)),"")</f>
        <v/>
      </c>
      <c r="CM23" s="61" t="str">
        <f t="shared" si="12"/>
        <v/>
      </c>
      <c r="CN23" s="138" t="str">
        <f t="array" ref="CN23">_xlfn.IFNA((INDEX('DMR 001C NEW'!$A$3:$O$9999,MATCH(('001-C DMR'!$CM$6&amp;'001-C DMR'!$CM$10&amp;'001-C DMR'!$B23),('DMR 001C NEW'!$E$3:$E$9018&amp;'DMR 001C NEW'!$B$3:$B$9018&amp;'DMR 001C NEW'!$A$3:$A$9018),0),MATCH('001-C DMR'!$CN$11,'DMR 001C NEW'!$A$2:$O$2,0))*1000),"")</f>
        <v/>
      </c>
      <c r="CO23" s="138" t="str">
        <f t="array" ref="CO23">_xlfn.IFNA(INDEX('DMR 001C NEW'!$A$3:$O$9999,MATCH(('001-C DMR'!$CM$6&amp;'001-C DMR'!$CM$10&amp;'001-C DMR'!$B23),('DMR 001C NEW'!$E$3:$E$9018&amp;'DMR 001C NEW'!$B$3:$B$9018&amp;'DMR 001C NEW'!$A$3:$A$9018),0),MATCH('001-C DMR'!$CO$11,'DMR 001C NEW'!$A$2:$O$2,0))*1000,"")</f>
        <v/>
      </c>
      <c r="CP23" s="138" t="str">
        <f t="shared" si="13"/>
        <v/>
      </c>
      <c r="CQ23" s="64" t="str">
        <f t="shared" si="34"/>
        <v/>
      </c>
      <c r="CR23" s="280" t="str">
        <f t="array" ref="CR23">_xlfn.IFNA(INDEX('DMR 001C NEW'!$A$3:$O$999,MATCH(('001-C DMR'!$CM$6&amp;'001-C DMR'!CR$10&amp;'001-C DMR'!$B23),('DMR 001C NEW'!$E$3:$E$1112&amp;'DMR 001C NEW'!$B$3:$B$1112&amp;'DMR 001C NEW'!$A$3:$A$1112),0),MATCH('001-C DMR'!$CO$11,'DMR 001C NEW'!$A$2:$O$2,0)),"")</f>
        <v/>
      </c>
      <c r="CS23" s="280" t="str">
        <f t="array" ref="CS23">_xlfn.IFNA(INDEX('DMR 001C NEW'!$A$3:$O$999,MATCH(('001-C DMR'!$CM$6&amp;'001-C DMR'!CS$10&amp;'001-C DMR'!$B23),('DMR 001C NEW'!$E$3:$E$1112&amp;'DMR 001C NEW'!$B$3:$B$1112&amp;'DMR 001C NEW'!$A$3:$A$1112),0),MATCH('001-C DMR'!$CO$11,'DMR 001C NEW'!$A$2:$O$2,0)),"")</f>
        <v/>
      </c>
      <c r="CT23" s="280" t="str">
        <f t="array" ref="CT23">_xlfn.IFNA(INDEX('DMR 001C NEW'!$A$3:$O$999,MATCH(('001-C DMR'!$CM$6&amp;'001-C DMR'!CT$10&amp;'001-C DMR'!$B23),('DMR 001C NEW'!$E$3:$E$1112&amp;'DMR 001C NEW'!$B$3:$B$1112&amp;'DMR 001C NEW'!$A$3:$A$1112),0),MATCH('001-C DMR'!$CO$11,'DMR 001C NEW'!$A$2:$O$2,0)),"")</f>
        <v/>
      </c>
      <c r="CU23" s="280" t="str">
        <f t="array" ref="CU23">_xlfn.IFNA(INDEX('DMR 001C NEW'!$A$3:$O$999,MATCH(('001-C DMR'!$CM$6&amp;'001-C DMR'!CU$10&amp;'001-C DMR'!$B23),('DMR 001C NEW'!$E$3:$E$1112&amp;'DMR 001C NEW'!$B$3:$B$1112&amp;'DMR 001C NEW'!$A$3:$A$1112),0),MATCH('001-C DMR'!$CO$11,'DMR 001C NEW'!$A$2:$O$2,0)),"")</f>
        <v/>
      </c>
      <c r="CV23" s="280" t="str">
        <f t="array" ref="CV23">_xlfn.IFNA(INDEX('DMR 001C NEW'!$A$3:$O$999,MATCH(('001-C DMR'!$CM$6&amp;'001-C DMR'!CV$10&amp;'001-C DMR'!$B23),('DMR 001C NEW'!$E$3:$E$1112&amp;'DMR 001C NEW'!$B$3:$B$1112&amp;'DMR 001C NEW'!$A$3:$A$1112),0),MATCH('001-C DMR'!$CO$11,'DMR 001C NEW'!$A$2:$O$2,0)),"")</f>
        <v/>
      </c>
      <c r="CW23" s="280" t="str">
        <f t="array" ref="CW23">_xlfn.IFNA(INDEX('DMR 001C NEW'!$A$3:$O$999,MATCH(('001-C DMR'!$CM$6&amp;'001-C DMR'!CW$10&amp;'001-C DMR'!$B23),('DMR 001C NEW'!$E$3:$E$1112&amp;'DMR 001C NEW'!$B$3:$B$1112&amp;'DMR 001C NEW'!$A$3:$A$1112),0),MATCH('001-C DMR'!$CO$11,'DMR 001C NEW'!$A$2:$O$2,0)),"")</f>
        <v/>
      </c>
      <c r="CX23" s="280" t="str">
        <f t="array" ref="CX23">_xlfn.IFNA(INDEX('DMR 001C NEW'!$A$3:$O$999,MATCH(('001-C DMR'!$CM$6&amp;'001-C DMR'!CX$10&amp;'001-C DMR'!$B23),('DMR 001C NEW'!$E$3:$E$1112&amp;'DMR 001C NEW'!$B$3:$B$1112&amp;'DMR 001C NEW'!$A$3:$A$1112),0),MATCH('001-C DMR'!$CO$11,'DMR 001C NEW'!$A$2:$O$2,0)),"")</f>
        <v/>
      </c>
      <c r="CY23" s="61" t="str">
        <f t="shared" si="14"/>
        <v/>
      </c>
      <c r="CZ23" s="138" t="str">
        <f t="array" ref="CZ23">_xlfn.IFNA((INDEX('DMR 001C NEW'!$A$3:$O$9999,MATCH(('001-C DMR'!$CY$6&amp;'001-C DMR'!$CY$10&amp;'001-C DMR'!$B23),('DMR 001C NEW'!$E$3:$E$9018&amp;'DMR 001C NEW'!$B$3:$B$9018&amp;'DMR 001C NEW'!$A$3:$A$9018),0),MATCH('001-C DMR'!$CZ$11,'DMR 001C NEW'!$A$2:$O$2,0))*1000),"")</f>
        <v/>
      </c>
      <c r="DA23" s="138" t="str">
        <f t="array" ref="DA23">_xlfn.IFNA(INDEX('DMR 001C NEW'!$A$3:$O$9999,MATCH(('001-C DMR'!$CY$6&amp;'001-C DMR'!$CY$10&amp;'001-C DMR'!$B23),('DMR 001C NEW'!$E$3:$E$9018&amp;'DMR 001C NEW'!$B$3:$B$9018&amp;'DMR 001C NEW'!$A$3:$A$9018),0),MATCH('001-C DMR'!$DA$11,'DMR 001C NEW'!$A$2:$O$2,0))*1000,"")</f>
        <v/>
      </c>
      <c r="DB23" s="138" t="str">
        <f t="shared" si="15"/>
        <v/>
      </c>
      <c r="DC23" s="64" t="str">
        <f t="shared" si="35"/>
        <v/>
      </c>
      <c r="DD23" s="280" t="str">
        <f t="array" ref="DD23">_xlfn.IFNA(INDEX('DMR 001C NEW'!$A$3:$O$999,MATCH(('001-C DMR'!$CY$6&amp;'001-C DMR'!DD$10&amp;'001-C DMR'!$B23),('DMR 001C NEW'!$E$3:$E$1112&amp;'DMR 001C NEW'!$B$3:$B$1112&amp;'DMR 001C NEW'!$A$3:$A$1112),0),MATCH('001-C DMR'!$DA$11,'DMR 001C NEW'!$A$2:$O$2,0)),"")</f>
        <v/>
      </c>
      <c r="DE23" s="280" t="str">
        <f t="array" ref="DE23">_xlfn.IFNA(INDEX('DMR 001C NEW'!$A$3:$O$999,MATCH(('001-C DMR'!$CY$6&amp;'001-C DMR'!DE$10&amp;'001-C DMR'!$B23),('DMR 001C NEW'!$E$3:$E$1112&amp;'DMR 001C NEW'!$B$3:$B$1112&amp;'DMR 001C NEW'!$A$3:$A$1112),0),MATCH('001-C DMR'!$DA$11,'DMR 001C NEW'!$A$2:$O$2,0)),"")</f>
        <v/>
      </c>
      <c r="DF23" s="280" t="str">
        <f t="array" ref="DF23">_xlfn.IFNA(INDEX('DMR 001C NEW'!$A$3:$O$999,MATCH(('001-C DMR'!$CY$6&amp;'001-C DMR'!DF$10&amp;'001-C DMR'!$B23),('DMR 001C NEW'!$E$3:$E$1112&amp;'DMR 001C NEW'!$B$3:$B$1112&amp;'DMR 001C NEW'!$A$3:$A$1112),0),MATCH('001-C DMR'!$DA$11,'DMR 001C NEW'!$A$2:$O$2,0)),"")</f>
        <v/>
      </c>
      <c r="DG23" s="280" t="str">
        <f t="array" ref="DG23">_xlfn.IFNA(INDEX('DMR 001C NEW'!$A$3:$O$999,MATCH(('001-C DMR'!$CY$6&amp;'001-C DMR'!DG$10&amp;'001-C DMR'!$B23),('DMR 001C NEW'!$E$3:$E$1112&amp;'DMR 001C NEW'!$B$3:$B$1112&amp;'DMR 001C NEW'!$A$3:$A$1112),0),MATCH('001-C DMR'!$DA$11,'DMR 001C NEW'!$A$2:$O$2,0)),"")</f>
        <v/>
      </c>
      <c r="DH23" s="280" t="str">
        <f t="array" ref="DH23">_xlfn.IFNA(INDEX('DMR 001C NEW'!$A$3:$O$999,MATCH(('001-C DMR'!$CY$6&amp;'001-C DMR'!DH$10&amp;'001-C DMR'!$B23),('DMR 001C NEW'!$E$3:$E$1112&amp;'DMR 001C NEW'!$B$3:$B$1112&amp;'DMR 001C NEW'!$A$3:$A$1112),0),MATCH('001-C DMR'!$DA$11,'DMR 001C NEW'!$A$2:$O$2,0)),"")</f>
        <v/>
      </c>
      <c r="DI23" s="280" t="str">
        <f t="array" ref="DI23">_xlfn.IFNA(INDEX('DMR 001C NEW'!$A$3:$O$999,MATCH(('001-C DMR'!$CY$6&amp;'001-C DMR'!DI$10&amp;'001-C DMR'!$B23),('DMR 001C NEW'!$E$3:$E$1112&amp;'DMR 001C NEW'!$B$3:$B$1112&amp;'DMR 001C NEW'!$A$3:$A$1112),0),MATCH('001-C DMR'!$DA$11,'DMR 001C NEW'!$A$2:$O$2,0)),"")</f>
        <v/>
      </c>
      <c r="DJ23" s="280" t="str">
        <f t="array" ref="DJ23">_xlfn.IFNA(INDEX('DMR 001C NEW'!$A$3:$O$999,MATCH(('001-C DMR'!$CY$6&amp;'001-C DMR'!DJ$10&amp;'001-C DMR'!$B23),('DMR 001C NEW'!$E$3:$E$1112&amp;'DMR 001C NEW'!$B$3:$B$1112&amp;'DMR 001C NEW'!$A$3:$A$1112),0),MATCH('001-C DMR'!$DA$11,'DMR 001C NEW'!$A$2:$O$2,0)),"")</f>
        <v/>
      </c>
      <c r="DK23" s="61" t="str">
        <f t="shared" si="16"/>
        <v/>
      </c>
      <c r="DL23" s="58" t="str">
        <f t="array" ref="DL23">_xlfn.IFNA((INDEX('DMR 001C NEW'!$A$3:$O$9999,MATCH(('001-C DMR'!$DK$6&amp;'001-C DMR'!$DK$10&amp;'001-C DMR'!$B23),('DMR 001C NEW'!$E$3:$E$9018&amp;'DMR 001C NEW'!$B$3:$B$9018&amp;'DMR 001C NEW'!$A$3:$A$9018),0),MATCH('001-C DMR'!$DL$11,'DMR 001C NEW'!$A$2:$O$2,0))),"")</f>
        <v/>
      </c>
      <c r="DM23" s="58" t="str">
        <f t="array" ref="DM23">_xlfn.IFNA(INDEX('DMR 001C NEW'!$A$3:$O$9999,MATCH(('001-C DMR'!$DK$6&amp;'001-C DMR'!$DK$10&amp;'001-C DMR'!$B23),('DMR 001C NEW'!$E$3:$E$9018&amp;'DMR 001C NEW'!$B$3:$B$9018&amp;'DMR 001C NEW'!$A$3:$A$9018),0),MATCH('001-C DMR'!$DM$11,'DMR 001C NEW'!$A$2:$O$2,0)),"")</f>
        <v/>
      </c>
      <c r="DN23" s="58" t="str">
        <f t="shared" si="17"/>
        <v/>
      </c>
      <c r="DO23" s="223"/>
      <c r="DP23" s="224"/>
      <c r="DQ23" s="64" t="str">
        <f t="shared" si="18"/>
        <v/>
      </c>
      <c r="DR23" s="280" t="str">
        <f t="array" ref="DR23">_xlfn.IFNA(INDEX('DMR 001C NEW'!$A$3:$O$999,MATCH(('001-C DMR'!$DK$6&amp;'001-C DMR'!DR$10&amp;'001-C DMR'!$B23),('DMR 001C NEW'!$E$3:$E$1112&amp;'DMR 001C NEW'!$B$3:$B$1112&amp;'DMR 001C NEW'!$A$3:$A$1112),0),MATCH('001-C DMR'!$DR$11,'DMR 001C NEW'!$A$2:$O$2,0)),"")</f>
        <v/>
      </c>
      <c r="DS23" s="280" t="str">
        <f t="array" ref="DS23">_xlfn.IFNA(INDEX('DMR 001C NEW'!$A$3:$O$999,MATCH(('001-C DMR'!$DK$6&amp;'001-C DMR'!DS$10&amp;'001-C DMR'!$B23),('DMR 001C NEW'!$E$3:$E$1112&amp;'DMR 001C NEW'!$B$3:$B$1112&amp;'DMR 001C NEW'!$A$3:$A$1112),0),MATCH('001-C DMR'!$DR$11,'DMR 001C NEW'!$A$2:$O$2,0)),"")</f>
        <v/>
      </c>
      <c r="DT23" s="280" t="str">
        <f t="array" ref="DT23">_xlfn.IFNA(INDEX('DMR 001C NEW'!$A$3:$O$999,MATCH(('001-C DMR'!$DK$6&amp;'001-C DMR'!DT$10&amp;'001-C DMR'!$B23),('DMR 001C NEW'!$E$3:$E$1112&amp;'DMR 001C NEW'!$B$3:$B$1112&amp;'DMR 001C NEW'!$A$3:$A$1112),0),MATCH('001-C DMR'!$DR$11,'DMR 001C NEW'!$A$2:$O$2,0)),"")</f>
        <v/>
      </c>
      <c r="DU23" s="280" t="str">
        <f t="array" ref="DU23">_xlfn.IFNA(INDEX('DMR 001C NEW'!$A$3:$O$999,MATCH(('001-C DMR'!$DK$6&amp;'001-C DMR'!DU$10&amp;'001-C DMR'!$B23),('DMR 001C NEW'!$E$3:$E$1112&amp;'DMR 001C NEW'!$B$3:$B$1112&amp;'DMR 001C NEW'!$A$3:$A$1112),0),MATCH('001-C DMR'!$DR$11,'DMR 001C NEW'!$A$2:$O$2,0)),"")</f>
        <v/>
      </c>
      <c r="DV23" s="280" t="str">
        <f t="array" ref="DV23">_xlfn.IFNA(INDEX('DMR 001C NEW'!$A$3:$O$999,MATCH(('001-C DMR'!$DK$6&amp;'001-C DMR'!DV$10&amp;'001-C DMR'!$B23),('DMR 001C NEW'!$E$3:$E$1112&amp;'DMR 001C NEW'!$B$3:$B$1112&amp;'DMR 001C NEW'!$A$3:$A$1112),0),MATCH('001-C DMR'!$DR$11,'DMR 001C NEW'!$A$2:$O$2,0)),"")</f>
        <v/>
      </c>
      <c r="DW23" s="280" t="str">
        <f t="array" ref="DW23">_xlfn.IFNA(INDEX('DMR 001C NEW'!$A$3:$O$999,MATCH(('001-C DMR'!$DK$6&amp;'001-C DMR'!DW$10&amp;'001-C DMR'!$B23),('DMR 001C NEW'!$E$3:$E$1112&amp;'DMR 001C NEW'!$B$3:$B$1112&amp;'DMR 001C NEW'!$A$3:$A$1112),0),MATCH('001-C DMR'!$DR$11,'DMR 001C NEW'!$A$2:$O$2,0)),"")</f>
        <v/>
      </c>
      <c r="DX23" s="280" t="str">
        <f t="array" ref="DX23">_xlfn.IFNA(INDEX('DMR 001C NEW'!$A$3:$O$999,MATCH(('001-C DMR'!$DK$6&amp;'001-C DMR'!DX$10&amp;'001-C DMR'!$B23),('DMR 001C NEW'!$E$3:$E$1112&amp;'DMR 001C NEW'!$B$3:$B$1112&amp;'DMR 001C NEW'!$A$3:$A$1112),0),MATCH('001-C DMR'!$DR$11,'DMR 001C NEW'!$A$2:$O$2,0)),"")</f>
        <v/>
      </c>
      <c r="DY23" s="61" t="str">
        <f t="shared" si="28"/>
        <v>&lt;</v>
      </c>
      <c r="DZ23" s="249">
        <f t="array" ref="DZ23">_xlfn.IFNA((INDEX('DMR 001C NEW'!$A$3:$O$9999,MATCH(('001-C DMR'!$DY$6&amp;'001-C DMR'!$DY$10&amp;'001-C DMR'!$B23),('DMR 001C NEW'!$E$3:$E$9018&amp;'DMR 001C NEW'!$B$3:$B$9018&amp;'DMR 001C NEW'!$A$3:$A$9018),0),MATCH('001-C DMR'!$DZ$11,'DMR 001C NEW'!$A$2:$O$2,0))),"")</f>
        <v>4.9000000000000004</v>
      </c>
      <c r="EA23" s="249">
        <f t="array" ref="EA23">_xlfn.IFNA((INDEX('DMR 001C NEW'!$A$3:$O$9999,MATCH(('001-C DMR'!$DY$6&amp;'001-C DMR'!$DY$10&amp;'001-C DMR'!$B23),('DMR 001C NEW'!$E$3:$E$9018&amp;'DMR 001C NEW'!$B$3:$B$9018&amp;'DMR 001C NEW'!$A$3:$A$9018),0),MATCH('001-C DMR'!$EA$11,'DMR 001C NEW'!$A$2:$O$2,0))),"")</f>
        <v>0</v>
      </c>
      <c r="EB23" s="249">
        <f t="array" ref="EB23">IF(EA23="SCRATCHED","",IF(EA23&lt;DZ23,0,EA23))</f>
        <v>0</v>
      </c>
      <c r="EC23" s="249" t="str">
        <f t="shared" si="29"/>
        <v>&lt;</v>
      </c>
      <c r="ED23" s="56">
        <f t="array" ref="ED23">_xlfn.IFNA((INDEX('DMR 001C NEW'!$A$3:$O$9999,MATCH(('001-C DMR'!$DY$6&amp;'001-C DMR'!$EC$10&amp;'001-C DMR'!$B23),('DMR 001C NEW'!$E$3:$E$9018&amp;'DMR 001C NEW'!$B$3:$B$9018&amp;'DMR 001C NEW'!$A$3:$A$9018),0),MATCH('001-C DMR'!$DZ$11,'DMR 001C NEW'!$A$2:$O$2,0))),"")</f>
        <v>4.9000000000000004</v>
      </c>
      <c r="EE23" s="249">
        <f t="array" ref="EE23">_xlfn.IFNA((INDEX('DMR 001C NEW'!$A$3:$O$9999,MATCH(('001-C DMR'!$DY$6&amp;'001-C DMR'!$EC$10&amp;'001-C DMR'!$B23),('DMR 001C NEW'!$E$3:$E$9018&amp;'DMR 001C NEW'!$B$3:$B$9018&amp;'DMR 001C NEW'!$A$3:$A$9018),0),MATCH('001-C DMR'!$EE$11,'DMR 001C NEW'!$A$2:$O$2,0))),"")</f>
        <v>0</v>
      </c>
      <c r="EF23" s="249">
        <f t="array" ref="EF23">IF(EE23="SCRATCHED","",IF(EE23&lt;ED23,0,EE23))</f>
        <v>0</v>
      </c>
      <c r="EG23" s="249"/>
      <c r="EH23" s="195"/>
      <c r="EI23" s="194">
        <f t="array" ref="EI23">_xlfn.IFNA(INDEX('DMR Flows-Effluent'!$A$3:$F$186,MATCH(($EI$10&amp;$B23),('DMR Flows-Effluent'!$B$3:$B$186&amp;'DMR Flows-Effluent'!$A$3:$A$186),0),MATCH($EI$8,'DMR Flows-Effluent'!$A$2:$F$2,0)),"")</f>
        <v>53.7104</v>
      </c>
      <c r="EJ23" s="56">
        <f t="array" ref="EJ23">_xlfn.IFNA(INDEX('DMR Flows-Effluent'!$A$3:$F$186,MATCH(($EJ$10&amp;$B23),('DMR Flows-Effluent'!$B$3:$B$186&amp;'DMR Flows-Effluent'!$A$3:$A$186),0),MATCH($EI$8,'DMR Flows-Effluent'!$A$2:$F$2,0)),"")</f>
        <v>70.550399999999996</v>
      </c>
      <c r="EK23" s="168">
        <f t="shared" si="19"/>
        <v>124.26079999999999</v>
      </c>
      <c r="EL23" s="63"/>
      <c r="EM23" s="63"/>
      <c r="EN23" s="63"/>
      <c r="EO23" s="63"/>
      <c r="EP23" s="62"/>
      <c r="EQ23" s="157">
        <f>'E.Coli Calculations'!R17</f>
        <v>285.36505447263465</v>
      </c>
      <c r="ER23" s="56"/>
      <c r="ES23" s="64" t="str">
        <f t="shared" si="36"/>
        <v/>
      </c>
      <c r="ET23" s="61" t="str">
        <f t="shared" si="20"/>
        <v/>
      </c>
      <c r="EU23" s="58" t="str">
        <f t="array" ref="EU23">_xlfn.IFNA((INDEX('DMR 001C NEW'!$A$3:$O$9999,MATCH(('001-C DMR'!$ET$6&amp;'001-C DMR'!$ET$10&amp;'001-C DMR'!$B23),('DMR 001C NEW'!$E$3:$E$9018&amp;'DMR 001C NEW'!$B$3:$B$9018&amp;'DMR 001C NEW'!$A$3:$A$9018),0),MATCH('001-C DMR'!$EU$11,'DMR 001C NEW'!$A$2:$O$2,0))),"")</f>
        <v/>
      </c>
      <c r="EV23" s="58" t="str">
        <f t="array" ref="EV23">_xlfn.IFNA(INDEX('DMR 001C NEW'!$A$3:$O$9999,MATCH(('001-C DMR'!$ET$6&amp;'001-C DMR'!$ET$10&amp;'001-C DMR'!$B23),('DMR 001C NEW'!$E$3:$E$9018&amp;'DMR 001C NEW'!$B$3:$B$9018&amp;'DMR 001C NEW'!$A$3:$A$9018),0),MATCH('001-C DMR'!$EV$11,'DMR 001C NEW'!$A$2:$O$2,0)),"")</f>
        <v/>
      </c>
      <c r="EW23" s="56" t="str">
        <f t="shared" si="21"/>
        <v/>
      </c>
      <c r="EX23" s="64"/>
      <c r="EY23" s="279" t="str">
        <f t="array" ref="EY23">_xlfn.IFNA(INDEX('DMR 001C NEW'!$A$3:$O$999,MATCH(('001-C DMR'!$ET$6&amp;'001-C DMR'!EY$10&amp;'001-C DMR'!$B23),('DMR 001C NEW'!$E$3:$E$1112&amp;'DMR 001C NEW'!$B$3:$B$1112&amp;'DMR 001C NEW'!$A$3:$A$1112),0),MATCH('001-C DMR'!$EY$11,'DMR 001C NEW'!$A$2:$O$2,0)),"")</f>
        <v/>
      </c>
      <c r="EZ23" s="280" t="str">
        <f t="array" ref="EZ23">_xlfn.IFNA(INDEX('DMR 001C NEW'!$A$3:$O$999,MATCH(('001-C DMR'!$ET$6&amp;'001-C DMR'!EZ$10&amp;'001-C DMR'!$B23),('DMR 001C NEW'!$E$3:$E$1112&amp;'DMR 001C NEW'!$B$3:$B$1112&amp;'DMR 001C NEW'!$A$3:$A$1112),0),MATCH('001-C DMR'!$EY$11,'DMR 001C NEW'!$A$2:$O$2,0)),"")</f>
        <v/>
      </c>
      <c r="FA23" s="280" t="str">
        <f t="array" ref="FA23">_xlfn.IFNA(INDEX('DMR 001C NEW'!$A$3:$O$999,MATCH(('001-C DMR'!$ET$6&amp;'001-C DMR'!FA$10&amp;'001-C DMR'!$B23),('DMR 001C NEW'!$E$3:$E$1112&amp;'DMR 001C NEW'!$B$3:$B$1112&amp;'DMR 001C NEW'!$A$3:$A$1112),0),MATCH('001-C DMR'!$EY$11,'DMR 001C NEW'!$A$2:$O$2,0)),"")</f>
        <v/>
      </c>
      <c r="FB23" s="280" t="str">
        <f t="array" ref="FB23">_xlfn.IFNA(INDEX('DMR 001C NEW'!$A$3:$O$999,MATCH(('001-C DMR'!$ET$6&amp;'001-C DMR'!FB$10&amp;'001-C DMR'!$B23),('DMR 001C NEW'!$E$3:$E$1112&amp;'DMR 001C NEW'!$B$3:$B$1112&amp;'DMR 001C NEW'!$A$3:$A$1112),0),MATCH('001-C DMR'!$EY$11,'DMR 001C NEW'!$A$2:$O$2,0)),"")</f>
        <v/>
      </c>
      <c r="FC23" s="280" t="str">
        <f t="array" ref="FC23">_xlfn.IFNA(INDEX('DMR 001C NEW'!$A$3:$O$999,MATCH(('001-C DMR'!$ET$6&amp;'001-C DMR'!FC$10&amp;'001-C DMR'!$B23),('DMR 001C NEW'!$E$3:$E$1112&amp;'DMR 001C NEW'!$B$3:$B$1112&amp;'DMR 001C NEW'!$A$3:$A$1112),0),MATCH('001-C DMR'!$EY$11,'DMR 001C NEW'!$A$2:$O$2,0)),"")</f>
        <v/>
      </c>
      <c r="FD23" s="280" t="str">
        <f t="array" ref="FD23">_xlfn.IFNA(INDEX('DMR 001C NEW'!$A$3:$O$999,MATCH(('001-C DMR'!$ET$6&amp;'001-C DMR'!FD$10&amp;'001-C DMR'!$B23),('DMR 001C NEW'!$E$3:$E$1112&amp;'DMR 001C NEW'!$B$3:$B$1112&amp;'DMR 001C NEW'!$A$3:$A$1112),0),MATCH('001-C DMR'!$EY$11,'DMR 001C NEW'!$A$2:$O$2,0)),"")</f>
        <v/>
      </c>
      <c r="FE23" s="281" t="str">
        <f t="array" ref="FE23">_xlfn.IFNA(INDEX('DMR 001C NEW'!$A$3:$O$999,MATCH(('001-C DMR'!$ET$6&amp;'001-C DMR'!FE$10&amp;'001-C DMR'!$B23),('DMR 001C NEW'!$E$3:$E$1112&amp;'DMR 001C NEW'!$B$3:$B$1112&amp;'DMR 001C NEW'!$A$3:$A$1112),0),MATCH('001-C DMR'!$EY$11,'DMR 001C NEW'!$A$2:$O$2,0)),"")</f>
        <v/>
      </c>
      <c r="FF23" s="57" t="str">
        <f t="shared" si="22"/>
        <v/>
      </c>
      <c r="FG23" s="56">
        <f t="array" ref="FG23">_xlfn.IFNA(INDEX('DMR 001C NEW'!$A$3:$O$9999,MATCH(('001-C DMR'!$FF$6&amp;'001-C DMR'!$FF$10&amp;'001-C DMR'!$B23),('DMR 001C NEW'!$E$3:$E$7246&amp;'DMR 001C NEW'!$B$3:$B$7246&amp;'DMR 001C NEW'!$A$3:$A$7246),0),MATCH('001-C DMR'!$FG$11,'DMR 001C NEW'!$A$2:$O$2,0)),"")</f>
        <v>0</v>
      </c>
      <c r="FH23" s="56">
        <f t="array" ref="FH23">_xlfn.IFNA(INDEX('DMR 001C NEW'!$A$3:$O$9999,MATCH(('001-C DMR'!$FF$6&amp;'001-C DMR'!$FF$10&amp;'001-C DMR'!$B23),('DMR 001C NEW'!$E$3:$E$7246&amp;'DMR 001C NEW'!$B$3:$B$7246&amp;'DMR 001C NEW'!$A$3:$A$7246),0),MATCH('001-C DMR'!$FH$11,'DMR 001C NEW'!$A$2:$O$2,0)),"")</f>
        <v>3</v>
      </c>
      <c r="FI23" s="57" t="str">
        <f t="shared" si="23"/>
        <v/>
      </c>
      <c r="FJ23" s="56">
        <f t="array" ref="FJ23">_xlfn.IFNA(INDEX('DMR 001C NEW'!$A$3:$O$9999,MATCH(('001-C DMR'!$FF$6&amp;'001-C DMR'!$FI$10&amp;'001-C DMR'!$B23),('DMR 001C NEW'!$E$3:$E$7246&amp;'DMR 001C NEW'!$B$3:$B$7246&amp;'DMR 001C NEW'!$A$3:$A$7246),0),MATCH('001-C DMR'!$FG$11,'DMR 001C NEW'!$A$2:$O$2,0)),"")</f>
        <v>0</v>
      </c>
      <c r="FK23" s="56">
        <f t="array" ref="FK23">_xlfn.IFNA(INDEX('DMR 001C NEW'!$A$3:$O$9999,MATCH(('001-C DMR'!$FF$6&amp;'001-C DMR'!$FI$10&amp;'001-C DMR'!$B23),('DMR 001C NEW'!$E$3:$E$7246&amp;'DMR 001C NEW'!$B$3:$B$7246&amp;'DMR 001C NEW'!$A$3:$A$7246),0),MATCH('001-C DMR'!$FH$11,'DMR 001C NEW'!$A$2:$O$2,0)),"")</f>
        <v>3</v>
      </c>
      <c r="FL23" s="56">
        <f t="array" ref="FL23">IFERROR((($FH23*$EI23)+($FK23*$EJ23))/($EK23),"")</f>
        <v>3.0000000000000004</v>
      </c>
      <c r="FM23" s="56" t="str">
        <f t="shared" si="43"/>
        <v/>
      </c>
      <c r="FN23" s="64" t="str">
        <f t="shared" si="37"/>
        <v/>
      </c>
      <c r="FO23" s="66"/>
      <c r="FP23" s="280" t="str">
        <f t="array" ref="FP23">_xlfn.IFNA(INDEX('DMR 001C NEW'!$A$3:$O$999,MATCH(('001-C DMR'!$FF$6&amp;'001-C DMR'!FP$10&amp;'001-C DMR'!$B23),('DMR 001C NEW'!$E$3:$E$1112&amp;'DMR 001C NEW'!$B$3:$B$1112&amp;'DMR 001C NEW'!$A$3:$A$1112),0),MATCH('001-C DMR'!$FH$11,'DMR 001C NEW'!$A$2:$O$2,0)),"")</f>
        <v/>
      </c>
      <c r="FQ23" s="280" t="str">
        <f t="array" ref="FQ23">_xlfn.IFNA(INDEX('DMR 001C NEW'!$A$3:$O$999,MATCH(('001-C DMR'!$FF$6&amp;'001-C DMR'!FQ$10&amp;'001-C DMR'!$B23),('DMR 001C NEW'!$E$3:$E$1112&amp;'DMR 001C NEW'!$B$3:$B$1112&amp;'DMR 001C NEW'!$A$3:$A$1112),0),MATCH('001-C DMR'!$FH$11,'DMR 001C NEW'!$A$2:$O$2,0)),"")</f>
        <v/>
      </c>
      <c r="FR23" s="280" t="str">
        <f t="array" ref="FR23">_xlfn.IFNA(INDEX('DMR 001C NEW'!$A$3:$O$999,MATCH(('001-C DMR'!$FF$6&amp;'001-C DMR'!FR$10&amp;'001-C DMR'!$B23),('DMR 001C NEW'!$E$3:$E$1112&amp;'DMR 001C NEW'!$B$3:$B$1112&amp;'DMR 001C NEW'!$A$3:$A$1112),0),MATCH('001-C DMR'!$FH$11,'DMR 001C NEW'!$A$2:$O$2,0)),"")</f>
        <v/>
      </c>
      <c r="FS23" s="280" t="str">
        <f t="array" ref="FS23">_xlfn.IFNA(INDEX('DMR 001C NEW'!$A$3:$O$999,MATCH(('001-C DMR'!$FF$6&amp;'001-C DMR'!FS$10&amp;'001-C DMR'!$B23),('DMR 001C NEW'!$E$3:$E$1112&amp;'DMR 001C NEW'!$B$3:$B$1112&amp;'DMR 001C NEW'!$A$3:$A$1112),0),MATCH('001-C DMR'!$FH$11,'DMR 001C NEW'!$A$2:$O$2,0)),"")</f>
        <v/>
      </c>
      <c r="FT23" s="280" t="str">
        <f t="array" ref="FT23">_xlfn.IFNA(INDEX('DMR 001C NEW'!$A$3:$O$999,MATCH(('001-C DMR'!$FF$6&amp;'001-C DMR'!FT$10&amp;'001-C DMR'!$B23),('DMR 001C NEW'!$E$3:$E$1112&amp;'DMR 001C NEW'!$B$3:$B$1112&amp;'DMR 001C NEW'!$A$3:$A$1112),0),MATCH('001-C DMR'!$FH$11,'DMR 001C NEW'!$A$2:$O$2,0)),"")</f>
        <v/>
      </c>
      <c r="FU23" s="280" t="str">
        <f t="array" ref="FU23">_xlfn.IFNA(INDEX('DMR 001C NEW'!$A$3:$O$999,MATCH(('001-C DMR'!$FF$6&amp;'001-C DMR'!FU$10&amp;'001-C DMR'!$B23),('DMR 001C NEW'!$E$3:$E$1112&amp;'DMR 001C NEW'!$B$3:$B$1112&amp;'DMR 001C NEW'!$A$3:$A$1112),0),MATCH('001-C DMR'!$FH$11,'DMR 001C NEW'!$A$2:$O$2,0)),"")</f>
        <v/>
      </c>
      <c r="FV23" s="66"/>
      <c r="FW23" s="61" t="str">
        <f t="shared" si="24"/>
        <v/>
      </c>
      <c r="FX23" s="58" t="str">
        <f t="array" ref="FX23">_xlfn.IFNA(INDEX('DMR 001C NEW'!$A$3:$O$9999,MATCH(('001-C DMR'!$FW$6&amp;'001-C DMR'!$FW$10&amp;'001-C DMR'!$B23),('DMR 001C NEW'!$E$3:$E$7246&amp;'DMR 001C NEW'!$B$3:$B$7246&amp;'DMR 001C NEW'!$A$3:$A$7246),0),MATCH('001-C DMR'!$FX$11,'DMR 001C NEW'!$A$2:$O$2,0)),"")</f>
        <v/>
      </c>
      <c r="FY23" s="58" t="str">
        <f t="array" ref="FY23">_xlfn.IFNA(INDEX('DMR 001C NEW'!$A$3:$O$9999,MATCH(('001-C DMR'!$FW$6&amp;'001-C DMR'!$FW$10&amp;'001-C DMR'!$B23),('DMR 001C NEW'!$E$3:$E$7246&amp;'DMR 001C NEW'!$B$3:$B$7246&amp;'DMR 001C NEW'!$A$3:$A$7246),0),MATCH('001-C DMR'!$FY$11,'DMR 001C NEW'!$A$2:$O$2,0)),"")</f>
        <v/>
      </c>
      <c r="FZ23" s="57" t="str">
        <f t="shared" si="25"/>
        <v/>
      </c>
      <c r="GA23" s="58" t="str">
        <f t="array" ref="GA23">_xlfn.IFNA(INDEX('DMR 001C NEW'!$A$3:$O$9999,MATCH(('001-C DMR'!$FW$6&amp;'001-C DMR'!$FZ$10&amp;'001-C DMR'!$B23),('DMR 001C NEW'!$E$3:$E$7246&amp;'DMR 001C NEW'!$B$3:$B$7246&amp;'DMR 001C NEW'!$A$3:$A$7246),0),MATCH('001-C DMR'!$FX$11,'DMR 001C NEW'!$A$2:$O$2,0)),"")</f>
        <v/>
      </c>
      <c r="GB23" s="58" t="str">
        <f t="array" ref="GB23">_xlfn.IFNA(INDEX('DMR 001C NEW'!$A$3:$O$9999,MATCH(('001-C DMR'!$FW$6&amp;'001-C DMR'!$FZ$10&amp;'001-C DMR'!$B23),('DMR 001C NEW'!$E$3:$E$7246&amp;'DMR 001C NEW'!$B$3:$B$7246&amp;'DMR 001C NEW'!$A$3:$A$7246),0),MATCH('001-C DMR'!$GB$11,'DMR 001C NEW'!$A$2:$O$2,0)),"")</f>
        <v/>
      </c>
      <c r="GC23" s="56" t="str">
        <f t="shared" si="4"/>
        <v/>
      </c>
      <c r="GD23" s="64" t="str">
        <f t="shared" si="38"/>
        <v/>
      </c>
      <c r="GE23" s="279" t="str">
        <f t="array" ref="GE23">_xlfn.IFNA(INDEX('DMR 001C NEW'!$A$3:$O$999,MATCH(('001-C DMR'!$FW$6&amp;'001-C DMR'!GE$10&amp;'001-C DMR'!$B23),('DMR 001C NEW'!$E$3:$E$1112&amp;'DMR 001C NEW'!$B$3:$B$1112&amp;'DMR 001C NEW'!$A$3:$A$1112),0),MATCH('001-C DMR'!$FY$11,'DMR 001C NEW'!$A$2:$O$2,0)),"")</f>
        <v/>
      </c>
      <c r="GF23" s="280" t="str">
        <f t="array" ref="GF23">_xlfn.IFNA(INDEX('DMR 001C NEW'!$A$3:$O$999,MATCH(('001-C DMR'!$FW$6&amp;'001-C DMR'!GF$10&amp;'001-C DMR'!$B23),('DMR 001C NEW'!$E$3:$E$1112&amp;'DMR 001C NEW'!$B$3:$B$1112&amp;'DMR 001C NEW'!$A$3:$A$1112),0),MATCH('001-C DMR'!$FY$11,'DMR 001C NEW'!$A$2:$O$2,0)),"")</f>
        <v/>
      </c>
      <c r="GG23" s="280" t="str">
        <f t="array" ref="GG23">_xlfn.IFNA(INDEX('DMR 001C NEW'!$A$3:$O$999,MATCH(('001-C DMR'!$FW$6&amp;'001-C DMR'!GG$10&amp;'001-C DMR'!$B23),('DMR 001C NEW'!$E$3:$E$1112&amp;'DMR 001C NEW'!$B$3:$B$1112&amp;'DMR 001C NEW'!$A$3:$A$1112),0),MATCH('001-C DMR'!$FY$11,'DMR 001C NEW'!$A$2:$O$2,0)),"")</f>
        <v/>
      </c>
      <c r="GH23" s="280" t="str">
        <f t="array" ref="GH23">_xlfn.IFNA(INDEX('DMR 001C NEW'!$A$3:$O$999,MATCH(('001-C DMR'!$FW$6&amp;'001-C DMR'!GH$10&amp;'001-C DMR'!$B23),('DMR 001C NEW'!$E$3:$E$1112&amp;'DMR 001C NEW'!$B$3:$B$1112&amp;'DMR 001C NEW'!$A$3:$A$1112),0),MATCH('001-C DMR'!$FY$11,'DMR 001C NEW'!$A$2:$O$2,0)),"")</f>
        <v/>
      </c>
      <c r="GI23" s="280" t="str">
        <f t="array" ref="GI23">_xlfn.IFNA(INDEX('DMR 001C NEW'!$A$3:$O$999,MATCH(('001-C DMR'!$FW$6&amp;'001-C DMR'!GI$10&amp;'001-C DMR'!$B23),('DMR 001C NEW'!$E$3:$E$1112&amp;'DMR 001C NEW'!$B$3:$B$1112&amp;'DMR 001C NEW'!$A$3:$A$1112),0),MATCH('001-C DMR'!$FY$11,'DMR 001C NEW'!$A$2:$O$2,0)),"")</f>
        <v/>
      </c>
      <c r="GJ23" s="281" t="str">
        <f t="array" ref="GJ23">_xlfn.IFNA(INDEX('DMR 001C NEW'!$A$3:$O$999,MATCH(('001-C DMR'!$FW$6&amp;'001-C DMR'!GJ$10&amp;'001-C DMR'!$B23),('DMR 001C NEW'!$E$3:$E$1112&amp;'DMR 001C NEW'!$B$3:$B$1112&amp;'DMR 001C NEW'!$A$3:$A$1112),0),MATCH('001-C DMR'!$FY$11,'DMR 001C NEW'!$A$2:$O$2,0)),"")</f>
        <v/>
      </c>
      <c r="GK23" s="58" t="str">
        <f t="array" ref="GK23">_xlfn.IFNA(INDEX('DMR 001C NEW'!$A$3:$O$9999,MATCH(('001-C DMR'!$GK$6&amp;'001-C DMR'!$GK$10&amp;'001-C DMR'!$B23),('DMR 001C NEW'!$E$3:$E$9018&amp;'DMR 001C NEW'!$B$3:$B$9018&amp;'DMR 001C NEW'!$A$3:$A$9018),0),MATCH('001-C DMR'!$GK$11,'DMR 001C NEW'!$A$2:$O$2,0)),"")</f>
        <v>n</v>
      </c>
      <c r="GL23" s="58" t="str">
        <f t="array" ref="GL23">_xlfn.IFNA(INDEX('DMR 001C NEW'!$A$3:$O$9999,MATCH(('001-C DMR'!$GK$6&amp;'001-C DMR'!$GL$10&amp;'001-C DMR'!$B23),('DMR 001C NEW'!$E$3:$E$9018&amp;'DMR 001C NEW'!$B$3:$B$9018&amp;'DMR 001C NEW'!$A$3:$A$9018),0),MATCH('001-C DMR'!$GK$11,'DMR 001C NEW'!$A$2:$O$2,0)),"")</f>
        <v>n</v>
      </c>
      <c r="GM23" s="134"/>
      <c r="GN23" s="64" t="str">
        <f t="shared" si="44"/>
        <v/>
      </c>
    </row>
    <row r="24" spans="1:282" s="51" customFormat="1" x14ac:dyDescent="0.25">
      <c r="A24" s="67" t="str">
        <f t="shared" si="5"/>
        <v>Fri</v>
      </c>
      <c r="B24" s="216">
        <f t="shared" si="26"/>
        <v>43686</v>
      </c>
      <c r="C24" s="93">
        <f t="array" ref="C24">INDEX('DMR 001C NEW'!$A$3:$N$10020,MATCH(('001-C DMR'!$C$6:$K$6&amp;'001-C DMR'!$C$10:$E$10&amp;'001-C DMR'!$B24),('DMR 001C NEW'!$E$3:$E$7246&amp;'DMR 001C NEW'!$B$3:$B$7246&amp;'DMR 001C NEW'!$A$3:$A$7246),0),MATCH('001-C DMR'!$C$11,'DMR 001C NEW'!$A$2:$O$2,0))</f>
        <v>5.6</v>
      </c>
      <c r="D24" s="56" t="str">
        <f t="array" ref="D24">INDEX('DMR 001C NEW'!$A$3:$N$11771,MATCH(('001-C DMR'!$C$6:$K$6&amp;'001-C DMR'!$C$10:$E$10&amp;'001-C DMR'!$B24),('DMR 001C NEW'!$E$3:$E$9018&amp;'DMR 001C NEW'!$B$3:$B$9018&amp;'DMR 001C NEW'!$A$3:$A$9018),0),MATCH('001-C DMR'!$D$11,'DMR 001C NEW'!$A$2:$O$2,0))</f>
        <v>AE68816</v>
      </c>
      <c r="E24" s="56">
        <f t="array" ref="E24">INDEX('DMR 001C NEW'!$A$3:$N$9999,MATCH(('001-C DMR'!$E$11&amp;'001-C DMR'!$C$10:$E$10&amp;'001-C DMR'!$B24&amp;$D24),('DMR 001C NEW'!$E$3:$E$7246&amp;'DMR 001C NEW'!$B$3:$B$7246&amp;'DMR 001C NEW'!$A$3:$A$7246&amp;'DMR 001C NEW'!$M$3:$M$7188),0),MATCH($C$11,'DMR 001C NEW'!$A$2:$O$2,0))</f>
        <v>74.540000000000006</v>
      </c>
      <c r="F24" s="56">
        <f t="array" ref="F24">INDEX('DMR 001C NEW'!$A$3:$N$9999,MATCH('001-C DMR'!$C$6:$K$6&amp;'001-C DMR'!$F$10&amp;'001-C DMR'!$B24,('DMR 001C NEW'!$E$3:$E$7246&amp;'DMR 001C NEW'!$B$3:$B$7246&amp;'DMR 001C NEW'!$A$3:$A$7246),0),MATCH('001-C DMR'!$C$11,'DMR 001C NEW'!$A$2:$O$2,0))</f>
        <v>6.6</v>
      </c>
      <c r="G24" s="56" t="str">
        <f t="array" ref="G24">INDEX('DMR 001C NEW'!$A$3:$N$3865,MATCH(('001-C DMR'!$C$6:$K$6&amp;'001-C DMR'!$F$10&amp;'001-C DMR'!$B24),('DMR 001C NEW'!$E$3:$E$1112&amp;'DMR 001C NEW'!$B$3:$B$1112&amp;'DMR 001C NEW'!$A$3:$A$1112),0),MATCH('001-C DMR'!$D$11,'DMR 001C NEW'!$A$2:$O$2,0))</f>
        <v>AE68817</v>
      </c>
      <c r="H24" s="56">
        <f t="array" ref="H24">INDEX('DMR 001C NEW'!$A$3:$N$9999,MATCH(('001-C DMR'!$E$11&amp;'001-C DMR'!$F$10&amp;'001-C DMR'!$B24&amp;$G24),('DMR 001C NEW'!$E$3:$E$7246&amp;'DMR 001C NEW'!$B$3:$B$7246&amp;'DMR 001C NEW'!$A$3:$A$7246&amp;'DMR 001C NEW'!$M$3:$M$7188),0),MATCH($C$11,'DMR 001C NEW'!$A$2:$O$2,0))</f>
        <v>87.98</v>
      </c>
      <c r="I24" s="56">
        <f t="shared" si="0"/>
        <v>6.1413487570760523</v>
      </c>
      <c r="J24" s="58" t="str">
        <f t="shared" si="39"/>
        <v/>
      </c>
      <c r="K24" s="64" t="str">
        <f t="shared" si="40"/>
        <v/>
      </c>
      <c r="L24" s="262" t="str">
        <f t="array" ref="L24">_xlfn.IFNA(INDEX('DMR 001C NEW'!$A$3:$N$3865,MATCH(('001-C DMR'!$C$6:$K$6&amp;'001-C DMR'!L$10&amp;'001-C DMR'!$B24),('DMR 001C NEW'!$E$3:$E$1112&amp;'DMR 001C NEW'!$B$3:$B$1112&amp;'DMR 001C NEW'!$A$3:$A$1112),0),MATCH('001-C DMR'!$C$11,'DMR 001C NEW'!$A$2:$O$2,0)),"")</f>
        <v/>
      </c>
      <c r="M24" s="262" t="str">
        <f t="array" ref="M24">_xlfn.IFNA(INDEX('DMR 001C NEW'!$A$3:$N$3865,MATCH(('001-C DMR'!$C$6:$K$6&amp;'001-C DMR'!M$10&amp;'001-C DMR'!$B24),('DMR 001C NEW'!$E$3:$E$1112&amp;'DMR 001C NEW'!$B$3:$B$1112&amp;'DMR 001C NEW'!$A$3:$A$1112),0),MATCH('001-C DMR'!$C$11,'DMR 001C NEW'!$A$2:$O$2,0)),"")</f>
        <v/>
      </c>
      <c r="N24" s="262" t="str">
        <f t="array" ref="N24">_xlfn.IFNA(INDEX('DMR 001C NEW'!$A$3:$N$3865,MATCH(('001-C DMR'!$C$6:$K$6&amp;'001-C DMR'!N$10&amp;'001-C DMR'!$B24),('DMR 001C NEW'!$E$3:$E$1112&amp;'DMR 001C NEW'!$B$3:$B$1112&amp;'DMR 001C NEW'!$A$3:$A$1112),0),MATCH('001-C DMR'!$C$11,'DMR 001C NEW'!$A$2:$O$2,0)),"")</f>
        <v/>
      </c>
      <c r="O24" s="262" t="str">
        <f t="array" ref="O24">_xlfn.IFNA(INDEX('DMR 001C NEW'!$A$3:$N$3865,MATCH(('001-C DMR'!$C$6:$K$6&amp;'001-C DMR'!O$10&amp;'001-C DMR'!$B24),('DMR 001C NEW'!$E$3:$E$1112&amp;'DMR 001C NEW'!$B$3:$B$1112&amp;'DMR 001C NEW'!$A$3:$A$1112),0),MATCH('001-C DMR'!$C$11,'DMR 001C NEW'!$A$2:$O$2,0)),"")</f>
        <v/>
      </c>
      <c r="P24" s="262" t="str">
        <f t="array" ref="P24">_xlfn.IFNA(INDEX('DMR 001C NEW'!$A$3:$N$3865,MATCH(('001-C DMR'!$C$6:$K$6&amp;'001-C DMR'!P$10&amp;'001-C DMR'!$B24),('DMR 001C NEW'!$E$3:$E$1112&amp;'DMR 001C NEW'!$B$3:$B$1112&amp;'DMR 001C NEW'!$A$3:$A$1112),0),MATCH('001-C DMR'!$C$11,'DMR 001C NEW'!$A$2:$O$2,0)),"")</f>
        <v/>
      </c>
      <c r="Q24" s="120" t="e">
        <f t="array" ref="Q24">INDEX('DMR 001C NEW'!$A$3:$N$3865,MATCH(('001-C DMR'!$C$6:$K$6&amp;'001-C DMR'!Q$10&amp;'001-C DMR'!$B24),('DMR 001C NEW'!$E$3:$E$1112&amp;'DMR 001C NEW'!$B$3:$B$1112&amp;'DMR 001C NEW'!$A$3:$A$1112),0),MATCH('001-C DMR'!$C$11,'DMR 001C NEW'!$A$2:$O$2,0))</f>
        <v>#N/A</v>
      </c>
      <c r="R24" s="61"/>
      <c r="S24" s="56">
        <f t="array" ref="S24">_xlfn.IFNA(INDEX('DMR 001C NEW'!$A$3:$N$11771,MATCH(('001-C DMR'!$R$6:$T$6&amp;'001-C DMR'!$R$10&amp;'001-C DMR'!$B24),('DMR 001C NEW'!$E$3:$E$9018&amp;'DMR 001C NEW'!$B$3:$B$9018&amp;'DMR 001C NEW'!$A$3:$A$9018),0),MATCH('001-C DMR'!$S$11,'DMR 001C NEW'!$A$2:$O$2,0)),"")</f>
        <v>7.1</v>
      </c>
      <c r="T24" s="64" t="str">
        <f t="shared" si="41"/>
        <v/>
      </c>
      <c r="U24" s="262" t="str">
        <f t="array" ref="U24">_xlfn.IFNA(INDEX('DMR 001C NEW'!$A$3:$O$591,MATCH('001-C DMR'!$R$6:$T$6&amp;'001-C DMR'!U$10&amp;'001-C DMR'!$B24,('DMR 001C NEW'!$E$3:$E$704&amp;'DMR 001C NEW'!$B$3:$B$704&amp;'DMR 001C NEW'!$A$3:$A$704),0),MATCH('001-C DMR'!$U$11,'DMR 001C NEW'!$A$2:$O$2,0)),"")</f>
        <v/>
      </c>
      <c r="V24" s="262" t="str">
        <f t="array" ref="V24">_xlfn.IFNA(INDEX('DMR 001C NEW'!$A$3:$O$591,MATCH('001-C DMR'!$R$6:$T$6&amp;'001-C DMR'!V$10&amp;'001-C DMR'!$B24,('DMR 001C NEW'!$E$3:$E$704&amp;'DMR 001C NEW'!$B$3:$B$704&amp;'DMR 001C NEW'!$A$3:$A$704),0),MATCH('001-C DMR'!$U$11,'DMR 001C NEW'!$A$2:$O$2,0)),"")</f>
        <v/>
      </c>
      <c r="W24" s="262" t="str">
        <f t="array" ref="W24">_xlfn.IFNA(INDEX('DMR 001C NEW'!$A$3:$O$591,MATCH('001-C DMR'!$R$6:$T$6&amp;'001-C DMR'!W$10&amp;'001-C DMR'!$B24,('DMR 001C NEW'!$E$3:$E$704&amp;'DMR 001C NEW'!$B$3:$B$704&amp;'DMR 001C NEW'!$A$3:$A$704),0),MATCH('001-C DMR'!$U$11,'DMR 001C NEW'!$A$2:$O$2,0)),"")</f>
        <v/>
      </c>
      <c r="X24" s="262" t="str">
        <f t="array" ref="X24">_xlfn.IFNA(INDEX('DMR 001C NEW'!$A$3:$O$591,MATCH('001-C DMR'!$R$6:$T$6&amp;'001-C DMR'!X$10&amp;'001-C DMR'!$B24,('DMR 001C NEW'!$E$3:$E$704&amp;'DMR 001C NEW'!$B$3:$B$704&amp;'DMR 001C NEW'!$A$3:$A$704),0),MATCH('001-C DMR'!$U$11,'DMR 001C NEW'!$A$2:$O$2,0)),"")</f>
        <v/>
      </c>
      <c r="Y24" s="262" t="str">
        <f t="array" ref="Y24">_xlfn.IFNA(INDEX('DMR 001C NEW'!$A$3:$O$591,MATCH('001-C DMR'!$R$6:$T$6&amp;'001-C DMR'!Y$10&amp;'001-C DMR'!$B24,('DMR 001C NEW'!$E$3:$E$704&amp;'DMR 001C NEW'!$B$3:$B$704&amp;'DMR 001C NEW'!$A$3:$A$704),0),MATCH('001-C DMR'!$U$11,'DMR 001C NEW'!$A$2:$O$2,0)),"")</f>
        <v/>
      </c>
      <c r="Z24" s="262" t="str">
        <f t="array" ref="Z24">_xlfn.IFNA(INDEX('DMR 001C NEW'!$A$3:$O$591,MATCH('001-C DMR'!$R$6:$T$6&amp;'001-C DMR'!Z$10&amp;'001-C DMR'!$B24,('DMR 001C NEW'!$E$3:$E$704&amp;'DMR 001C NEW'!$B$3:$B$704&amp;'DMR 001C NEW'!$A$3:$A$704),0),MATCH('001-C DMR'!$U$11,'DMR 001C NEW'!$A$2:$O$2,0)),"")</f>
        <v/>
      </c>
      <c r="AA24" s="262" t="str">
        <f t="array" ref="AA24">_xlfn.IFNA(INDEX('DMR 001C NEW'!$A$3:$O$591,MATCH('001-C DMR'!$R$6:$T$6&amp;'001-C DMR'!AA$10&amp;'001-C DMR'!$B24,('DMR 001C NEW'!$E$3:$E$704&amp;'DMR 001C NEW'!$B$3:$B$704&amp;'DMR 001C NEW'!$A$3:$A$704),0),MATCH('001-C DMR'!$U$11,'DMR 001C NEW'!$A$2:$O$2,0)),"")</f>
        <v/>
      </c>
      <c r="AB24" s="61" t="str">
        <f t="array" ref="AB24">IF(AD24&lt;AC24,"&lt;","")</f>
        <v/>
      </c>
      <c r="AC24" s="56">
        <f t="array" ref="AC24">_xlfn.IFNA(INDEX('DMR 001C NEW'!$A$3:$O$9999,MATCH(('001-C DMR'!$AB$6:$AJ$6&amp;'001-C DMR'!$AB$10:$AD$10&amp;'001-C DMR'!$B24),('DMR 001C NEW'!$E$3:$E$7246&amp;'DMR 001C NEW'!$B$3:$B$7246&amp;'DMR 001C NEW'!$A$3:$A$7246),0),MATCH('001-C DMR'!$AC$11,'DMR 001C NEW'!$A$2:$O$2,0)),"")</f>
        <v>3</v>
      </c>
      <c r="AD24" s="56">
        <f t="array" ref="AD24">_xlfn.IFNA(INDEX('DMR 001C NEW'!$A$3:$O$9999,MATCH(('001-C DMR'!$AB$6:$AJ$6&amp;'001-C DMR'!$AB$10:$AD$10&amp;'001-C DMR'!$B24),('DMR 001C NEW'!$E$3:$E$7246&amp;'DMR 001C NEW'!$B$3:$B$7246&amp;'DMR 001C NEW'!$A$3:$A$7246),0),MATCH('001-C DMR'!$AD$11,'DMR 001C NEW'!$A$2:$O$2,0)),"")</f>
        <v>11</v>
      </c>
      <c r="AE24" s="57" t="str">
        <f t="array" ref="AE24">IF(AG24&lt;AF24,"&lt;","")</f>
        <v/>
      </c>
      <c r="AF24" s="56">
        <f t="array" ref="AF24">_xlfn.IFNA(INDEX('DMR 001C NEW'!$A$3:$O$9999,MATCH(('001-C DMR'!$AB$6:$AJ$6&amp;'001-C DMR'!$AE$10&amp;'001-C DMR'!$B24),('DMR 001C NEW'!$E$3:$E$9018&amp;'DMR 001C NEW'!$B$3:$B$9018&amp;'DMR 001C NEW'!$A$3:$A$9018),0),MATCH('001-C DMR'!$AF$11,'DMR 001C NEW'!$A$2:$O$2,0)),"")</f>
        <v>3</v>
      </c>
      <c r="AG24" s="56">
        <f t="array" ref="AG24">_xlfn.IFNA(INDEX('DMR 001C NEW'!$A$3:$O$9999,MATCH(('001-C DMR'!$AB$6:$AJ$6&amp;'001-C DMR'!$AE$10&amp;'001-C DMR'!$B24),('DMR 001C NEW'!$E$3:$E$9018&amp;'DMR 001C NEW'!$B$3:$B$9018&amp;'DMR 001C NEW'!$A$3:$A$9018),0),MATCH('001-C DMR'!$AG$11,'DMR 001C NEW'!$A$2:$O$2,0)),"")</f>
        <v>9</v>
      </c>
      <c r="AH24" s="56">
        <f t="array" ref="AH24">IFERROR((($AD24*$EI24)+($AG24*$EJ24))/($EK24),"")</f>
        <v>9.8718228587043892</v>
      </c>
      <c r="AI24" s="56" t="str">
        <f t="shared" si="42"/>
        <v/>
      </c>
      <c r="AJ24" s="64" t="str">
        <f t="shared" si="30"/>
        <v/>
      </c>
      <c r="AK24" s="262" t="str">
        <f t="array" ref="AK24">_xlfn.IFNA(INDEX('DMR 001C NEW'!$A$3:$O$999,MATCH(('001-C DMR'!$AB$6:$AJ$6&amp;'001-C DMR'!AK$10&amp;'001-C DMR'!$B24),('DMR 001C NEW'!$E$3:$E$1112&amp;'DMR 001C NEW'!$B$3:$B$1112&amp;'DMR 001C NEW'!$A$3:$A$1112),0),MATCH('001-C DMR'!$AD$11,'DMR 001C NEW'!$A$2:$O$2,0)),"")</f>
        <v/>
      </c>
      <c r="AL24" s="262" t="str">
        <f t="array" ref="AL24">_xlfn.IFNA(INDEX('DMR 001C NEW'!$A$3:$O$999,MATCH(('001-C DMR'!$AB$6:$AJ$6&amp;'001-C DMR'!AL$10&amp;'001-C DMR'!$B24),('DMR 001C NEW'!$E$3:$E$1112&amp;'DMR 001C NEW'!$B$3:$B$1112&amp;'DMR 001C NEW'!$A$3:$A$1112),0),MATCH('001-C DMR'!$AD$11,'DMR 001C NEW'!$A$2:$O$2,0)),"")</f>
        <v/>
      </c>
      <c r="AM24" s="262" t="str">
        <f t="array" ref="AM24">_xlfn.IFNA(INDEX('DMR 001C NEW'!$A$3:$O$999,MATCH(('001-C DMR'!$AB$6:$AJ$6&amp;'001-C DMR'!AM$10&amp;'001-C DMR'!$B24),('DMR 001C NEW'!$E$3:$E$1112&amp;'DMR 001C NEW'!$B$3:$B$1112&amp;'DMR 001C NEW'!$A$3:$A$1112),0),MATCH('001-C DMR'!$AD$11,'DMR 001C NEW'!$A$2:$O$2,0)),"")</f>
        <v/>
      </c>
      <c r="AN24" s="262" t="str">
        <f t="array" ref="AN24">_xlfn.IFNA(INDEX('DMR 001C NEW'!$A$3:$O$999,MATCH(('001-C DMR'!$AB$6:$AJ$6&amp;'001-C DMR'!AN$10&amp;'001-C DMR'!$B24),('DMR 001C NEW'!$E$3:$E$1112&amp;'DMR 001C NEW'!$B$3:$B$1112&amp;'DMR 001C NEW'!$A$3:$A$1112),0),MATCH('001-C DMR'!$AD$11,'DMR 001C NEW'!$A$2:$O$2,0)),"")</f>
        <v/>
      </c>
      <c r="AO24" s="262" t="str">
        <f t="array" ref="AO24">_xlfn.IFNA(INDEX('DMR 001C NEW'!$A$3:$O$999,MATCH(('001-C DMR'!$AB$6:$AJ$6&amp;'001-C DMR'!AO$10&amp;'001-C DMR'!$B24),('DMR 001C NEW'!$E$3:$E$1112&amp;'DMR 001C NEW'!$B$3:$B$1112&amp;'DMR 001C NEW'!$A$3:$A$1112),0),MATCH('001-C DMR'!$AD$11,'DMR 001C NEW'!$A$2:$O$2,0)),"")</f>
        <v/>
      </c>
      <c r="AP24" s="262" t="str">
        <f t="array" ref="AP24">_xlfn.IFNA(INDEX('DMR 001C NEW'!$A$3:$O$999,MATCH(('001-C DMR'!$AB$6:$AJ$6&amp;'001-C DMR'!AP$10&amp;'001-C DMR'!$B24),('DMR 001C NEW'!$E$3:$E$1112&amp;'DMR 001C NEW'!$B$3:$B$1112&amp;'DMR 001C NEW'!$A$3:$A$1112),0),MATCH('001-C DMR'!$AD$11,'DMR 001C NEW'!$A$2:$O$2,0)),"")</f>
        <v/>
      </c>
      <c r="AQ24" s="61" t="str">
        <f t="array" ref="AQ24">IF(AS24&lt;AR24,"&lt;","")</f>
        <v/>
      </c>
      <c r="AR24" s="58" t="str">
        <f t="array" ref="AR24">_xlfn.IFNA((INDEX('DMR 001C NEW'!$A$3:$O$9999,MATCH(('001-C DMR'!$AQ$6:$AZ$6&amp;'001-C DMR'!$AQ$10:$AS$10&amp;'001-C DMR'!$B24),('DMR 001C NEW'!$E$3:$E$7246&amp;'DMR 001C NEW'!$B$3:$B$7246&amp;'DMR 001C NEW'!$A$3:$A$7246),0),MATCH('001-C DMR'!$AR$11,'DMR 001C NEW'!$A$2:$O$2,0))),"")</f>
        <v/>
      </c>
      <c r="AS24" s="58" t="str">
        <f t="array" ref="AS24">_xlfn.IFNA(INDEX('DMR 001C NEW'!$A$3:$O$9999,MATCH(('001-C DMR'!$AQ$6:$AZ$6&amp;'001-C DMR'!$AQ$10:$AS$10&amp;'001-C DMR'!$B24),('DMR 001C NEW'!$E$3:$E$7246&amp;'DMR 001C NEW'!$B$3:$B$7246&amp;'DMR 001C NEW'!$A$3:$A$7246),0),MATCH('001-C DMR'!$AS$11,'DMR 001C NEW'!$A$2:$O$2,0)),"")</f>
        <v/>
      </c>
      <c r="AT24" s="58" t="str">
        <f t="shared" si="27"/>
        <v/>
      </c>
      <c r="AU24" s="57" t="str">
        <f t="array" ref="AU24">IF(AW24&lt;AV24,"&lt;","")</f>
        <v/>
      </c>
      <c r="AV24" s="58" t="str">
        <f t="array" ref="AV24">_xlfn.IFNA((INDEX('DMR 001C NEW'!$A$3:$O$9999,MATCH(('001-C DMR'!$AQ$6:$AZ$6&amp;'001-C DMR'!$AU$10&amp;'001-C DMR'!$B24),('DMR 001C NEW'!$E$3:$E$7246&amp;'DMR 001C NEW'!$B$3:$B$7246&amp;'DMR 001C NEW'!$A$3:$A$7246),0),MATCH('001-C DMR'!$AR$11,'DMR 001C NEW'!$A$2:$O$2,0))),"")</f>
        <v/>
      </c>
      <c r="AW24" s="58" t="str">
        <f t="array" ref="AW24">_xlfn.IFNA(INDEX('DMR 001C NEW'!$A$3:$O$9999,MATCH(('001-C DMR'!$AQ$6:$AZ$6&amp;'001-C DMR'!$AU$10&amp;'001-C DMR'!$B24),('DMR 001C NEW'!$E$3:$E$7246&amp;'DMR 001C NEW'!$B$3:$B$7246&amp;'DMR 001C NEW'!$A$3:$A$7246),0),MATCH('001-C DMR'!$AW$11,'DMR 001C NEW'!$A$2:$O$2,0)),"")</f>
        <v/>
      </c>
      <c r="AX24" s="58" t="str">
        <f t="shared" si="6"/>
        <v/>
      </c>
      <c r="AY24" s="56" t="str">
        <f t="array" ref="AY24">IFERROR((($AT24*$EI24)+($AX24*$EJ24))/($EK24),"")</f>
        <v/>
      </c>
      <c r="AZ24" s="64" t="str">
        <f t="shared" si="31"/>
        <v/>
      </c>
      <c r="BA24" s="279" t="str">
        <f t="array" ref="BA24">_xlfn.IFNA(INDEX('DMR 001C NEW'!$A$3:$O$9999,MATCH(('001-C DMR'!$AQ$6:$AZ$6&amp;'001-C DMR'!BA$10&amp;'001-C DMR'!$B24),('DMR 001C NEW'!$E$3:$E$1112&amp;'DMR 001C NEW'!$B$3:$B$1112&amp;'DMR 001C NEW'!$A$3:$A$1112),0),MATCH('001-C DMR'!$BA$11,'DMR 001C NEW'!$A$2:$O$2,0)),"")</f>
        <v/>
      </c>
      <c r="BB24" s="280" t="str">
        <f t="array" ref="BB24">_xlfn.IFNA(INDEX('DMR 001C NEW'!$A$3:$O$9999,MATCH(('001-C DMR'!$AQ$6:$AZ$6&amp;'001-C DMR'!BB$10&amp;'001-C DMR'!$B24),('DMR 001C NEW'!$E$3:$E$1112&amp;'DMR 001C NEW'!$B$3:$B$1112&amp;'DMR 001C NEW'!$A$3:$A$1112),0),MATCH('001-C DMR'!$BA$11,'DMR 001C NEW'!$A$2:$O$2,0)),"")</f>
        <v/>
      </c>
      <c r="BC24" s="280" t="str">
        <f t="array" ref="BC24">_xlfn.IFNA(INDEX('DMR 001C NEW'!$A$3:$O$9999,MATCH(('001-C DMR'!$AQ$6:$AZ$6&amp;'001-C DMR'!BC$10&amp;'001-C DMR'!$B24),('DMR 001C NEW'!$E$3:$E$1112&amp;'DMR 001C NEW'!$B$3:$B$1112&amp;'DMR 001C NEW'!$A$3:$A$1112),0),MATCH('001-C DMR'!$BA$11,'DMR 001C NEW'!$A$2:$O$2,0)),"")</f>
        <v/>
      </c>
      <c r="BD24" s="280" t="str">
        <f t="array" ref="BD24">_xlfn.IFNA(INDEX('DMR 001C NEW'!$A$3:$O$9999,MATCH(('001-C DMR'!$AQ$6:$AZ$6&amp;'001-C DMR'!BD$10&amp;'001-C DMR'!$B24),('DMR 001C NEW'!$E$3:$E$1112&amp;'DMR 001C NEW'!$B$3:$B$1112&amp;'DMR 001C NEW'!$A$3:$A$1112),0),MATCH('001-C DMR'!$BA$11,'DMR 001C NEW'!$A$2:$O$2,0)),"")</f>
        <v/>
      </c>
      <c r="BE24" s="280" t="str">
        <f t="array" ref="BE24">_xlfn.IFNA(INDEX('DMR 001C NEW'!$A$3:$O$9999,MATCH(('001-C DMR'!$AQ$6:$AZ$6&amp;'001-C DMR'!BE$10&amp;'001-C DMR'!$B24),('DMR 001C NEW'!$E$3:$E$1112&amp;'DMR 001C NEW'!$B$3:$B$1112&amp;'DMR 001C NEW'!$A$3:$A$1112),0),MATCH('001-C DMR'!$BA$11,'DMR 001C NEW'!$A$2:$O$2,0)),"")</f>
        <v/>
      </c>
      <c r="BF24" s="281" t="str">
        <f t="array" ref="BF24">_xlfn.IFNA(INDEX('DMR 001C NEW'!$A$3:$O$9999,MATCH(('001-C DMR'!$AQ$6:$AZ$6&amp;'001-C DMR'!BF$10&amp;'001-C DMR'!$B24),('DMR 001C NEW'!$E$3:$E$1112&amp;'DMR 001C NEW'!$B$3:$B$1112&amp;'DMR 001C NEW'!$A$3:$A$1112),0),MATCH('001-C DMR'!$BA$11,'DMR 001C NEW'!$A$2:$O$2,0)),"")</f>
        <v/>
      </c>
      <c r="BG24" s="57"/>
      <c r="BH24" s="58" t="str">
        <f t="array" ref="BH24">_xlfn.IFNA((INDEX('DMR 001C NEW'!$A$3:$O$9999,MATCH(('001-C DMR'!$BG$6&amp;'001-C DMR'!$BG$10&amp;'001-C DMR'!$B24),('DMR 001C NEW'!$E$3:$E$7246&amp;'DMR 001C NEW'!$B$3:$B$7246&amp;'DMR 001C NEW'!$A$3:$A$7246),0),MATCH('001-C DMR'!$BH$11,'DMR 001C NEW'!$A$2:$O$2,0))),"")</f>
        <v/>
      </c>
      <c r="BI24" s="58" t="str">
        <f t="array" ref="BI24">_xlfn.IFNA(INDEX('DMR 001C NEW'!$A$3:$O$9999,MATCH(('001-C DMR'!$BG$6&amp;'001-C DMR'!$BG$10&amp;'001-C DMR'!$B24),('DMR 001C NEW'!$E$3:$E$7246&amp;'DMR 001C NEW'!$B$3:$B$7246&amp;'DMR 001C NEW'!$A$3:$A$7246),0),MATCH('001-C DMR'!$BI$11,'DMR 001C NEW'!$A$2:$O$2,0)),"")</f>
        <v/>
      </c>
      <c r="BJ24" s="58" t="str">
        <f t="shared" si="7"/>
        <v/>
      </c>
      <c r="BK24" s="57" t="str">
        <f t="shared" si="8"/>
        <v/>
      </c>
      <c r="BL24" s="58" t="str">
        <f t="array" ref="BL24">_xlfn.IFNA((INDEX('DMR 001C NEW'!$A$3:$O$9999,MATCH(('001-C DMR'!$BG$6&amp;'001-C DMR'!$BK$10&amp;'001-C DMR'!$B24),('DMR 001C NEW'!$E$3:$E$7246&amp;'DMR 001C NEW'!$B$3:$B$7246&amp;'DMR 001C NEW'!$A$3:$A$7246),0),MATCH('001-C DMR'!$BH$11,'DMR 001C NEW'!$A$2:$O$2,0))),"")</f>
        <v/>
      </c>
      <c r="BM24" s="58" t="str">
        <f t="array" ref="BM24">_xlfn.IFNA(INDEX('DMR 001C NEW'!$A$3:$O$9999,MATCH(('001-C DMR'!$BG$6&amp;'001-C DMR'!$BK$10&amp;'001-C DMR'!$B24),('DMR 001C NEW'!$E$3:$E$7246&amp;'DMR 001C NEW'!$B$3:$B$7246&amp;'DMR 001C NEW'!$A$3:$A$7246),0),MATCH('001-C DMR'!$BI$11,'DMR 001C NEW'!$A$2:$O$2,0)),"")</f>
        <v/>
      </c>
      <c r="BN24" s="58" t="str">
        <f t="shared" si="9"/>
        <v/>
      </c>
      <c r="BO24" s="56" t="str">
        <f t="array" ref="BO24">IFERROR((($BJ24*$EI24)+($BN24*$EJ24))/($EK24),"")</f>
        <v/>
      </c>
      <c r="BP24" s="64" t="str">
        <f t="shared" si="32"/>
        <v/>
      </c>
      <c r="BQ24" s="280" t="str">
        <f t="array" ref="BQ24">_xlfn.IFNA(INDEX('DMR 001C NEW'!$A$3:$O$999,MATCH(('001-C DMR'!$BG$6&amp;'001-C DMR'!BQ$10&amp;'001-C DMR'!$B24),('DMR 001C NEW'!$E$3:$E$1112&amp;'DMR 001C NEW'!$B$3:$B$1112&amp;'DMR 001C NEW'!$A$3:$A$1112),0),MATCH('001-C DMR'!$BQ$11,'DMR 001C NEW'!$A$2:$O$2,0)),"")</f>
        <v/>
      </c>
      <c r="BR24" s="280" t="str">
        <f t="array" ref="BR24">_xlfn.IFNA(INDEX('DMR 001C NEW'!$A$3:$O$999,MATCH(('001-C DMR'!$BG$6&amp;'001-C DMR'!BR$10&amp;'001-C DMR'!$B24),('DMR 001C NEW'!$E$3:$E$1112&amp;'DMR 001C NEW'!$B$3:$B$1112&amp;'DMR 001C NEW'!$A$3:$A$1112),0),MATCH('001-C DMR'!$BQ$11,'DMR 001C NEW'!$A$2:$O$2,0)),"")</f>
        <v/>
      </c>
      <c r="BS24" s="280" t="str">
        <f t="array" ref="BS24">_xlfn.IFNA(INDEX('DMR 001C NEW'!$A$3:$O$999,MATCH(('001-C DMR'!$BG$6&amp;'001-C DMR'!BS$10&amp;'001-C DMR'!$B24),('DMR 001C NEW'!$E$3:$E$1112&amp;'DMR 001C NEW'!$B$3:$B$1112&amp;'DMR 001C NEW'!$A$3:$A$1112),0),MATCH('001-C DMR'!$BQ$11,'DMR 001C NEW'!$A$2:$O$2,0)),"")</f>
        <v/>
      </c>
      <c r="BT24" s="280" t="str">
        <f t="array" ref="BT24">_xlfn.IFNA(INDEX('DMR 001C NEW'!$A$3:$O$999,MATCH(('001-C DMR'!$BG$6&amp;'001-C DMR'!BT$10&amp;'001-C DMR'!$B24),('DMR 001C NEW'!$E$3:$E$1112&amp;'DMR 001C NEW'!$B$3:$B$1112&amp;'DMR 001C NEW'!$A$3:$A$1112),0),MATCH('001-C DMR'!$BQ$11,'DMR 001C NEW'!$A$2:$O$2,0)),"")</f>
        <v/>
      </c>
      <c r="BU24" s="280" t="str">
        <f t="array" ref="BU24">_xlfn.IFNA(INDEX('DMR 001C NEW'!$A$3:$O$999,MATCH(('001-C DMR'!$BG$6&amp;'001-C DMR'!BU$10&amp;'001-C DMR'!$B24),('DMR 001C NEW'!$E$3:$E$1112&amp;'DMR 001C NEW'!$B$3:$B$1112&amp;'DMR 001C NEW'!$A$3:$A$1112),0),MATCH('001-C DMR'!$BQ$11,'DMR 001C NEW'!$A$2:$O$2,0)),"")</f>
        <v/>
      </c>
      <c r="BV24" s="280" t="str">
        <f t="array" ref="BV24">_xlfn.IFNA(INDEX('DMR 001C NEW'!$A$3:$O$999,MATCH(('001-C DMR'!$BG$6&amp;'001-C DMR'!BV$10&amp;'001-C DMR'!$B24),('DMR 001C NEW'!$E$3:$E$1112&amp;'DMR 001C NEW'!$B$3:$B$1112&amp;'DMR 001C NEW'!$A$3:$A$1112),0),MATCH('001-C DMR'!$BQ$11,'DMR 001C NEW'!$A$2:$O$2,0)),"")</f>
        <v/>
      </c>
      <c r="BW24" s="65"/>
      <c r="BX24" s="65"/>
      <c r="BY24" s="57" t="str">
        <f t="shared" si="10"/>
        <v/>
      </c>
      <c r="BZ24" s="58">
        <f t="array" ref="BZ24">_xlfn.IFNA((INDEX('DMR 001C NEW'!$A$3:$O$9999,MATCH(('001-C DMR'!$BY$6&amp;'001-C DMR'!$BY$10&amp;'001-C DMR'!$B24),('DMR 001C NEW'!$E$3:$E$7246&amp;'DMR 001C NEW'!$B$3:$B$7246&amp;'DMR 001C NEW'!$A$3:$A$7246),0),MATCH('001-C DMR'!$BZ$11,'DMR 001C NEW'!$A$2:$O$2,0))),"")</f>
        <v>0.6</v>
      </c>
      <c r="CA24" s="138">
        <f t="array" ref="CA24">_xlfn.IFNA(INDEX('DMR 001C NEW'!$A$3:$O$9999,MATCH(('001-C DMR'!$BY$6&amp;'001-C DMR'!$BY$10&amp;'001-C DMR'!$B24),('DMR 001C NEW'!$E$3:$E$7246&amp;'DMR 001C NEW'!$B$3:$B$7246&amp;'DMR 001C NEW'!$A$3:$A$7246),0),MATCH('001-C DMR'!$CA$11,'DMR 001C NEW'!$A$2:$O$2,0)),"")</f>
        <v>90.6</v>
      </c>
      <c r="CB24" s="57" t="str">
        <f t="shared" si="11"/>
        <v/>
      </c>
      <c r="CC24" s="58">
        <f t="array" ref="CC24">_xlfn.IFNA((INDEX('DMR 001C NEW'!$A$3:$O$9999,MATCH(('001-C DMR'!$BY$6&amp;'001-C DMR'!$CB$10&amp;'001-C DMR'!$B24),('DMR 001C NEW'!$E$3:$E$7246&amp;'DMR 001C NEW'!$B$3:$B$7246&amp;'DMR 001C NEW'!$A$3:$A$7246),0),MATCH('001-C DMR'!$BZ$11,'DMR 001C NEW'!$A$2:$O$2,0))),"")</f>
        <v>0.6</v>
      </c>
      <c r="CD24" s="138">
        <f t="array" ref="CD24">_xlfn.IFNA(INDEX('DMR 001C NEW'!$A$3:$O$9999,MATCH(('001-C DMR'!$BY$6&amp;'001-C DMR'!$CB$10&amp;'001-C DMR'!$B24),('DMR 001C NEW'!$E$3:$E$7246&amp;'DMR 001C NEW'!$B$3:$B$7246&amp;'DMR 001C NEW'!$A$3:$A$7246),0),MATCH('001-C DMR'!$CA$11,'DMR 001C NEW'!$A$2:$O$2,0)),"")</f>
        <v>105</v>
      </c>
      <c r="CE24" s="138">
        <f t="array" ref="CE24">IFERROR((($CA24*$EI24)+($CD24*$EJ24))/($EK24),"")</f>
        <v>98.722875417328382</v>
      </c>
      <c r="CF24" s="64" t="str">
        <f t="shared" si="33"/>
        <v/>
      </c>
      <c r="CG24" s="280" t="str">
        <f t="array" ref="CG24">_xlfn.IFNA(INDEX('DMR 001C NEW'!$A$3:$O$999,MATCH(('001-C DMR'!$BY$6&amp;'001-C DMR'!CG$10&amp;'001-C DMR'!$B24),('DMR 001C NEW'!$E$3:$E$1112&amp;'DMR 001C NEW'!$B$3:$B$1112&amp;'DMR 001C NEW'!$A$3:$A$1112),0),MATCH('001-C DMR'!$CA$11,'DMR 001C NEW'!$A$2:$O$2,0)),"")</f>
        <v/>
      </c>
      <c r="CH24" s="280" t="str">
        <f t="array" ref="CH24">_xlfn.IFNA(INDEX('DMR 001C NEW'!$A$3:$O$999,MATCH(('001-C DMR'!$BY$6&amp;'001-C DMR'!CH$10&amp;'001-C DMR'!$B24),('DMR 001C NEW'!$E$3:$E$1112&amp;'DMR 001C NEW'!$B$3:$B$1112&amp;'DMR 001C NEW'!$A$3:$A$1112),0),MATCH('001-C DMR'!$CA$11,'DMR 001C NEW'!$A$2:$O$2,0)),"")</f>
        <v/>
      </c>
      <c r="CI24" s="280" t="str">
        <f t="array" ref="CI24">_xlfn.IFNA(INDEX('DMR 001C NEW'!$A$3:$O$999,MATCH(('001-C DMR'!$BY$6&amp;'001-C DMR'!CI$10&amp;'001-C DMR'!$B24),('DMR 001C NEW'!$E$3:$E$1112&amp;'DMR 001C NEW'!$B$3:$B$1112&amp;'DMR 001C NEW'!$A$3:$A$1112),0),MATCH('001-C DMR'!$CA$11,'DMR 001C NEW'!$A$2:$O$2,0)),"")</f>
        <v/>
      </c>
      <c r="CJ24" s="280" t="str">
        <f t="array" ref="CJ24">_xlfn.IFNA(INDEX('DMR 001C NEW'!$A$3:$O$999,MATCH(('001-C DMR'!$BY$6&amp;'001-C DMR'!CJ$10&amp;'001-C DMR'!$B24),('DMR 001C NEW'!$E$3:$E$1112&amp;'DMR 001C NEW'!$B$3:$B$1112&amp;'DMR 001C NEW'!$A$3:$A$1112),0),MATCH('001-C DMR'!$CA$11,'DMR 001C NEW'!$A$2:$O$2,0)),"")</f>
        <v/>
      </c>
      <c r="CK24" s="280" t="str">
        <f t="array" ref="CK24">_xlfn.IFNA(INDEX('DMR 001C NEW'!$A$3:$O$999,MATCH(('001-C DMR'!$BY$6&amp;'001-C DMR'!CK$10&amp;'001-C DMR'!$B24),('DMR 001C NEW'!$E$3:$E$1112&amp;'DMR 001C NEW'!$B$3:$B$1112&amp;'DMR 001C NEW'!$A$3:$A$1112),0),MATCH('001-C DMR'!$CA$11,'DMR 001C NEW'!$A$2:$O$2,0)),"")</f>
        <v/>
      </c>
      <c r="CL24" s="280" t="str">
        <f t="array" ref="CL24">_xlfn.IFNA(INDEX('DMR 001C NEW'!$A$3:$O$999,MATCH(('001-C DMR'!$BY$6&amp;'001-C DMR'!CL$10&amp;'001-C DMR'!$B24),('DMR 001C NEW'!$E$3:$E$1112&amp;'DMR 001C NEW'!$B$3:$B$1112&amp;'DMR 001C NEW'!$A$3:$A$1112),0),MATCH('001-C DMR'!$CA$11,'DMR 001C NEW'!$A$2:$O$2,0)),"")</f>
        <v/>
      </c>
      <c r="CM24" s="61" t="str">
        <f t="shared" si="12"/>
        <v/>
      </c>
      <c r="CN24" s="138">
        <f t="array" ref="CN24">_xlfn.IFNA((INDEX('DMR 001C NEW'!$A$3:$O$9999,MATCH(('001-C DMR'!$CM$6&amp;'001-C DMR'!$CM$10&amp;'001-C DMR'!$B24),('DMR 001C NEW'!$E$3:$E$9018&amp;'DMR 001C NEW'!$B$3:$B$9018&amp;'DMR 001C NEW'!$A$3:$A$9018),0),MATCH('001-C DMR'!$CN$11,'DMR 001C NEW'!$A$2:$O$2,0))*1000),"")</f>
        <v>60</v>
      </c>
      <c r="CO24" s="138">
        <f t="array" ref="CO24">_xlfn.IFNA(INDEX('DMR 001C NEW'!$A$3:$O$9999,MATCH(('001-C DMR'!$CM$6&amp;'001-C DMR'!$CM$10&amp;'001-C DMR'!$B24),('DMR 001C NEW'!$E$3:$E$9018&amp;'DMR 001C NEW'!$B$3:$B$9018&amp;'DMR 001C NEW'!$A$3:$A$9018),0),MATCH('001-C DMR'!$CO$11,'DMR 001C NEW'!$A$2:$O$2,0))*1000,"")</f>
        <v>670</v>
      </c>
      <c r="CP24" s="138">
        <f t="shared" si="13"/>
        <v>670</v>
      </c>
      <c r="CQ24" s="64" t="str">
        <f t="shared" si="34"/>
        <v/>
      </c>
      <c r="CR24" s="280" t="str">
        <f t="array" ref="CR24">_xlfn.IFNA(INDEX('DMR 001C NEW'!$A$3:$O$999,MATCH(('001-C DMR'!$CM$6&amp;'001-C DMR'!CR$10&amp;'001-C DMR'!$B24),('DMR 001C NEW'!$E$3:$E$1112&amp;'DMR 001C NEW'!$B$3:$B$1112&amp;'DMR 001C NEW'!$A$3:$A$1112),0),MATCH('001-C DMR'!$CO$11,'DMR 001C NEW'!$A$2:$O$2,0)),"")</f>
        <v/>
      </c>
      <c r="CS24" s="280" t="str">
        <f t="array" ref="CS24">_xlfn.IFNA(INDEX('DMR 001C NEW'!$A$3:$O$999,MATCH(('001-C DMR'!$CM$6&amp;'001-C DMR'!CS$10&amp;'001-C DMR'!$B24),('DMR 001C NEW'!$E$3:$E$1112&amp;'DMR 001C NEW'!$B$3:$B$1112&amp;'DMR 001C NEW'!$A$3:$A$1112),0),MATCH('001-C DMR'!$CO$11,'DMR 001C NEW'!$A$2:$O$2,0)),"")</f>
        <v/>
      </c>
      <c r="CT24" s="280" t="str">
        <f t="array" ref="CT24">_xlfn.IFNA(INDEX('DMR 001C NEW'!$A$3:$O$999,MATCH(('001-C DMR'!$CM$6&amp;'001-C DMR'!CT$10&amp;'001-C DMR'!$B24),('DMR 001C NEW'!$E$3:$E$1112&amp;'DMR 001C NEW'!$B$3:$B$1112&amp;'DMR 001C NEW'!$A$3:$A$1112),0),MATCH('001-C DMR'!$CO$11,'DMR 001C NEW'!$A$2:$O$2,0)),"")</f>
        <v/>
      </c>
      <c r="CU24" s="280" t="str">
        <f t="array" ref="CU24">_xlfn.IFNA(INDEX('DMR 001C NEW'!$A$3:$O$999,MATCH(('001-C DMR'!$CM$6&amp;'001-C DMR'!CU$10&amp;'001-C DMR'!$B24),('DMR 001C NEW'!$E$3:$E$1112&amp;'DMR 001C NEW'!$B$3:$B$1112&amp;'DMR 001C NEW'!$A$3:$A$1112),0),MATCH('001-C DMR'!$CO$11,'DMR 001C NEW'!$A$2:$O$2,0)),"")</f>
        <v/>
      </c>
      <c r="CV24" s="280" t="str">
        <f t="array" ref="CV24">_xlfn.IFNA(INDEX('DMR 001C NEW'!$A$3:$O$999,MATCH(('001-C DMR'!$CM$6&amp;'001-C DMR'!CV$10&amp;'001-C DMR'!$B24),('DMR 001C NEW'!$E$3:$E$1112&amp;'DMR 001C NEW'!$B$3:$B$1112&amp;'DMR 001C NEW'!$A$3:$A$1112),0),MATCH('001-C DMR'!$CO$11,'DMR 001C NEW'!$A$2:$O$2,0)),"")</f>
        <v/>
      </c>
      <c r="CW24" s="280" t="str">
        <f t="array" ref="CW24">_xlfn.IFNA(INDEX('DMR 001C NEW'!$A$3:$O$999,MATCH(('001-C DMR'!$CM$6&amp;'001-C DMR'!CW$10&amp;'001-C DMR'!$B24),('DMR 001C NEW'!$E$3:$E$1112&amp;'DMR 001C NEW'!$B$3:$B$1112&amp;'DMR 001C NEW'!$A$3:$A$1112),0),MATCH('001-C DMR'!$CO$11,'DMR 001C NEW'!$A$2:$O$2,0)),"")</f>
        <v/>
      </c>
      <c r="CX24" s="280" t="str">
        <f t="array" ref="CX24">_xlfn.IFNA(INDEX('DMR 001C NEW'!$A$3:$O$999,MATCH(('001-C DMR'!$CM$6&amp;'001-C DMR'!CX$10&amp;'001-C DMR'!$B24),('DMR 001C NEW'!$E$3:$E$1112&amp;'DMR 001C NEW'!$B$3:$B$1112&amp;'DMR 001C NEW'!$A$3:$A$1112),0),MATCH('001-C DMR'!$CO$11,'DMR 001C NEW'!$A$2:$O$2,0)),"")</f>
        <v/>
      </c>
      <c r="CY24" s="61" t="str">
        <f t="shared" si="14"/>
        <v/>
      </c>
      <c r="CZ24" s="138">
        <f t="array" ref="CZ24">_xlfn.IFNA((INDEX('DMR 001C NEW'!$A$3:$O$9999,MATCH(('001-C DMR'!$CY$6&amp;'001-C DMR'!$CY$10&amp;'001-C DMR'!$B24),('DMR 001C NEW'!$E$3:$E$9018&amp;'DMR 001C NEW'!$B$3:$B$9018&amp;'DMR 001C NEW'!$A$3:$A$9018),0),MATCH('001-C DMR'!$CZ$11,'DMR 001C NEW'!$A$2:$O$2,0))*1000),"")</f>
        <v>21</v>
      </c>
      <c r="DA24" s="138">
        <f t="array" ref="DA24">_xlfn.IFNA(INDEX('DMR 001C NEW'!$A$3:$O$9999,MATCH(('001-C DMR'!$CY$6&amp;'001-C DMR'!$CY$10&amp;'001-C DMR'!$B24),('DMR 001C NEW'!$E$3:$E$9018&amp;'DMR 001C NEW'!$B$3:$B$9018&amp;'DMR 001C NEW'!$A$3:$A$9018),0),MATCH('001-C DMR'!$DA$11,'DMR 001C NEW'!$A$2:$O$2,0))*1000,"")</f>
        <v>64</v>
      </c>
      <c r="DB24" s="138">
        <f t="shared" si="15"/>
        <v>64</v>
      </c>
      <c r="DC24" s="64" t="str">
        <f t="shared" si="35"/>
        <v/>
      </c>
      <c r="DD24" s="280" t="str">
        <f t="array" ref="DD24">_xlfn.IFNA(INDEX('DMR 001C NEW'!$A$3:$O$999,MATCH(('001-C DMR'!$CY$6&amp;'001-C DMR'!DD$10&amp;'001-C DMR'!$B24),('DMR 001C NEW'!$E$3:$E$1112&amp;'DMR 001C NEW'!$B$3:$B$1112&amp;'DMR 001C NEW'!$A$3:$A$1112),0),MATCH('001-C DMR'!$DA$11,'DMR 001C NEW'!$A$2:$O$2,0)),"")</f>
        <v/>
      </c>
      <c r="DE24" s="280" t="str">
        <f t="array" ref="DE24">_xlfn.IFNA(INDEX('DMR 001C NEW'!$A$3:$O$999,MATCH(('001-C DMR'!$CY$6&amp;'001-C DMR'!DE$10&amp;'001-C DMR'!$B24),('DMR 001C NEW'!$E$3:$E$1112&amp;'DMR 001C NEW'!$B$3:$B$1112&amp;'DMR 001C NEW'!$A$3:$A$1112),0),MATCH('001-C DMR'!$DA$11,'DMR 001C NEW'!$A$2:$O$2,0)),"")</f>
        <v/>
      </c>
      <c r="DF24" s="280" t="str">
        <f t="array" ref="DF24">_xlfn.IFNA(INDEX('DMR 001C NEW'!$A$3:$O$999,MATCH(('001-C DMR'!$CY$6&amp;'001-C DMR'!DF$10&amp;'001-C DMR'!$B24),('DMR 001C NEW'!$E$3:$E$1112&amp;'DMR 001C NEW'!$B$3:$B$1112&amp;'DMR 001C NEW'!$A$3:$A$1112),0),MATCH('001-C DMR'!$DA$11,'DMR 001C NEW'!$A$2:$O$2,0)),"")</f>
        <v/>
      </c>
      <c r="DG24" s="280" t="str">
        <f t="array" ref="DG24">_xlfn.IFNA(INDEX('DMR 001C NEW'!$A$3:$O$999,MATCH(('001-C DMR'!$CY$6&amp;'001-C DMR'!DG$10&amp;'001-C DMR'!$B24),('DMR 001C NEW'!$E$3:$E$1112&amp;'DMR 001C NEW'!$B$3:$B$1112&amp;'DMR 001C NEW'!$A$3:$A$1112),0),MATCH('001-C DMR'!$DA$11,'DMR 001C NEW'!$A$2:$O$2,0)),"")</f>
        <v/>
      </c>
      <c r="DH24" s="280" t="str">
        <f t="array" ref="DH24">_xlfn.IFNA(INDEX('DMR 001C NEW'!$A$3:$O$999,MATCH(('001-C DMR'!$CY$6&amp;'001-C DMR'!DH$10&amp;'001-C DMR'!$B24),('DMR 001C NEW'!$E$3:$E$1112&amp;'DMR 001C NEW'!$B$3:$B$1112&amp;'DMR 001C NEW'!$A$3:$A$1112),0),MATCH('001-C DMR'!$DA$11,'DMR 001C NEW'!$A$2:$O$2,0)),"")</f>
        <v/>
      </c>
      <c r="DI24" s="280" t="str">
        <f t="array" ref="DI24">_xlfn.IFNA(INDEX('DMR 001C NEW'!$A$3:$O$999,MATCH(('001-C DMR'!$CY$6&amp;'001-C DMR'!DI$10&amp;'001-C DMR'!$B24),('DMR 001C NEW'!$E$3:$E$1112&amp;'DMR 001C NEW'!$B$3:$B$1112&amp;'DMR 001C NEW'!$A$3:$A$1112),0),MATCH('001-C DMR'!$DA$11,'DMR 001C NEW'!$A$2:$O$2,0)),"")</f>
        <v/>
      </c>
      <c r="DJ24" s="280" t="str">
        <f t="array" ref="DJ24">_xlfn.IFNA(INDEX('DMR 001C NEW'!$A$3:$O$999,MATCH(('001-C DMR'!$CY$6&amp;'001-C DMR'!DJ$10&amp;'001-C DMR'!$B24),('DMR 001C NEW'!$E$3:$E$1112&amp;'DMR 001C NEW'!$B$3:$B$1112&amp;'DMR 001C NEW'!$A$3:$A$1112),0),MATCH('001-C DMR'!$DA$11,'DMR 001C NEW'!$A$2:$O$2,0)),"")</f>
        <v/>
      </c>
      <c r="DK24" s="61" t="str">
        <f t="shared" si="16"/>
        <v/>
      </c>
      <c r="DL24" s="58">
        <f t="array" ref="DL24">_xlfn.IFNA((INDEX('DMR 001C NEW'!$A$3:$O$9999,MATCH(('001-C DMR'!$DK$6&amp;'001-C DMR'!$DK$10&amp;'001-C DMR'!$B24),('DMR 001C NEW'!$E$3:$E$9018&amp;'DMR 001C NEW'!$B$3:$B$9018&amp;'DMR 001C NEW'!$A$3:$A$9018),0),MATCH('001-C DMR'!$DL$11,'DMR 001C NEW'!$A$2:$O$2,0))),"")</f>
        <v>0.05</v>
      </c>
      <c r="DM24" s="58">
        <f t="array" ref="DM24">_xlfn.IFNA(INDEX('DMR 001C NEW'!$A$3:$O$9999,MATCH(('001-C DMR'!$DK$6&amp;'001-C DMR'!$DK$10&amp;'001-C DMR'!$B24),('DMR 001C NEW'!$E$3:$E$9018&amp;'DMR 001C NEW'!$B$3:$B$9018&amp;'DMR 001C NEW'!$A$3:$A$9018),0),MATCH('001-C DMR'!$DM$11,'DMR 001C NEW'!$A$2:$O$2,0)),"")</f>
        <v>0.12</v>
      </c>
      <c r="DN24" s="58">
        <f t="shared" si="17"/>
        <v>0.12</v>
      </c>
      <c r="DO24" s="223"/>
      <c r="DP24" s="224"/>
      <c r="DQ24" s="64" t="str">
        <f t="shared" si="18"/>
        <v/>
      </c>
      <c r="DR24" s="280" t="str">
        <f t="array" ref="DR24">_xlfn.IFNA(INDEX('DMR 001C NEW'!$A$3:$O$999,MATCH(('001-C DMR'!$DK$6&amp;'001-C DMR'!DR$10&amp;'001-C DMR'!$B24),('DMR 001C NEW'!$E$3:$E$1112&amp;'DMR 001C NEW'!$B$3:$B$1112&amp;'DMR 001C NEW'!$A$3:$A$1112),0),MATCH('001-C DMR'!$DR$11,'DMR 001C NEW'!$A$2:$O$2,0)),"")</f>
        <v/>
      </c>
      <c r="DS24" s="280" t="str">
        <f t="array" ref="DS24">_xlfn.IFNA(INDEX('DMR 001C NEW'!$A$3:$O$999,MATCH(('001-C DMR'!$DK$6&amp;'001-C DMR'!DS$10&amp;'001-C DMR'!$B24),('DMR 001C NEW'!$E$3:$E$1112&amp;'DMR 001C NEW'!$B$3:$B$1112&amp;'DMR 001C NEW'!$A$3:$A$1112),0),MATCH('001-C DMR'!$DR$11,'DMR 001C NEW'!$A$2:$O$2,0)),"")</f>
        <v/>
      </c>
      <c r="DT24" s="280" t="str">
        <f t="array" ref="DT24">_xlfn.IFNA(INDEX('DMR 001C NEW'!$A$3:$O$999,MATCH(('001-C DMR'!$DK$6&amp;'001-C DMR'!DT$10&amp;'001-C DMR'!$B24),('DMR 001C NEW'!$E$3:$E$1112&amp;'DMR 001C NEW'!$B$3:$B$1112&amp;'DMR 001C NEW'!$A$3:$A$1112),0),MATCH('001-C DMR'!$DR$11,'DMR 001C NEW'!$A$2:$O$2,0)),"")</f>
        <v/>
      </c>
      <c r="DU24" s="280" t="str">
        <f t="array" ref="DU24">_xlfn.IFNA(INDEX('DMR 001C NEW'!$A$3:$O$999,MATCH(('001-C DMR'!$DK$6&amp;'001-C DMR'!DU$10&amp;'001-C DMR'!$B24),('DMR 001C NEW'!$E$3:$E$1112&amp;'DMR 001C NEW'!$B$3:$B$1112&amp;'DMR 001C NEW'!$A$3:$A$1112),0),MATCH('001-C DMR'!$DR$11,'DMR 001C NEW'!$A$2:$O$2,0)),"")</f>
        <v/>
      </c>
      <c r="DV24" s="280" t="str">
        <f t="array" ref="DV24">_xlfn.IFNA(INDEX('DMR 001C NEW'!$A$3:$O$999,MATCH(('001-C DMR'!$DK$6&amp;'001-C DMR'!DV$10&amp;'001-C DMR'!$B24),('DMR 001C NEW'!$E$3:$E$1112&amp;'DMR 001C NEW'!$B$3:$B$1112&amp;'DMR 001C NEW'!$A$3:$A$1112),0),MATCH('001-C DMR'!$DR$11,'DMR 001C NEW'!$A$2:$O$2,0)),"")</f>
        <v/>
      </c>
      <c r="DW24" s="280" t="str">
        <f t="array" ref="DW24">_xlfn.IFNA(INDEX('DMR 001C NEW'!$A$3:$O$999,MATCH(('001-C DMR'!$DK$6&amp;'001-C DMR'!DW$10&amp;'001-C DMR'!$B24),('DMR 001C NEW'!$E$3:$E$1112&amp;'DMR 001C NEW'!$B$3:$B$1112&amp;'DMR 001C NEW'!$A$3:$A$1112),0),MATCH('001-C DMR'!$DR$11,'DMR 001C NEW'!$A$2:$O$2,0)),"")</f>
        <v/>
      </c>
      <c r="DX24" s="280" t="str">
        <f t="array" ref="DX24">_xlfn.IFNA(INDEX('DMR 001C NEW'!$A$3:$O$999,MATCH(('001-C DMR'!$DK$6&amp;'001-C DMR'!DX$10&amp;'001-C DMR'!$B24),('DMR 001C NEW'!$E$3:$E$1112&amp;'DMR 001C NEW'!$B$3:$B$1112&amp;'DMR 001C NEW'!$A$3:$A$1112),0),MATCH('001-C DMR'!$DR$11,'DMR 001C NEW'!$A$2:$O$2,0)),"")</f>
        <v/>
      </c>
      <c r="DY24" s="61" t="str">
        <f t="shared" si="28"/>
        <v/>
      </c>
      <c r="DZ24" s="249" t="str">
        <f t="array" ref="DZ24">_xlfn.IFNA((INDEX('DMR 001C NEW'!$A$3:$O$9999,MATCH(('001-C DMR'!$DY$6&amp;'001-C DMR'!$DY$10&amp;'001-C DMR'!$B24),('DMR 001C NEW'!$E$3:$E$9018&amp;'DMR 001C NEW'!$B$3:$B$9018&amp;'DMR 001C NEW'!$A$3:$A$9018),0),MATCH('001-C DMR'!$DZ$11,'DMR 001C NEW'!$A$2:$O$2,0))),"")</f>
        <v/>
      </c>
      <c r="EA24" s="249" t="str">
        <f t="array" ref="EA24">_xlfn.IFNA((INDEX('DMR 001C NEW'!$A$3:$O$9999,MATCH(('001-C DMR'!$DY$6&amp;'001-C DMR'!$DY$10&amp;'001-C DMR'!$B24),('DMR 001C NEW'!$E$3:$E$9018&amp;'DMR 001C NEW'!$B$3:$B$9018&amp;'DMR 001C NEW'!$A$3:$A$9018),0),MATCH('001-C DMR'!$EA$11,'DMR 001C NEW'!$A$2:$O$2,0))),"")</f>
        <v/>
      </c>
      <c r="EB24" s="249" t="str">
        <f t="array" ref="EB24">IF(EA24="SCRATCHED","",IF(EA24&lt;DZ24,0,EA24))</f>
        <v/>
      </c>
      <c r="EC24" s="249" t="str">
        <f t="shared" si="29"/>
        <v/>
      </c>
      <c r="ED24" s="249" t="str">
        <f t="array" ref="ED24">_xlfn.IFNA((INDEX('DMR 001C NEW'!$A$3:$O$9999,MATCH(('001-C DMR'!$DY$6&amp;'001-C DMR'!$EC$10&amp;'001-C DMR'!$B24),('DMR 001C NEW'!$E$3:$E$9018&amp;'DMR 001C NEW'!$B$3:$B$9018&amp;'DMR 001C NEW'!$A$3:$A$9018),0),MATCH('001-C DMR'!$DZ$11,'DMR 001C NEW'!$A$2:$O$2,0))),"")</f>
        <v/>
      </c>
      <c r="EE24" s="249" t="str">
        <f t="array" ref="EE24">_xlfn.IFNA((INDEX('DMR 001C NEW'!$A$3:$O$9999,MATCH(('001-C DMR'!$DY$6&amp;'001-C DMR'!$EC$10&amp;'001-C DMR'!$B24),('DMR 001C NEW'!$E$3:$E$9018&amp;'DMR 001C NEW'!$B$3:$B$9018&amp;'DMR 001C NEW'!$A$3:$A$9018),0),MATCH('001-C DMR'!$EE$11,'DMR 001C NEW'!$A$2:$O$2,0))),"")</f>
        <v/>
      </c>
      <c r="EF24" s="249" t="str">
        <f t="array" ref="EF24">IF(EE24="SCRATCHED","",IF(EE24&lt;ED24,0,EE24))</f>
        <v/>
      </c>
      <c r="EG24" s="249"/>
      <c r="EH24" s="195"/>
      <c r="EI24" s="194">
        <f t="array" ref="EI24">_xlfn.IFNA(INDEX('DMR Flows-Effluent'!$A$3:$F$186,MATCH(($EI$10&amp;$B24),('DMR Flows-Effluent'!$B$3:$B$186&amp;'DMR Flows-Effluent'!$A$3:$A$186),0),MATCH($EI$8,'DMR Flows-Effluent'!$A$2:$F$2,0)),"")</f>
        <v>55.0336</v>
      </c>
      <c r="EJ24" s="56">
        <f t="array" ref="EJ24">_xlfn.IFNA(INDEX('DMR Flows-Effluent'!$A$3:$F$186,MATCH(($EJ$10&amp;$B24),('DMR Flows-Effluent'!$B$3:$B$186&amp;'DMR Flows-Effluent'!$A$3:$A$186),0),MATCH($EI$8,'DMR Flows-Effluent'!$A$2:$F$2,0)),"")</f>
        <v>71.215900000000005</v>
      </c>
      <c r="EK24" s="168">
        <f t="shared" si="19"/>
        <v>126.24950000000001</v>
      </c>
      <c r="EL24" s="63"/>
      <c r="EM24" s="63"/>
      <c r="EN24" s="63"/>
      <c r="EO24" s="63"/>
      <c r="EP24" s="62"/>
      <c r="EQ24" s="157">
        <f>'E.Coli Calculations'!R18</f>
        <v>250.71084091579942</v>
      </c>
      <c r="ER24" s="56"/>
      <c r="ES24" s="64" t="str">
        <f t="shared" si="36"/>
        <v/>
      </c>
      <c r="ET24" s="61" t="str">
        <f t="shared" si="20"/>
        <v/>
      </c>
      <c r="EU24" s="58" t="str">
        <f t="array" ref="EU24">_xlfn.IFNA((INDEX('DMR 001C NEW'!$A$3:$O$9999,MATCH(('001-C DMR'!$ET$6&amp;'001-C DMR'!$ET$10&amp;'001-C DMR'!$B24),('DMR 001C NEW'!$E$3:$E$9018&amp;'DMR 001C NEW'!$B$3:$B$9018&amp;'DMR 001C NEW'!$A$3:$A$9018),0),MATCH('001-C DMR'!$EU$11,'DMR 001C NEW'!$A$2:$O$2,0))),"")</f>
        <v/>
      </c>
      <c r="EV24" s="58" t="str">
        <f t="array" ref="EV24">_xlfn.IFNA(INDEX('DMR 001C NEW'!$A$3:$O$9999,MATCH(('001-C DMR'!$ET$6&amp;'001-C DMR'!$ET$10&amp;'001-C DMR'!$B24),('DMR 001C NEW'!$E$3:$E$9018&amp;'DMR 001C NEW'!$B$3:$B$9018&amp;'DMR 001C NEW'!$A$3:$A$9018),0),MATCH('001-C DMR'!$EV$11,'DMR 001C NEW'!$A$2:$O$2,0)),"")</f>
        <v/>
      </c>
      <c r="EW24" s="56" t="str">
        <f t="shared" si="21"/>
        <v/>
      </c>
      <c r="EX24" s="64"/>
      <c r="EY24" s="279" t="str">
        <f t="array" ref="EY24">_xlfn.IFNA(INDEX('DMR 001C NEW'!$A$3:$O$999,MATCH(('001-C DMR'!$ET$6&amp;'001-C DMR'!EY$10&amp;'001-C DMR'!$B24),('DMR 001C NEW'!$E$3:$E$1112&amp;'DMR 001C NEW'!$B$3:$B$1112&amp;'DMR 001C NEW'!$A$3:$A$1112),0),MATCH('001-C DMR'!$EY$11,'DMR 001C NEW'!$A$2:$O$2,0)),"")</f>
        <v/>
      </c>
      <c r="EZ24" s="280" t="str">
        <f t="array" ref="EZ24">_xlfn.IFNA(INDEX('DMR 001C NEW'!$A$3:$O$999,MATCH(('001-C DMR'!$ET$6&amp;'001-C DMR'!EZ$10&amp;'001-C DMR'!$B24),('DMR 001C NEW'!$E$3:$E$1112&amp;'DMR 001C NEW'!$B$3:$B$1112&amp;'DMR 001C NEW'!$A$3:$A$1112),0),MATCH('001-C DMR'!$EY$11,'DMR 001C NEW'!$A$2:$O$2,0)),"")</f>
        <v/>
      </c>
      <c r="FA24" s="280" t="str">
        <f t="array" ref="FA24">_xlfn.IFNA(INDEX('DMR 001C NEW'!$A$3:$O$999,MATCH(('001-C DMR'!$ET$6&amp;'001-C DMR'!FA$10&amp;'001-C DMR'!$B24),('DMR 001C NEW'!$E$3:$E$1112&amp;'DMR 001C NEW'!$B$3:$B$1112&amp;'DMR 001C NEW'!$A$3:$A$1112),0),MATCH('001-C DMR'!$EY$11,'DMR 001C NEW'!$A$2:$O$2,0)),"")</f>
        <v/>
      </c>
      <c r="FB24" s="280" t="str">
        <f t="array" ref="FB24">_xlfn.IFNA(INDEX('DMR 001C NEW'!$A$3:$O$999,MATCH(('001-C DMR'!$ET$6&amp;'001-C DMR'!FB$10&amp;'001-C DMR'!$B24),('DMR 001C NEW'!$E$3:$E$1112&amp;'DMR 001C NEW'!$B$3:$B$1112&amp;'DMR 001C NEW'!$A$3:$A$1112),0),MATCH('001-C DMR'!$EY$11,'DMR 001C NEW'!$A$2:$O$2,0)),"")</f>
        <v/>
      </c>
      <c r="FC24" s="280" t="str">
        <f t="array" ref="FC24">_xlfn.IFNA(INDEX('DMR 001C NEW'!$A$3:$O$999,MATCH(('001-C DMR'!$ET$6&amp;'001-C DMR'!FC$10&amp;'001-C DMR'!$B24),('DMR 001C NEW'!$E$3:$E$1112&amp;'DMR 001C NEW'!$B$3:$B$1112&amp;'DMR 001C NEW'!$A$3:$A$1112),0),MATCH('001-C DMR'!$EY$11,'DMR 001C NEW'!$A$2:$O$2,0)),"")</f>
        <v/>
      </c>
      <c r="FD24" s="280" t="str">
        <f t="array" ref="FD24">_xlfn.IFNA(INDEX('DMR 001C NEW'!$A$3:$O$999,MATCH(('001-C DMR'!$ET$6&amp;'001-C DMR'!FD$10&amp;'001-C DMR'!$B24),('DMR 001C NEW'!$E$3:$E$1112&amp;'DMR 001C NEW'!$B$3:$B$1112&amp;'DMR 001C NEW'!$A$3:$A$1112),0),MATCH('001-C DMR'!$EY$11,'DMR 001C NEW'!$A$2:$O$2,0)),"")</f>
        <v/>
      </c>
      <c r="FE24" s="281" t="str">
        <f t="array" ref="FE24">_xlfn.IFNA(INDEX('DMR 001C NEW'!$A$3:$O$999,MATCH(('001-C DMR'!$ET$6&amp;'001-C DMR'!FE$10&amp;'001-C DMR'!$B24),('DMR 001C NEW'!$E$3:$E$1112&amp;'DMR 001C NEW'!$B$3:$B$1112&amp;'DMR 001C NEW'!$A$3:$A$1112),0),MATCH('001-C DMR'!$EY$11,'DMR 001C NEW'!$A$2:$O$2,0)),"")</f>
        <v/>
      </c>
      <c r="FF24" s="57" t="str">
        <f t="shared" si="22"/>
        <v/>
      </c>
      <c r="FG24" s="56">
        <f t="array" ref="FG24">_xlfn.IFNA(INDEX('DMR 001C NEW'!$A$3:$O$9999,MATCH(('001-C DMR'!$FF$6&amp;'001-C DMR'!$FF$10&amp;'001-C DMR'!$B24),('DMR 001C NEW'!$E$3:$E$7246&amp;'DMR 001C NEW'!$B$3:$B$7246&amp;'DMR 001C NEW'!$A$3:$A$7246),0),MATCH('001-C DMR'!$FG$11,'DMR 001C NEW'!$A$2:$O$2,0)),"")</f>
        <v>0</v>
      </c>
      <c r="FH24" s="56" t="str">
        <f t="array" ref="FH24">_xlfn.IFNA(INDEX('DMR 001C NEW'!$A$3:$O$9999,MATCH(('001-C DMR'!$FF$6&amp;'001-C DMR'!$FF$10&amp;'001-C DMR'!$B24),('DMR 001C NEW'!$E$3:$E$7246&amp;'DMR 001C NEW'!$B$3:$B$7246&amp;'DMR 001C NEW'!$A$3:$A$7246),0),MATCH('001-C DMR'!$FH$11,'DMR 001C NEW'!$A$2:$O$2,0)),"")</f>
        <v>Scratched</v>
      </c>
      <c r="FI24" s="57" t="str">
        <f t="shared" si="23"/>
        <v/>
      </c>
      <c r="FJ24" s="56">
        <f t="array" ref="FJ24">_xlfn.IFNA(INDEX('DMR 001C NEW'!$A$3:$O$9999,MATCH(('001-C DMR'!$FF$6&amp;'001-C DMR'!$FI$10&amp;'001-C DMR'!$B24),('DMR 001C NEW'!$E$3:$E$7246&amp;'DMR 001C NEW'!$B$3:$B$7246&amp;'DMR 001C NEW'!$A$3:$A$7246),0),MATCH('001-C DMR'!$FG$11,'DMR 001C NEW'!$A$2:$O$2,0)),"")</f>
        <v>0</v>
      </c>
      <c r="FK24" s="56" t="str">
        <f t="array" ref="FK24">_xlfn.IFNA(INDEX('DMR 001C NEW'!$A$3:$O$9999,MATCH(('001-C DMR'!$FF$6&amp;'001-C DMR'!$FI$10&amp;'001-C DMR'!$B24),('DMR 001C NEW'!$E$3:$E$7246&amp;'DMR 001C NEW'!$B$3:$B$7246&amp;'DMR 001C NEW'!$A$3:$A$7246),0),MATCH('001-C DMR'!$FH$11,'DMR 001C NEW'!$A$2:$O$2,0)),"")</f>
        <v>Scratched</v>
      </c>
      <c r="FL24" s="56" t="str">
        <f t="array" ref="FL24">IFERROR((($FH24*$EI24)+($FK24*$EJ24))/($EK24),"")</f>
        <v/>
      </c>
      <c r="FM24" s="56" t="str">
        <f t="shared" si="43"/>
        <v/>
      </c>
      <c r="FN24" s="64" t="str">
        <f t="shared" si="37"/>
        <v/>
      </c>
      <c r="FO24" s="66"/>
      <c r="FP24" s="280" t="str">
        <f t="array" ref="FP24">_xlfn.IFNA(INDEX('DMR 001C NEW'!$A$3:$O$999,MATCH(('001-C DMR'!$FF$6&amp;'001-C DMR'!FP$10&amp;'001-C DMR'!$B24),('DMR 001C NEW'!$E$3:$E$1112&amp;'DMR 001C NEW'!$B$3:$B$1112&amp;'DMR 001C NEW'!$A$3:$A$1112),0),MATCH('001-C DMR'!$FH$11,'DMR 001C NEW'!$A$2:$O$2,0)),"")</f>
        <v/>
      </c>
      <c r="FQ24" s="280" t="str">
        <f t="array" ref="FQ24">_xlfn.IFNA(INDEX('DMR 001C NEW'!$A$3:$O$999,MATCH(('001-C DMR'!$FF$6&amp;'001-C DMR'!FQ$10&amp;'001-C DMR'!$B24),('DMR 001C NEW'!$E$3:$E$1112&amp;'DMR 001C NEW'!$B$3:$B$1112&amp;'DMR 001C NEW'!$A$3:$A$1112),0),MATCH('001-C DMR'!$FH$11,'DMR 001C NEW'!$A$2:$O$2,0)),"")</f>
        <v/>
      </c>
      <c r="FR24" s="280" t="str">
        <f t="array" ref="FR24">_xlfn.IFNA(INDEX('DMR 001C NEW'!$A$3:$O$999,MATCH(('001-C DMR'!$FF$6&amp;'001-C DMR'!FR$10&amp;'001-C DMR'!$B24),('DMR 001C NEW'!$E$3:$E$1112&amp;'DMR 001C NEW'!$B$3:$B$1112&amp;'DMR 001C NEW'!$A$3:$A$1112),0),MATCH('001-C DMR'!$FH$11,'DMR 001C NEW'!$A$2:$O$2,0)),"")</f>
        <v/>
      </c>
      <c r="FS24" s="280" t="str">
        <f t="array" ref="FS24">_xlfn.IFNA(INDEX('DMR 001C NEW'!$A$3:$O$999,MATCH(('001-C DMR'!$FF$6&amp;'001-C DMR'!FS$10&amp;'001-C DMR'!$B24),('DMR 001C NEW'!$E$3:$E$1112&amp;'DMR 001C NEW'!$B$3:$B$1112&amp;'DMR 001C NEW'!$A$3:$A$1112),0),MATCH('001-C DMR'!$FH$11,'DMR 001C NEW'!$A$2:$O$2,0)),"")</f>
        <v/>
      </c>
      <c r="FT24" s="280" t="str">
        <f t="array" ref="FT24">_xlfn.IFNA(INDEX('DMR 001C NEW'!$A$3:$O$999,MATCH(('001-C DMR'!$FF$6&amp;'001-C DMR'!FT$10&amp;'001-C DMR'!$B24),('DMR 001C NEW'!$E$3:$E$1112&amp;'DMR 001C NEW'!$B$3:$B$1112&amp;'DMR 001C NEW'!$A$3:$A$1112),0),MATCH('001-C DMR'!$FH$11,'DMR 001C NEW'!$A$2:$O$2,0)),"")</f>
        <v/>
      </c>
      <c r="FU24" s="280" t="str">
        <f t="array" ref="FU24">_xlfn.IFNA(INDEX('DMR 001C NEW'!$A$3:$O$999,MATCH(('001-C DMR'!$FF$6&amp;'001-C DMR'!FU$10&amp;'001-C DMR'!$B24),('DMR 001C NEW'!$E$3:$E$1112&amp;'DMR 001C NEW'!$B$3:$B$1112&amp;'DMR 001C NEW'!$A$3:$A$1112),0),MATCH('001-C DMR'!$FH$11,'DMR 001C NEW'!$A$2:$O$2,0)),"")</f>
        <v/>
      </c>
      <c r="FV24" s="66"/>
      <c r="FW24" s="61" t="str">
        <f t="shared" si="24"/>
        <v/>
      </c>
      <c r="FX24" s="58">
        <f t="array" ref="FX24">_xlfn.IFNA(INDEX('DMR 001C NEW'!$A$3:$O$9999,MATCH(('001-C DMR'!$FW$6&amp;'001-C DMR'!$FW$10&amp;'001-C DMR'!$B24),('DMR 001C NEW'!$E$3:$E$7246&amp;'DMR 001C NEW'!$B$3:$B$7246&amp;'DMR 001C NEW'!$A$3:$A$7246),0),MATCH('001-C DMR'!$FX$11,'DMR 001C NEW'!$A$2:$O$2,0)),"")</f>
        <v>0.6</v>
      </c>
      <c r="FY24" s="58">
        <f t="array" ref="FY24">_xlfn.IFNA(INDEX('DMR 001C NEW'!$A$3:$O$9999,MATCH(('001-C DMR'!$FW$6&amp;'001-C DMR'!$FW$10&amp;'001-C DMR'!$B24),('DMR 001C NEW'!$E$3:$E$7246&amp;'DMR 001C NEW'!$B$3:$B$7246&amp;'DMR 001C NEW'!$A$3:$A$7246),0),MATCH('001-C DMR'!$FY$11,'DMR 001C NEW'!$A$2:$O$2,0)),"")</f>
        <v>104</v>
      </c>
      <c r="FZ24" s="57" t="str">
        <f t="shared" si="25"/>
        <v/>
      </c>
      <c r="GA24" s="58">
        <f t="array" ref="GA24">_xlfn.IFNA(INDEX('DMR 001C NEW'!$A$3:$O$9999,MATCH(('001-C DMR'!$FW$6&amp;'001-C DMR'!$FZ$10&amp;'001-C DMR'!$B24),('DMR 001C NEW'!$E$3:$E$7246&amp;'DMR 001C NEW'!$B$3:$B$7246&amp;'DMR 001C NEW'!$A$3:$A$7246),0),MATCH('001-C DMR'!$FX$11,'DMR 001C NEW'!$A$2:$O$2,0)),"")</f>
        <v>0.6</v>
      </c>
      <c r="GB24" s="58">
        <f t="array" ref="GB24">_xlfn.IFNA(INDEX('DMR 001C NEW'!$A$3:$O$9999,MATCH(('001-C DMR'!$FW$6&amp;'001-C DMR'!$FZ$10&amp;'001-C DMR'!$B24),('DMR 001C NEW'!$E$3:$E$7246&amp;'DMR 001C NEW'!$B$3:$B$7246&amp;'DMR 001C NEW'!$A$3:$A$7246),0),MATCH('001-C DMR'!$GB$11,'DMR 001C NEW'!$A$2:$O$2,0)),"")</f>
        <v>126</v>
      </c>
      <c r="GC24" s="56">
        <f t="shared" si="4"/>
        <v>116.40994855425168</v>
      </c>
      <c r="GD24" s="64" t="str">
        <f t="shared" si="38"/>
        <v/>
      </c>
      <c r="GE24" s="279" t="str">
        <f t="array" ref="GE24">_xlfn.IFNA(INDEX('DMR 001C NEW'!$A$3:$O$999,MATCH(('001-C DMR'!$FW$6&amp;'001-C DMR'!GE$10&amp;'001-C DMR'!$B24),('DMR 001C NEW'!$E$3:$E$1112&amp;'DMR 001C NEW'!$B$3:$B$1112&amp;'DMR 001C NEW'!$A$3:$A$1112),0),MATCH('001-C DMR'!$FY$11,'DMR 001C NEW'!$A$2:$O$2,0)),"")</f>
        <v/>
      </c>
      <c r="GF24" s="280" t="str">
        <f t="array" ref="GF24">_xlfn.IFNA(INDEX('DMR 001C NEW'!$A$3:$O$999,MATCH(('001-C DMR'!$FW$6&amp;'001-C DMR'!GF$10&amp;'001-C DMR'!$B24),('DMR 001C NEW'!$E$3:$E$1112&amp;'DMR 001C NEW'!$B$3:$B$1112&amp;'DMR 001C NEW'!$A$3:$A$1112),0),MATCH('001-C DMR'!$FY$11,'DMR 001C NEW'!$A$2:$O$2,0)),"")</f>
        <v/>
      </c>
      <c r="GG24" s="280" t="str">
        <f t="array" ref="GG24">_xlfn.IFNA(INDEX('DMR 001C NEW'!$A$3:$O$999,MATCH(('001-C DMR'!$FW$6&amp;'001-C DMR'!GG$10&amp;'001-C DMR'!$B24),('DMR 001C NEW'!$E$3:$E$1112&amp;'DMR 001C NEW'!$B$3:$B$1112&amp;'DMR 001C NEW'!$A$3:$A$1112),0),MATCH('001-C DMR'!$FY$11,'DMR 001C NEW'!$A$2:$O$2,0)),"")</f>
        <v/>
      </c>
      <c r="GH24" s="280" t="str">
        <f t="array" ref="GH24">_xlfn.IFNA(INDEX('DMR 001C NEW'!$A$3:$O$999,MATCH(('001-C DMR'!$FW$6&amp;'001-C DMR'!GH$10&amp;'001-C DMR'!$B24),('DMR 001C NEW'!$E$3:$E$1112&amp;'DMR 001C NEW'!$B$3:$B$1112&amp;'DMR 001C NEW'!$A$3:$A$1112),0),MATCH('001-C DMR'!$FY$11,'DMR 001C NEW'!$A$2:$O$2,0)),"")</f>
        <v/>
      </c>
      <c r="GI24" s="280" t="str">
        <f t="array" ref="GI24">_xlfn.IFNA(INDEX('DMR 001C NEW'!$A$3:$O$999,MATCH(('001-C DMR'!$FW$6&amp;'001-C DMR'!GI$10&amp;'001-C DMR'!$B24),('DMR 001C NEW'!$E$3:$E$1112&amp;'DMR 001C NEW'!$B$3:$B$1112&amp;'DMR 001C NEW'!$A$3:$A$1112),0),MATCH('001-C DMR'!$FY$11,'DMR 001C NEW'!$A$2:$O$2,0)),"")</f>
        <v/>
      </c>
      <c r="GJ24" s="281" t="str">
        <f t="array" ref="GJ24">_xlfn.IFNA(INDEX('DMR 001C NEW'!$A$3:$O$999,MATCH(('001-C DMR'!$FW$6&amp;'001-C DMR'!GJ$10&amp;'001-C DMR'!$B24),('DMR 001C NEW'!$E$3:$E$1112&amp;'DMR 001C NEW'!$B$3:$B$1112&amp;'DMR 001C NEW'!$A$3:$A$1112),0),MATCH('001-C DMR'!$FY$11,'DMR 001C NEW'!$A$2:$O$2,0)),"")</f>
        <v/>
      </c>
      <c r="GK24" s="58" t="str">
        <f t="array" ref="GK24">_xlfn.IFNA(INDEX('DMR 001C NEW'!$A$3:$O$9999,MATCH(('001-C DMR'!$GK$6&amp;'001-C DMR'!$GK$10&amp;'001-C DMR'!$B24),('DMR 001C NEW'!$E$3:$E$9018&amp;'DMR 001C NEW'!$B$3:$B$9018&amp;'DMR 001C NEW'!$A$3:$A$9018),0),MATCH('001-C DMR'!$GK$11,'DMR 001C NEW'!$A$2:$O$2,0)),"")</f>
        <v>n</v>
      </c>
      <c r="GL24" s="58" t="str">
        <f t="array" ref="GL24">_xlfn.IFNA(INDEX('DMR 001C NEW'!$A$3:$O$9999,MATCH(('001-C DMR'!$GK$6&amp;'001-C DMR'!$GL$10&amp;'001-C DMR'!$B24),('DMR 001C NEW'!$E$3:$E$9018&amp;'DMR 001C NEW'!$B$3:$B$9018&amp;'DMR 001C NEW'!$A$3:$A$9018),0),MATCH('001-C DMR'!$GK$11,'DMR 001C NEW'!$A$2:$O$2,0)),"")</f>
        <v>n</v>
      </c>
      <c r="GM24" s="134"/>
      <c r="GN24" s="64" t="str">
        <f t="shared" si="44"/>
        <v/>
      </c>
    </row>
    <row r="25" spans="1:282" s="51" customFormat="1" x14ac:dyDescent="0.25">
      <c r="A25" s="67" t="str">
        <f t="shared" si="5"/>
        <v>Sat</v>
      </c>
      <c r="B25" s="216">
        <f t="shared" si="26"/>
        <v>43687</v>
      </c>
      <c r="C25" s="93">
        <f t="array" ref="C25">INDEX('DMR 001C NEW'!$A$3:$N$10020,MATCH(('001-C DMR'!$C$6:$K$6&amp;'001-C DMR'!$C$10:$E$10&amp;'001-C DMR'!$B25),('DMR 001C NEW'!$E$3:$E$7246&amp;'DMR 001C NEW'!$B$3:$B$7246&amp;'DMR 001C NEW'!$A$3:$A$7246),0),MATCH('001-C DMR'!$C$11,'DMR 001C NEW'!$A$2:$O$2,0))</f>
        <v>5.8</v>
      </c>
      <c r="D25" s="56" t="str">
        <f t="array" ref="D25">INDEX('DMR 001C NEW'!$A$3:$N$11771,MATCH(('001-C DMR'!$C$6:$K$6&amp;'001-C DMR'!$C$10:$E$10&amp;'001-C DMR'!$B25),('DMR 001C NEW'!$E$3:$E$9018&amp;'DMR 001C NEW'!$B$3:$B$9018&amp;'DMR 001C NEW'!$A$3:$A$9018),0),MATCH('001-C DMR'!$D$11,'DMR 001C NEW'!$A$2:$O$2,0))</f>
        <v>AE68891</v>
      </c>
      <c r="E25" s="56">
        <f t="array" ref="E25">INDEX('DMR 001C NEW'!$A$3:$N$9999,MATCH(('001-C DMR'!$E$11&amp;'001-C DMR'!$C$10:$E$10&amp;'001-C DMR'!$B25&amp;$D25),('DMR 001C NEW'!$E$3:$E$7246&amp;'DMR 001C NEW'!$B$3:$B$7246&amp;'DMR 001C NEW'!$A$3:$A$7246&amp;'DMR 001C NEW'!$M$3:$M$7188),0),MATCH($C$11,'DMR 001C NEW'!$A$2:$O$2,0))</f>
        <v>61.66</v>
      </c>
      <c r="F25" s="56">
        <f t="array" ref="F25">INDEX('DMR 001C NEW'!$A$3:$N$9999,MATCH('001-C DMR'!$C$6:$K$6&amp;'001-C DMR'!$F$10&amp;'001-C DMR'!$B25,('DMR 001C NEW'!$E$3:$E$7246&amp;'DMR 001C NEW'!$B$3:$B$7246&amp;'DMR 001C NEW'!$A$3:$A$7246),0),MATCH('001-C DMR'!$C$11,'DMR 001C NEW'!$A$2:$O$2,0))</f>
        <v>6.5</v>
      </c>
      <c r="G25" s="56" t="str">
        <f t="array" ref="G25">INDEX('DMR 001C NEW'!$A$3:$N$3865,MATCH(('001-C DMR'!$C$6:$K$6&amp;'001-C DMR'!$F$10&amp;'001-C DMR'!$B25),('DMR 001C NEW'!$E$3:$E$1112&amp;'DMR 001C NEW'!$B$3:$B$1112&amp;'DMR 001C NEW'!$A$3:$A$1112),0),MATCH('001-C DMR'!$D$11,'DMR 001C NEW'!$A$2:$O$2,0))</f>
        <v>AE68892</v>
      </c>
      <c r="H25" s="56">
        <f t="array" ref="H25">INDEX('DMR 001C NEW'!$A$3:$N$9999,MATCH(('001-C DMR'!$E$11&amp;'001-C DMR'!$F$10&amp;'001-C DMR'!$B25&amp;$G25),('DMR 001C NEW'!$E$3:$E$7246&amp;'DMR 001C NEW'!$B$3:$B$7246&amp;'DMR 001C NEW'!$A$3:$A$7246&amp;'DMR 001C NEW'!$M$3:$M$7188),0),MATCH($C$11,'DMR 001C NEW'!$A$2:$O$2,0))</f>
        <v>80.81</v>
      </c>
      <c r="I25" s="56">
        <f t="shared" si="0"/>
        <v>6.1970449919281254</v>
      </c>
      <c r="J25" s="58">
        <f t="shared" si="39"/>
        <v>6.1824812241034532</v>
      </c>
      <c r="K25" s="64">
        <f t="shared" si="40"/>
        <v>7</v>
      </c>
      <c r="L25" s="262" t="str">
        <f t="array" ref="L25">_xlfn.IFNA(INDEX('DMR 001C NEW'!$A$3:$N$3865,MATCH(('001-C DMR'!$C$6:$K$6&amp;'001-C DMR'!L$10&amp;'001-C DMR'!$B25),('DMR 001C NEW'!$E$3:$E$1112&amp;'DMR 001C NEW'!$B$3:$B$1112&amp;'DMR 001C NEW'!$A$3:$A$1112),0),MATCH('001-C DMR'!$C$11,'DMR 001C NEW'!$A$2:$O$2,0)),"")</f>
        <v/>
      </c>
      <c r="M25" s="262" t="str">
        <f t="array" ref="M25">_xlfn.IFNA(INDEX('DMR 001C NEW'!$A$3:$N$3865,MATCH(('001-C DMR'!$C$6:$K$6&amp;'001-C DMR'!M$10&amp;'001-C DMR'!$B25),('DMR 001C NEW'!$E$3:$E$1112&amp;'DMR 001C NEW'!$B$3:$B$1112&amp;'DMR 001C NEW'!$A$3:$A$1112),0),MATCH('001-C DMR'!$C$11,'DMR 001C NEW'!$A$2:$O$2,0)),"")</f>
        <v/>
      </c>
      <c r="N25" s="262" t="str">
        <f t="array" ref="N25">_xlfn.IFNA(INDEX('DMR 001C NEW'!$A$3:$N$3865,MATCH(('001-C DMR'!$C$6:$K$6&amp;'001-C DMR'!N$10&amp;'001-C DMR'!$B25),('DMR 001C NEW'!$E$3:$E$1112&amp;'DMR 001C NEW'!$B$3:$B$1112&amp;'DMR 001C NEW'!$A$3:$A$1112),0),MATCH('001-C DMR'!$C$11,'DMR 001C NEW'!$A$2:$O$2,0)),"")</f>
        <v/>
      </c>
      <c r="O25" s="262" t="str">
        <f t="array" ref="O25">_xlfn.IFNA(INDEX('DMR 001C NEW'!$A$3:$N$3865,MATCH(('001-C DMR'!$C$6:$K$6&amp;'001-C DMR'!O$10&amp;'001-C DMR'!$B25),('DMR 001C NEW'!$E$3:$E$1112&amp;'DMR 001C NEW'!$B$3:$B$1112&amp;'DMR 001C NEW'!$A$3:$A$1112),0),MATCH('001-C DMR'!$C$11,'DMR 001C NEW'!$A$2:$O$2,0)),"")</f>
        <v/>
      </c>
      <c r="P25" s="262" t="str">
        <f t="array" ref="P25">_xlfn.IFNA(INDEX('DMR 001C NEW'!$A$3:$N$3865,MATCH(('001-C DMR'!$C$6:$K$6&amp;'001-C DMR'!P$10&amp;'001-C DMR'!$B25),('DMR 001C NEW'!$E$3:$E$1112&amp;'DMR 001C NEW'!$B$3:$B$1112&amp;'DMR 001C NEW'!$A$3:$A$1112),0),MATCH('001-C DMR'!$C$11,'DMR 001C NEW'!$A$2:$O$2,0)),"")</f>
        <v/>
      </c>
      <c r="Q25" s="120" t="e">
        <f t="array" ref="Q25">INDEX('DMR 001C NEW'!$A$3:$N$3865,MATCH(('001-C DMR'!$C$6:$K$6&amp;'001-C DMR'!Q$10&amp;'001-C DMR'!$B25),('DMR 001C NEW'!$E$3:$E$1112&amp;'DMR 001C NEW'!$B$3:$B$1112&amp;'DMR 001C NEW'!$A$3:$A$1112),0),MATCH('001-C DMR'!$C$11,'DMR 001C NEW'!$A$2:$O$2,0))</f>
        <v>#N/A</v>
      </c>
      <c r="R25" s="61"/>
      <c r="S25" s="56">
        <f t="array" ref="S25">_xlfn.IFNA(INDEX('DMR 001C NEW'!$A$3:$N$11771,MATCH(('001-C DMR'!$R$6:$T$6&amp;'001-C DMR'!$R$10&amp;'001-C DMR'!$B25),('DMR 001C NEW'!$E$3:$E$9018&amp;'DMR 001C NEW'!$B$3:$B$9018&amp;'DMR 001C NEW'!$A$3:$A$9018),0),MATCH('001-C DMR'!$S$11,'DMR 001C NEW'!$A$2:$O$2,0)),"")</f>
        <v>7</v>
      </c>
      <c r="T25" s="64">
        <f t="shared" si="41"/>
        <v>7</v>
      </c>
      <c r="U25" s="262" t="str">
        <f t="array" ref="U25">_xlfn.IFNA(INDEX('DMR 001C NEW'!$A$3:$O$591,MATCH('001-C DMR'!$R$6:$T$6&amp;'001-C DMR'!U$10&amp;'001-C DMR'!$B25,('DMR 001C NEW'!$E$3:$E$704&amp;'DMR 001C NEW'!$B$3:$B$704&amp;'DMR 001C NEW'!$A$3:$A$704),0),MATCH('001-C DMR'!$U$11,'DMR 001C NEW'!$A$2:$O$2,0)),"")</f>
        <v/>
      </c>
      <c r="V25" s="262" t="str">
        <f t="array" ref="V25">_xlfn.IFNA(INDEX('DMR 001C NEW'!$A$3:$O$591,MATCH('001-C DMR'!$R$6:$T$6&amp;'001-C DMR'!V$10&amp;'001-C DMR'!$B25,('DMR 001C NEW'!$E$3:$E$704&amp;'DMR 001C NEW'!$B$3:$B$704&amp;'DMR 001C NEW'!$A$3:$A$704),0),MATCH('001-C DMR'!$U$11,'DMR 001C NEW'!$A$2:$O$2,0)),"")</f>
        <v/>
      </c>
      <c r="W25" s="262" t="str">
        <f t="array" ref="W25">_xlfn.IFNA(INDEX('DMR 001C NEW'!$A$3:$O$591,MATCH('001-C DMR'!$R$6:$T$6&amp;'001-C DMR'!W$10&amp;'001-C DMR'!$B25,('DMR 001C NEW'!$E$3:$E$704&amp;'DMR 001C NEW'!$B$3:$B$704&amp;'DMR 001C NEW'!$A$3:$A$704),0),MATCH('001-C DMR'!$U$11,'DMR 001C NEW'!$A$2:$O$2,0)),"")</f>
        <v/>
      </c>
      <c r="X25" s="262" t="str">
        <f t="array" ref="X25">_xlfn.IFNA(INDEX('DMR 001C NEW'!$A$3:$O$591,MATCH('001-C DMR'!$R$6:$T$6&amp;'001-C DMR'!X$10&amp;'001-C DMR'!$B25,('DMR 001C NEW'!$E$3:$E$704&amp;'DMR 001C NEW'!$B$3:$B$704&amp;'DMR 001C NEW'!$A$3:$A$704),0),MATCH('001-C DMR'!$U$11,'DMR 001C NEW'!$A$2:$O$2,0)),"")</f>
        <v/>
      </c>
      <c r="Y25" s="262" t="str">
        <f t="array" ref="Y25">_xlfn.IFNA(INDEX('DMR 001C NEW'!$A$3:$O$591,MATCH('001-C DMR'!$R$6:$T$6&amp;'001-C DMR'!Y$10&amp;'001-C DMR'!$B25,('DMR 001C NEW'!$E$3:$E$704&amp;'DMR 001C NEW'!$B$3:$B$704&amp;'DMR 001C NEW'!$A$3:$A$704),0),MATCH('001-C DMR'!$U$11,'DMR 001C NEW'!$A$2:$O$2,0)),"")</f>
        <v/>
      </c>
      <c r="Z25" s="262" t="str">
        <f t="array" ref="Z25">_xlfn.IFNA(INDEX('DMR 001C NEW'!$A$3:$O$591,MATCH('001-C DMR'!$R$6:$T$6&amp;'001-C DMR'!Z$10&amp;'001-C DMR'!$B25,('DMR 001C NEW'!$E$3:$E$704&amp;'DMR 001C NEW'!$B$3:$B$704&amp;'DMR 001C NEW'!$A$3:$A$704),0),MATCH('001-C DMR'!$U$11,'DMR 001C NEW'!$A$2:$O$2,0)),"")</f>
        <v/>
      </c>
      <c r="AA25" s="262" t="str">
        <f t="array" ref="AA25">_xlfn.IFNA(INDEX('DMR 001C NEW'!$A$3:$O$591,MATCH('001-C DMR'!$R$6:$T$6&amp;'001-C DMR'!AA$10&amp;'001-C DMR'!$B25,('DMR 001C NEW'!$E$3:$E$704&amp;'DMR 001C NEW'!$B$3:$B$704&amp;'DMR 001C NEW'!$A$3:$A$704),0),MATCH('001-C DMR'!$U$11,'DMR 001C NEW'!$A$2:$O$2,0)),"")</f>
        <v/>
      </c>
      <c r="AB25" s="61" t="str">
        <f t="array" ref="AB25">IF(AD25&lt;AC25,"&lt;","")</f>
        <v/>
      </c>
      <c r="AC25" s="56">
        <f t="array" ref="AC25">_xlfn.IFNA(INDEX('DMR 001C NEW'!$A$3:$O$9999,MATCH(('001-C DMR'!$AB$6:$AJ$6&amp;'001-C DMR'!$AB$10:$AD$10&amp;'001-C DMR'!$B25),('DMR 001C NEW'!$E$3:$E$7246&amp;'DMR 001C NEW'!$B$3:$B$7246&amp;'DMR 001C NEW'!$A$3:$A$7246),0),MATCH('001-C DMR'!$AC$11,'DMR 001C NEW'!$A$2:$O$2,0)),"")</f>
        <v>3</v>
      </c>
      <c r="AD25" s="56">
        <f t="array" ref="AD25">_xlfn.IFNA(INDEX('DMR 001C NEW'!$A$3:$O$9999,MATCH(('001-C DMR'!$AB$6:$AJ$6&amp;'001-C DMR'!$AB$10:$AD$10&amp;'001-C DMR'!$B25),('DMR 001C NEW'!$E$3:$E$7246&amp;'DMR 001C NEW'!$B$3:$B$7246&amp;'DMR 001C NEW'!$A$3:$A$7246),0),MATCH('001-C DMR'!$AD$11,'DMR 001C NEW'!$A$2:$O$2,0)),"")</f>
        <v>12</v>
      </c>
      <c r="AE25" s="57" t="str">
        <f t="array" ref="AE25">IF(AG25&lt;AF25,"&lt;","")</f>
        <v/>
      </c>
      <c r="AF25" s="56">
        <f t="array" ref="AF25">_xlfn.IFNA(INDEX('DMR 001C NEW'!$A$3:$O$9999,MATCH(('001-C DMR'!$AB$6:$AJ$6&amp;'001-C DMR'!$AE$10&amp;'001-C DMR'!$B25),('DMR 001C NEW'!$E$3:$E$9018&amp;'DMR 001C NEW'!$B$3:$B$9018&amp;'DMR 001C NEW'!$A$3:$A$9018),0),MATCH('001-C DMR'!$AF$11,'DMR 001C NEW'!$A$2:$O$2,0)),"")</f>
        <v>3</v>
      </c>
      <c r="AG25" s="56">
        <f t="array" ref="AG25">_xlfn.IFNA(INDEX('DMR 001C NEW'!$A$3:$O$9999,MATCH(('001-C DMR'!$AB$6:$AJ$6&amp;'001-C DMR'!$AE$10&amp;'001-C DMR'!$B25),('DMR 001C NEW'!$E$3:$E$9018&amp;'DMR 001C NEW'!$B$3:$B$9018&amp;'DMR 001C NEW'!$A$3:$A$9018),0),MATCH('001-C DMR'!$AG$11,'DMR 001C NEW'!$A$2:$O$2,0)),"")</f>
        <v>9</v>
      </c>
      <c r="AH25" s="56">
        <f t="array" ref="AH25">IFERROR((($AD25*$EI25)+($AG25*$EJ25))/($EK25),"")</f>
        <v>10.259304229733418</v>
      </c>
      <c r="AI25" s="56">
        <f t="shared" si="42"/>
        <v>11.128464342424184</v>
      </c>
      <c r="AJ25" s="64">
        <f t="shared" si="30"/>
        <v>7</v>
      </c>
      <c r="AK25" s="262" t="str">
        <f t="array" ref="AK25">_xlfn.IFNA(INDEX('DMR 001C NEW'!$A$3:$O$999,MATCH(('001-C DMR'!$AB$6:$AJ$6&amp;'001-C DMR'!AK$10&amp;'001-C DMR'!$B25),('DMR 001C NEW'!$E$3:$E$1112&amp;'DMR 001C NEW'!$B$3:$B$1112&amp;'DMR 001C NEW'!$A$3:$A$1112),0),MATCH('001-C DMR'!$AD$11,'DMR 001C NEW'!$A$2:$O$2,0)),"")</f>
        <v/>
      </c>
      <c r="AL25" s="262" t="str">
        <f t="array" ref="AL25">_xlfn.IFNA(INDEX('DMR 001C NEW'!$A$3:$O$999,MATCH(('001-C DMR'!$AB$6:$AJ$6&amp;'001-C DMR'!AL$10&amp;'001-C DMR'!$B25),('DMR 001C NEW'!$E$3:$E$1112&amp;'DMR 001C NEW'!$B$3:$B$1112&amp;'DMR 001C NEW'!$A$3:$A$1112),0),MATCH('001-C DMR'!$AD$11,'DMR 001C NEW'!$A$2:$O$2,0)),"")</f>
        <v/>
      </c>
      <c r="AM25" s="262" t="str">
        <f t="array" ref="AM25">_xlfn.IFNA(INDEX('DMR 001C NEW'!$A$3:$O$999,MATCH(('001-C DMR'!$AB$6:$AJ$6&amp;'001-C DMR'!AM$10&amp;'001-C DMR'!$B25),('DMR 001C NEW'!$E$3:$E$1112&amp;'DMR 001C NEW'!$B$3:$B$1112&amp;'DMR 001C NEW'!$A$3:$A$1112),0),MATCH('001-C DMR'!$AD$11,'DMR 001C NEW'!$A$2:$O$2,0)),"")</f>
        <v/>
      </c>
      <c r="AN25" s="262" t="str">
        <f t="array" ref="AN25">_xlfn.IFNA(INDEX('DMR 001C NEW'!$A$3:$O$999,MATCH(('001-C DMR'!$AB$6:$AJ$6&amp;'001-C DMR'!AN$10&amp;'001-C DMR'!$B25),('DMR 001C NEW'!$E$3:$E$1112&amp;'DMR 001C NEW'!$B$3:$B$1112&amp;'DMR 001C NEW'!$A$3:$A$1112),0),MATCH('001-C DMR'!$AD$11,'DMR 001C NEW'!$A$2:$O$2,0)),"")</f>
        <v/>
      </c>
      <c r="AO25" s="262" t="str">
        <f t="array" ref="AO25">_xlfn.IFNA(INDEX('DMR 001C NEW'!$A$3:$O$999,MATCH(('001-C DMR'!$AB$6:$AJ$6&amp;'001-C DMR'!AO$10&amp;'001-C DMR'!$B25),('DMR 001C NEW'!$E$3:$E$1112&amp;'DMR 001C NEW'!$B$3:$B$1112&amp;'DMR 001C NEW'!$A$3:$A$1112),0),MATCH('001-C DMR'!$AD$11,'DMR 001C NEW'!$A$2:$O$2,0)),"")</f>
        <v/>
      </c>
      <c r="AP25" s="262" t="str">
        <f t="array" ref="AP25">_xlfn.IFNA(INDEX('DMR 001C NEW'!$A$3:$O$999,MATCH(('001-C DMR'!$AB$6:$AJ$6&amp;'001-C DMR'!AP$10&amp;'001-C DMR'!$B25),('DMR 001C NEW'!$E$3:$E$1112&amp;'DMR 001C NEW'!$B$3:$B$1112&amp;'DMR 001C NEW'!$A$3:$A$1112),0),MATCH('001-C DMR'!$AD$11,'DMR 001C NEW'!$A$2:$O$2,0)),"")</f>
        <v/>
      </c>
      <c r="AQ25" s="61" t="str">
        <f t="array" ref="AQ25">IF(AS25&lt;AR25,"&lt;","")</f>
        <v/>
      </c>
      <c r="AR25" s="58" t="str">
        <f t="array" ref="AR25">_xlfn.IFNA((INDEX('DMR 001C NEW'!$A$3:$O$9999,MATCH(('001-C DMR'!$AQ$6:$AZ$6&amp;'001-C DMR'!$AQ$10:$AS$10&amp;'001-C DMR'!$B25),('DMR 001C NEW'!$E$3:$E$7246&amp;'DMR 001C NEW'!$B$3:$B$7246&amp;'DMR 001C NEW'!$A$3:$A$7246),0),MATCH('001-C DMR'!$AR$11,'DMR 001C NEW'!$A$2:$O$2,0))),"")</f>
        <v/>
      </c>
      <c r="AS25" s="58" t="str">
        <f t="array" ref="AS25">_xlfn.IFNA(INDEX('DMR 001C NEW'!$A$3:$O$9999,MATCH(('001-C DMR'!$AQ$6:$AZ$6&amp;'001-C DMR'!$AQ$10:$AS$10&amp;'001-C DMR'!$B25),('DMR 001C NEW'!$E$3:$E$7246&amp;'DMR 001C NEW'!$B$3:$B$7246&amp;'DMR 001C NEW'!$A$3:$A$7246),0),MATCH('001-C DMR'!$AS$11,'DMR 001C NEW'!$A$2:$O$2,0)),"")</f>
        <v/>
      </c>
      <c r="AT25" s="58" t="str">
        <f t="shared" si="27"/>
        <v/>
      </c>
      <c r="AU25" s="57" t="str">
        <f t="array" ref="AU25">IF(AW25&lt;AV25,"&lt;","")</f>
        <v/>
      </c>
      <c r="AV25" s="58" t="str">
        <f t="array" ref="AV25">_xlfn.IFNA((INDEX('DMR 001C NEW'!$A$3:$O$9999,MATCH(('001-C DMR'!$AQ$6:$AZ$6&amp;'001-C DMR'!$AU$10&amp;'001-C DMR'!$B25),('DMR 001C NEW'!$E$3:$E$7246&amp;'DMR 001C NEW'!$B$3:$B$7246&amp;'DMR 001C NEW'!$A$3:$A$7246),0),MATCH('001-C DMR'!$AR$11,'DMR 001C NEW'!$A$2:$O$2,0))),"")</f>
        <v/>
      </c>
      <c r="AW25" s="58" t="str">
        <f t="array" ref="AW25">_xlfn.IFNA(INDEX('DMR 001C NEW'!$A$3:$O$9999,MATCH(('001-C DMR'!$AQ$6:$AZ$6&amp;'001-C DMR'!$AU$10&amp;'001-C DMR'!$B25),('DMR 001C NEW'!$E$3:$E$7246&amp;'DMR 001C NEW'!$B$3:$B$7246&amp;'DMR 001C NEW'!$A$3:$A$7246),0),MATCH('001-C DMR'!$AW$11,'DMR 001C NEW'!$A$2:$O$2,0)),"")</f>
        <v/>
      </c>
      <c r="AX25" s="58" t="str">
        <f t="shared" si="6"/>
        <v/>
      </c>
      <c r="AY25" s="56" t="str">
        <f t="array" ref="AY25">IFERROR((($AT25*$EI25)+($AX25*$EJ25))/($EK25),"")</f>
        <v/>
      </c>
      <c r="AZ25" s="64">
        <f t="shared" si="31"/>
        <v>3</v>
      </c>
      <c r="BA25" s="279" t="str">
        <f t="array" ref="BA25">_xlfn.IFNA(INDEX('DMR 001C NEW'!$A$3:$O$9999,MATCH(('001-C DMR'!$AQ$6:$AZ$6&amp;'001-C DMR'!BA$10&amp;'001-C DMR'!$B25),('DMR 001C NEW'!$E$3:$E$1112&amp;'DMR 001C NEW'!$B$3:$B$1112&amp;'DMR 001C NEW'!$A$3:$A$1112),0),MATCH('001-C DMR'!$BA$11,'DMR 001C NEW'!$A$2:$O$2,0)),"")</f>
        <v/>
      </c>
      <c r="BB25" s="280" t="str">
        <f t="array" ref="BB25">_xlfn.IFNA(INDEX('DMR 001C NEW'!$A$3:$O$9999,MATCH(('001-C DMR'!$AQ$6:$AZ$6&amp;'001-C DMR'!BB$10&amp;'001-C DMR'!$B25),('DMR 001C NEW'!$E$3:$E$1112&amp;'DMR 001C NEW'!$B$3:$B$1112&amp;'DMR 001C NEW'!$A$3:$A$1112),0),MATCH('001-C DMR'!$BA$11,'DMR 001C NEW'!$A$2:$O$2,0)),"")</f>
        <v/>
      </c>
      <c r="BC25" s="280" t="str">
        <f t="array" ref="BC25">_xlfn.IFNA(INDEX('DMR 001C NEW'!$A$3:$O$9999,MATCH(('001-C DMR'!$AQ$6:$AZ$6&amp;'001-C DMR'!BC$10&amp;'001-C DMR'!$B25),('DMR 001C NEW'!$E$3:$E$1112&amp;'DMR 001C NEW'!$B$3:$B$1112&amp;'DMR 001C NEW'!$A$3:$A$1112),0),MATCH('001-C DMR'!$BA$11,'DMR 001C NEW'!$A$2:$O$2,0)),"")</f>
        <v/>
      </c>
      <c r="BD25" s="280" t="str">
        <f t="array" ref="BD25">_xlfn.IFNA(INDEX('DMR 001C NEW'!$A$3:$O$9999,MATCH(('001-C DMR'!$AQ$6:$AZ$6&amp;'001-C DMR'!BD$10&amp;'001-C DMR'!$B25),('DMR 001C NEW'!$E$3:$E$1112&amp;'DMR 001C NEW'!$B$3:$B$1112&amp;'DMR 001C NEW'!$A$3:$A$1112),0),MATCH('001-C DMR'!$BA$11,'DMR 001C NEW'!$A$2:$O$2,0)),"")</f>
        <v/>
      </c>
      <c r="BE25" s="280" t="str">
        <f t="array" ref="BE25">_xlfn.IFNA(INDEX('DMR 001C NEW'!$A$3:$O$9999,MATCH(('001-C DMR'!$AQ$6:$AZ$6&amp;'001-C DMR'!BE$10&amp;'001-C DMR'!$B25),('DMR 001C NEW'!$E$3:$E$1112&amp;'DMR 001C NEW'!$B$3:$B$1112&amp;'DMR 001C NEW'!$A$3:$A$1112),0),MATCH('001-C DMR'!$BA$11,'DMR 001C NEW'!$A$2:$O$2,0)),"")</f>
        <v/>
      </c>
      <c r="BF25" s="281" t="str">
        <f t="array" ref="BF25">_xlfn.IFNA(INDEX('DMR 001C NEW'!$A$3:$O$9999,MATCH(('001-C DMR'!$AQ$6:$AZ$6&amp;'001-C DMR'!BF$10&amp;'001-C DMR'!$B25),('DMR 001C NEW'!$E$3:$E$1112&amp;'DMR 001C NEW'!$B$3:$B$1112&amp;'DMR 001C NEW'!$A$3:$A$1112),0),MATCH('001-C DMR'!$BA$11,'DMR 001C NEW'!$A$2:$O$2,0)),"")</f>
        <v/>
      </c>
      <c r="BG25" s="57"/>
      <c r="BH25" s="58" t="str">
        <f t="array" ref="BH25">_xlfn.IFNA((INDEX('DMR 001C NEW'!$A$3:$O$9999,MATCH(('001-C DMR'!$BG$6&amp;'001-C DMR'!$BG$10&amp;'001-C DMR'!$B25),('DMR 001C NEW'!$E$3:$E$7246&amp;'DMR 001C NEW'!$B$3:$B$7246&amp;'DMR 001C NEW'!$A$3:$A$7246),0),MATCH('001-C DMR'!$BH$11,'DMR 001C NEW'!$A$2:$O$2,0))),"")</f>
        <v/>
      </c>
      <c r="BI25" s="58" t="str">
        <f t="array" ref="BI25">_xlfn.IFNA(INDEX('DMR 001C NEW'!$A$3:$O$9999,MATCH(('001-C DMR'!$BG$6&amp;'001-C DMR'!$BG$10&amp;'001-C DMR'!$B25),('DMR 001C NEW'!$E$3:$E$7246&amp;'DMR 001C NEW'!$B$3:$B$7246&amp;'DMR 001C NEW'!$A$3:$A$7246),0),MATCH('001-C DMR'!$BI$11,'DMR 001C NEW'!$A$2:$O$2,0)),"")</f>
        <v/>
      </c>
      <c r="BJ25" s="58" t="str">
        <f t="shared" si="7"/>
        <v/>
      </c>
      <c r="BK25" s="57" t="str">
        <f t="shared" si="8"/>
        <v/>
      </c>
      <c r="BL25" s="58" t="str">
        <f t="array" ref="BL25">_xlfn.IFNA((INDEX('DMR 001C NEW'!$A$3:$O$9999,MATCH(('001-C DMR'!$BG$6&amp;'001-C DMR'!$BK$10&amp;'001-C DMR'!$B25),('DMR 001C NEW'!$E$3:$E$7246&amp;'DMR 001C NEW'!$B$3:$B$7246&amp;'DMR 001C NEW'!$A$3:$A$7246),0),MATCH('001-C DMR'!$BH$11,'DMR 001C NEW'!$A$2:$O$2,0))),"")</f>
        <v/>
      </c>
      <c r="BM25" s="58" t="str">
        <f t="array" ref="BM25">_xlfn.IFNA(INDEX('DMR 001C NEW'!$A$3:$O$9999,MATCH(('001-C DMR'!$BG$6&amp;'001-C DMR'!$BK$10&amp;'001-C DMR'!$B25),('DMR 001C NEW'!$E$3:$E$7246&amp;'DMR 001C NEW'!$B$3:$B$7246&amp;'DMR 001C NEW'!$A$3:$A$7246),0),MATCH('001-C DMR'!$BI$11,'DMR 001C NEW'!$A$2:$O$2,0)),"")</f>
        <v/>
      </c>
      <c r="BN25" s="58" t="str">
        <f t="shared" si="9"/>
        <v/>
      </c>
      <c r="BO25" s="56" t="str">
        <f t="array" ref="BO25">IFERROR((($BJ25*$EI25)+($BN25*$EJ25))/($EK25),"")</f>
        <v/>
      </c>
      <c r="BP25" s="64">
        <f t="shared" si="32"/>
        <v>3</v>
      </c>
      <c r="BQ25" s="280" t="str">
        <f t="array" ref="BQ25">_xlfn.IFNA(INDEX('DMR 001C NEW'!$A$3:$O$999,MATCH(('001-C DMR'!$BG$6&amp;'001-C DMR'!BQ$10&amp;'001-C DMR'!$B25),('DMR 001C NEW'!$E$3:$E$1112&amp;'DMR 001C NEW'!$B$3:$B$1112&amp;'DMR 001C NEW'!$A$3:$A$1112),0),MATCH('001-C DMR'!$BQ$11,'DMR 001C NEW'!$A$2:$O$2,0)),"")</f>
        <v/>
      </c>
      <c r="BR25" s="280" t="str">
        <f t="array" ref="BR25">_xlfn.IFNA(INDEX('DMR 001C NEW'!$A$3:$O$999,MATCH(('001-C DMR'!$BG$6&amp;'001-C DMR'!BR$10&amp;'001-C DMR'!$B25),('DMR 001C NEW'!$E$3:$E$1112&amp;'DMR 001C NEW'!$B$3:$B$1112&amp;'DMR 001C NEW'!$A$3:$A$1112),0),MATCH('001-C DMR'!$BQ$11,'DMR 001C NEW'!$A$2:$O$2,0)),"")</f>
        <v/>
      </c>
      <c r="BS25" s="280" t="str">
        <f t="array" ref="BS25">_xlfn.IFNA(INDEX('DMR 001C NEW'!$A$3:$O$999,MATCH(('001-C DMR'!$BG$6&amp;'001-C DMR'!BS$10&amp;'001-C DMR'!$B25),('DMR 001C NEW'!$E$3:$E$1112&amp;'DMR 001C NEW'!$B$3:$B$1112&amp;'DMR 001C NEW'!$A$3:$A$1112),0),MATCH('001-C DMR'!$BQ$11,'DMR 001C NEW'!$A$2:$O$2,0)),"")</f>
        <v/>
      </c>
      <c r="BT25" s="280" t="str">
        <f t="array" ref="BT25">_xlfn.IFNA(INDEX('DMR 001C NEW'!$A$3:$O$999,MATCH(('001-C DMR'!$BG$6&amp;'001-C DMR'!BT$10&amp;'001-C DMR'!$B25),('DMR 001C NEW'!$E$3:$E$1112&amp;'DMR 001C NEW'!$B$3:$B$1112&amp;'DMR 001C NEW'!$A$3:$A$1112),0),MATCH('001-C DMR'!$BQ$11,'DMR 001C NEW'!$A$2:$O$2,0)),"")</f>
        <v/>
      </c>
      <c r="BU25" s="280" t="str">
        <f t="array" ref="BU25">_xlfn.IFNA(INDEX('DMR 001C NEW'!$A$3:$O$999,MATCH(('001-C DMR'!$BG$6&amp;'001-C DMR'!BU$10&amp;'001-C DMR'!$B25),('DMR 001C NEW'!$E$3:$E$1112&amp;'DMR 001C NEW'!$B$3:$B$1112&amp;'DMR 001C NEW'!$A$3:$A$1112),0),MATCH('001-C DMR'!$BQ$11,'DMR 001C NEW'!$A$2:$O$2,0)),"")</f>
        <v/>
      </c>
      <c r="BV25" s="280" t="str">
        <f t="array" ref="BV25">_xlfn.IFNA(INDEX('DMR 001C NEW'!$A$3:$O$999,MATCH(('001-C DMR'!$BG$6&amp;'001-C DMR'!BV$10&amp;'001-C DMR'!$B25),('DMR 001C NEW'!$E$3:$E$1112&amp;'DMR 001C NEW'!$B$3:$B$1112&amp;'DMR 001C NEW'!$A$3:$A$1112),0),MATCH('001-C DMR'!$BQ$11,'DMR 001C NEW'!$A$2:$O$2,0)),"")</f>
        <v/>
      </c>
      <c r="BW25" s="65"/>
      <c r="BX25" s="65"/>
      <c r="BY25" s="57" t="str">
        <f t="shared" si="10"/>
        <v/>
      </c>
      <c r="BZ25" s="58" t="str">
        <f t="array" ref="BZ25">_xlfn.IFNA((INDEX('DMR 001C NEW'!$A$3:$O$9999,MATCH(('001-C DMR'!$BY$6&amp;'001-C DMR'!$BY$10&amp;'001-C DMR'!$B25),('DMR 001C NEW'!$E$3:$E$7246&amp;'DMR 001C NEW'!$B$3:$B$7246&amp;'DMR 001C NEW'!$A$3:$A$7246),0),MATCH('001-C DMR'!$BZ$11,'DMR 001C NEW'!$A$2:$O$2,0))),"")</f>
        <v/>
      </c>
      <c r="CA25" s="138" t="str">
        <f t="array" ref="CA25">_xlfn.IFNA(INDEX('DMR 001C NEW'!$A$3:$O$9999,MATCH(('001-C DMR'!$BY$6&amp;'001-C DMR'!$BY$10&amp;'001-C DMR'!$B25),('DMR 001C NEW'!$E$3:$E$7246&amp;'DMR 001C NEW'!$B$3:$B$7246&amp;'DMR 001C NEW'!$A$3:$A$7246),0),MATCH('001-C DMR'!$CA$11,'DMR 001C NEW'!$A$2:$O$2,0)),"")</f>
        <v/>
      </c>
      <c r="CB25" s="57" t="str">
        <f t="shared" si="11"/>
        <v/>
      </c>
      <c r="CC25" s="58" t="str">
        <f t="array" ref="CC25">_xlfn.IFNA((INDEX('DMR 001C NEW'!$A$3:$O$9999,MATCH(('001-C DMR'!$BY$6&amp;'001-C DMR'!$CB$10&amp;'001-C DMR'!$B25),('DMR 001C NEW'!$E$3:$E$7246&amp;'DMR 001C NEW'!$B$3:$B$7246&amp;'DMR 001C NEW'!$A$3:$A$7246),0),MATCH('001-C DMR'!$BZ$11,'DMR 001C NEW'!$A$2:$O$2,0))),"")</f>
        <v/>
      </c>
      <c r="CD25" s="138" t="str">
        <f t="array" ref="CD25">_xlfn.IFNA(INDEX('DMR 001C NEW'!$A$3:$O$9999,MATCH(('001-C DMR'!$BY$6&amp;'001-C DMR'!$CB$10&amp;'001-C DMR'!$B25),('DMR 001C NEW'!$E$3:$E$7246&amp;'DMR 001C NEW'!$B$3:$B$7246&amp;'DMR 001C NEW'!$A$3:$A$7246),0),MATCH('001-C DMR'!$CA$11,'DMR 001C NEW'!$A$2:$O$2,0)),"")</f>
        <v/>
      </c>
      <c r="CE25" s="138" t="str">
        <f t="array" ref="CE25">IFERROR((($CA25*$EI25)+($CD25*$EJ25))/($EK25),"")</f>
        <v/>
      </c>
      <c r="CF25" s="64">
        <f t="shared" si="33"/>
        <v>1</v>
      </c>
      <c r="CG25" s="280" t="str">
        <f t="array" ref="CG25">_xlfn.IFNA(INDEX('DMR 001C NEW'!$A$3:$O$999,MATCH(('001-C DMR'!$BY$6&amp;'001-C DMR'!CG$10&amp;'001-C DMR'!$B25),('DMR 001C NEW'!$E$3:$E$1112&amp;'DMR 001C NEW'!$B$3:$B$1112&amp;'DMR 001C NEW'!$A$3:$A$1112),0),MATCH('001-C DMR'!$CA$11,'DMR 001C NEW'!$A$2:$O$2,0)),"")</f>
        <v/>
      </c>
      <c r="CH25" s="280" t="str">
        <f t="array" ref="CH25">_xlfn.IFNA(INDEX('DMR 001C NEW'!$A$3:$O$999,MATCH(('001-C DMR'!$BY$6&amp;'001-C DMR'!CH$10&amp;'001-C DMR'!$B25),('DMR 001C NEW'!$E$3:$E$1112&amp;'DMR 001C NEW'!$B$3:$B$1112&amp;'DMR 001C NEW'!$A$3:$A$1112),0),MATCH('001-C DMR'!$CA$11,'DMR 001C NEW'!$A$2:$O$2,0)),"")</f>
        <v/>
      </c>
      <c r="CI25" s="280" t="str">
        <f t="array" ref="CI25">_xlfn.IFNA(INDEX('DMR 001C NEW'!$A$3:$O$999,MATCH(('001-C DMR'!$BY$6&amp;'001-C DMR'!CI$10&amp;'001-C DMR'!$B25),('DMR 001C NEW'!$E$3:$E$1112&amp;'DMR 001C NEW'!$B$3:$B$1112&amp;'DMR 001C NEW'!$A$3:$A$1112),0),MATCH('001-C DMR'!$CA$11,'DMR 001C NEW'!$A$2:$O$2,0)),"")</f>
        <v/>
      </c>
      <c r="CJ25" s="280" t="str">
        <f t="array" ref="CJ25">_xlfn.IFNA(INDEX('DMR 001C NEW'!$A$3:$O$999,MATCH(('001-C DMR'!$BY$6&amp;'001-C DMR'!CJ$10&amp;'001-C DMR'!$B25),('DMR 001C NEW'!$E$3:$E$1112&amp;'DMR 001C NEW'!$B$3:$B$1112&amp;'DMR 001C NEW'!$A$3:$A$1112),0),MATCH('001-C DMR'!$CA$11,'DMR 001C NEW'!$A$2:$O$2,0)),"")</f>
        <v/>
      </c>
      <c r="CK25" s="280" t="str">
        <f t="array" ref="CK25">_xlfn.IFNA(INDEX('DMR 001C NEW'!$A$3:$O$999,MATCH(('001-C DMR'!$BY$6&amp;'001-C DMR'!CK$10&amp;'001-C DMR'!$B25),('DMR 001C NEW'!$E$3:$E$1112&amp;'DMR 001C NEW'!$B$3:$B$1112&amp;'DMR 001C NEW'!$A$3:$A$1112),0),MATCH('001-C DMR'!$CA$11,'DMR 001C NEW'!$A$2:$O$2,0)),"")</f>
        <v/>
      </c>
      <c r="CL25" s="280" t="str">
        <f t="array" ref="CL25">_xlfn.IFNA(INDEX('DMR 001C NEW'!$A$3:$O$999,MATCH(('001-C DMR'!$BY$6&amp;'001-C DMR'!CL$10&amp;'001-C DMR'!$B25),('DMR 001C NEW'!$E$3:$E$1112&amp;'DMR 001C NEW'!$B$3:$B$1112&amp;'DMR 001C NEW'!$A$3:$A$1112),0),MATCH('001-C DMR'!$CA$11,'DMR 001C NEW'!$A$2:$O$2,0)),"")</f>
        <v/>
      </c>
      <c r="CM25" s="61" t="str">
        <f t="shared" si="12"/>
        <v/>
      </c>
      <c r="CN25" s="138" t="str">
        <f t="array" ref="CN25">_xlfn.IFNA((INDEX('DMR 001C NEW'!$A$3:$O$9999,MATCH(('001-C DMR'!$CM$6&amp;'001-C DMR'!$CM$10&amp;'001-C DMR'!$B25),('DMR 001C NEW'!$E$3:$E$9018&amp;'DMR 001C NEW'!$B$3:$B$9018&amp;'DMR 001C NEW'!$A$3:$A$9018),0),MATCH('001-C DMR'!$CN$11,'DMR 001C NEW'!$A$2:$O$2,0))*1000),"")</f>
        <v/>
      </c>
      <c r="CO25" s="138" t="str">
        <f t="array" ref="CO25">_xlfn.IFNA(INDEX('DMR 001C NEW'!$A$3:$O$9999,MATCH(('001-C DMR'!$CM$6&amp;'001-C DMR'!$CM$10&amp;'001-C DMR'!$B25),('DMR 001C NEW'!$E$3:$E$9018&amp;'DMR 001C NEW'!$B$3:$B$9018&amp;'DMR 001C NEW'!$A$3:$A$9018),0),MATCH('001-C DMR'!$CO$11,'DMR 001C NEW'!$A$2:$O$2,0))*1000,"")</f>
        <v/>
      </c>
      <c r="CP25" s="138" t="str">
        <f t="shared" si="13"/>
        <v/>
      </c>
      <c r="CQ25" s="64">
        <f t="shared" si="34"/>
        <v>1</v>
      </c>
      <c r="CR25" s="280" t="str">
        <f t="array" ref="CR25">_xlfn.IFNA(INDEX('DMR 001C NEW'!$A$3:$O$999,MATCH(('001-C DMR'!$CM$6&amp;'001-C DMR'!CR$10&amp;'001-C DMR'!$B25),('DMR 001C NEW'!$E$3:$E$1112&amp;'DMR 001C NEW'!$B$3:$B$1112&amp;'DMR 001C NEW'!$A$3:$A$1112),0),MATCH('001-C DMR'!$CO$11,'DMR 001C NEW'!$A$2:$O$2,0)),"")</f>
        <v/>
      </c>
      <c r="CS25" s="280" t="str">
        <f t="array" ref="CS25">_xlfn.IFNA(INDEX('DMR 001C NEW'!$A$3:$O$999,MATCH(('001-C DMR'!$CM$6&amp;'001-C DMR'!CS$10&amp;'001-C DMR'!$B25),('DMR 001C NEW'!$E$3:$E$1112&amp;'DMR 001C NEW'!$B$3:$B$1112&amp;'DMR 001C NEW'!$A$3:$A$1112),0),MATCH('001-C DMR'!$CO$11,'DMR 001C NEW'!$A$2:$O$2,0)),"")</f>
        <v/>
      </c>
      <c r="CT25" s="280" t="str">
        <f t="array" ref="CT25">_xlfn.IFNA(INDEX('DMR 001C NEW'!$A$3:$O$999,MATCH(('001-C DMR'!$CM$6&amp;'001-C DMR'!CT$10&amp;'001-C DMR'!$B25),('DMR 001C NEW'!$E$3:$E$1112&amp;'DMR 001C NEW'!$B$3:$B$1112&amp;'DMR 001C NEW'!$A$3:$A$1112),0),MATCH('001-C DMR'!$CO$11,'DMR 001C NEW'!$A$2:$O$2,0)),"")</f>
        <v/>
      </c>
      <c r="CU25" s="280" t="str">
        <f t="array" ref="CU25">_xlfn.IFNA(INDEX('DMR 001C NEW'!$A$3:$O$999,MATCH(('001-C DMR'!$CM$6&amp;'001-C DMR'!CU$10&amp;'001-C DMR'!$B25),('DMR 001C NEW'!$E$3:$E$1112&amp;'DMR 001C NEW'!$B$3:$B$1112&amp;'DMR 001C NEW'!$A$3:$A$1112),0),MATCH('001-C DMR'!$CO$11,'DMR 001C NEW'!$A$2:$O$2,0)),"")</f>
        <v/>
      </c>
      <c r="CV25" s="280" t="str">
        <f t="array" ref="CV25">_xlfn.IFNA(INDEX('DMR 001C NEW'!$A$3:$O$999,MATCH(('001-C DMR'!$CM$6&amp;'001-C DMR'!CV$10&amp;'001-C DMR'!$B25),('DMR 001C NEW'!$E$3:$E$1112&amp;'DMR 001C NEW'!$B$3:$B$1112&amp;'DMR 001C NEW'!$A$3:$A$1112),0),MATCH('001-C DMR'!$CO$11,'DMR 001C NEW'!$A$2:$O$2,0)),"")</f>
        <v/>
      </c>
      <c r="CW25" s="280" t="str">
        <f t="array" ref="CW25">_xlfn.IFNA(INDEX('DMR 001C NEW'!$A$3:$O$999,MATCH(('001-C DMR'!$CM$6&amp;'001-C DMR'!CW$10&amp;'001-C DMR'!$B25),('DMR 001C NEW'!$E$3:$E$1112&amp;'DMR 001C NEW'!$B$3:$B$1112&amp;'DMR 001C NEW'!$A$3:$A$1112),0),MATCH('001-C DMR'!$CO$11,'DMR 001C NEW'!$A$2:$O$2,0)),"")</f>
        <v/>
      </c>
      <c r="CX25" s="280" t="str">
        <f t="array" ref="CX25">_xlfn.IFNA(INDEX('DMR 001C NEW'!$A$3:$O$999,MATCH(('001-C DMR'!$CM$6&amp;'001-C DMR'!CX$10&amp;'001-C DMR'!$B25),('DMR 001C NEW'!$E$3:$E$1112&amp;'DMR 001C NEW'!$B$3:$B$1112&amp;'DMR 001C NEW'!$A$3:$A$1112),0),MATCH('001-C DMR'!$CO$11,'DMR 001C NEW'!$A$2:$O$2,0)),"")</f>
        <v/>
      </c>
      <c r="CY25" s="61" t="str">
        <f t="shared" si="14"/>
        <v/>
      </c>
      <c r="CZ25" s="138" t="str">
        <f t="array" ref="CZ25">_xlfn.IFNA((INDEX('DMR 001C NEW'!$A$3:$O$9999,MATCH(('001-C DMR'!$CY$6&amp;'001-C DMR'!$CY$10&amp;'001-C DMR'!$B25),('DMR 001C NEW'!$E$3:$E$9018&amp;'DMR 001C NEW'!$B$3:$B$9018&amp;'DMR 001C NEW'!$A$3:$A$9018),0),MATCH('001-C DMR'!$CZ$11,'DMR 001C NEW'!$A$2:$O$2,0))*1000),"")</f>
        <v/>
      </c>
      <c r="DA25" s="138" t="str">
        <f t="array" ref="DA25">_xlfn.IFNA(INDEX('DMR 001C NEW'!$A$3:$O$9999,MATCH(('001-C DMR'!$CY$6&amp;'001-C DMR'!$CY$10&amp;'001-C DMR'!$B25),('DMR 001C NEW'!$E$3:$E$9018&amp;'DMR 001C NEW'!$B$3:$B$9018&amp;'DMR 001C NEW'!$A$3:$A$9018),0),MATCH('001-C DMR'!$DA$11,'DMR 001C NEW'!$A$2:$O$2,0))*1000,"")</f>
        <v/>
      </c>
      <c r="DB25" s="138" t="str">
        <f t="shared" si="15"/>
        <v/>
      </c>
      <c r="DC25" s="64">
        <f t="shared" si="35"/>
        <v>1</v>
      </c>
      <c r="DD25" s="280" t="str">
        <f t="array" ref="DD25">_xlfn.IFNA(INDEX('DMR 001C NEW'!$A$3:$O$999,MATCH(('001-C DMR'!$CY$6&amp;'001-C DMR'!DD$10&amp;'001-C DMR'!$B25),('DMR 001C NEW'!$E$3:$E$1112&amp;'DMR 001C NEW'!$B$3:$B$1112&amp;'DMR 001C NEW'!$A$3:$A$1112),0),MATCH('001-C DMR'!$DA$11,'DMR 001C NEW'!$A$2:$O$2,0)),"")</f>
        <v/>
      </c>
      <c r="DE25" s="280" t="str">
        <f t="array" ref="DE25">_xlfn.IFNA(INDEX('DMR 001C NEW'!$A$3:$O$999,MATCH(('001-C DMR'!$CY$6&amp;'001-C DMR'!DE$10&amp;'001-C DMR'!$B25),('DMR 001C NEW'!$E$3:$E$1112&amp;'DMR 001C NEW'!$B$3:$B$1112&amp;'DMR 001C NEW'!$A$3:$A$1112),0),MATCH('001-C DMR'!$DA$11,'DMR 001C NEW'!$A$2:$O$2,0)),"")</f>
        <v/>
      </c>
      <c r="DF25" s="280" t="str">
        <f t="array" ref="DF25">_xlfn.IFNA(INDEX('DMR 001C NEW'!$A$3:$O$999,MATCH(('001-C DMR'!$CY$6&amp;'001-C DMR'!DF$10&amp;'001-C DMR'!$B25),('DMR 001C NEW'!$E$3:$E$1112&amp;'DMR 001C NEW'!$B$3:$B$1112&amp;'DMR 001C NEW'!$A$3:$A$1112),0),MATCH('001-C DMR'!$DA$11,'DMR 001C NEW'!$A$2:$O$2,0)),"")</f>
        <v/>
      </c>
      <c r="DG25" s="280" t="str">
        <f t="array" ref="DG25">_xlfn.IFNA(INDEX('DMR 001C NEW'!$A$3:$O$999,MATCH(('001-C DMR'!$CY$6&amp;'001-C DMR'!DG$10&amp;'001-C DMR'!$B25),('DMR 001C NEW'!$E$3:$E$1112&amp;'DMR 001C NEW'!$B$3:$B$1112&amp;'DMR 001C NEW'!$A$3:$A$1112),0),MATCH('001-C DMR'!$DA$11,'DMR 001C NEW'!$A$2:$O$2,0)),"")</f>
        <v/>
      </c>
      <c r="DH25" s="280" t="str">
        <f t="array" ref="DH25">_xlfn.IFNA(INDEX('DMR 001C NEW'!$A$3:$O$999,MATCH(('001-C DMR'!$CY$6&amp;'001-C DMR'!DH$10&amp;'001-C DMR'!$B25),('DMR 001C NEW'!$E$3:$E$1112&amp;'DMR 001C NEW'!$B$3:$B$1112&amp;'DMR 001C NEW'!$A$3:$A$1112),0),MATCH('001-C DMR'!$DA$11,'DMR 001C NEW'!$A$2:$O$2,0)),"")</f>
        <v/>
      </c>
      <c r="DI25" s="280" t="str">
        <f t="array" ref="DI25">_xlfn.IFNA(INDEX('DMR 001C NEW'!$A$3:$O$999,MATCH(('001-C DMR'!$CY$6&amp;'001-C DMR'!DI$10&amp;'001-C DMR'!$B25),('DMR 001C NEW'!$E$3:$E$1112&amp;'DMR 001C NEW'!$B$3:$B$1112&amp;'DMR 001C NEW'!$A$3:$A$1112),0),MATCH('001-C DMR'!$DA$11,'DMR 001C NEW'!$A$2:$O$2,0)),"")</f>
        <v/>
      </c>
      <c r="DJ25" s="280" t="str">
        <f t="array" ref="DJ25">_xlfn.IFNA(INDEX('DMR 001C NEW'!$A$3:$O$999,MATCH(('001-C DMR'!$CY$6&amp;'001-C DMR'!DJ$10&amp;'001-C DMR'!$B25),('DMR 001C NEW'!$E$3:$E$1112&amp;'DMR 001C NEW'!$B$3:$B$1112&amp;'DMR 001C NEW'!$A$3:$A$1112),0),MATCH('001-C DMR'!$DA$11,'DMR 001C NEW'!$A$2:$O$2,0)),"")</f>
        <v/>
      </c>
      <c r="DK25" s="61" t="str">
        <f t="shared" si="16"/>
        <v/>
      </c>
      <c r="DL25" s="58" t="str">
        <f t="array" ref="DL25">_xlfn.IFNA((INDEX('DMR 001C NEW'!$A$3:$O$9999,MATCH(('001-C DMR'!$DK$6&amp;'001-C DMR'!$DK$10&amp;'001-C DMR'!$B25),('DMR 001C NEW'!$E$3:$E$9018&amp;'DMR 001C NEW'!$B$3:$B$9018&amp;'DMR 001C NEW'!$A$3:$A$9018),0),MATCH('001-C DMR'!$DL$11,'DMR 001C NEW'!$A$2:$O$2,0))),"")</f>
        <v/>
      </c>
      <c r="DM25" s="58" t="str">
        <f t="array" ref="DM25">_xlfn.IFNA(INDEX('DMR 001C NEW'!$A$3:$O$9999,MATCH(('001-C DMR'!$DK$6&amp;'001-C DMR'!$DK$10&amp;'001-C DMR'!$B25),('DMR 001C NEW'!$E$3:$E$9018&amp;'DMR 001C NEW'!$B$3:$B$9018&amp;'DMR 001C NEW'!$A$3:$A$9018),0),MATCH('001-C DMR'!$DM$11,'DMR 001C NEW'!$A$2:$O$2,0)),"")</f>
        <v/>
      </c>
      <c r="DN25" s="58" t="str">
        <f t="shared" si="17"/>
        <v/>
      </c>
      <c r="DO25" s="223"/>
      <c r="DP25" s="224"/>
      <c r="DQ25" s="64">
        <f t="shared" si="18"/>
        <v>1</v>
      </c>
      <c r="DR25" s="280" t="str">
        <f t="array" ref="DR25">_xlfn.IFNA(INDEX('DMR 001C NEW'!$A$3:$O$999,MATCH(('001-C DMR'!$DK$6&amp;'001-C DMR'!DR$10&amp;'001-C DMR'!$B25),('DMR 001C NEW'!$E$3:$E$1112&amp;'DMR 001C NEW'!$B$3:$B$1112&amp;'DMR 001C NEW'!$A$3:$A$1112),0),MATCH('001-C DMR'!$DR$11,'DMR 001C NEW'!$A$2:$O$2,0)),"")</f>
        <v/>
      </c>
      <c r="DS25" s="280" t="str">
        <f t="array" ref="DS25">_xlfn.IFNA(INDEX('DMR 001C NEW'!$A$3:$O$999,MATCH(('001-C DMR'!$DK$6&amp;'001-C DMR'!DS$10&amp;'001-C DMR'!$B25),('DMR 001C NEW'!$E$3:$E$1112&amp;'DMR 001C NEW'!$B$3:$B$1112&amp;'DMR 001C NEW'!$A$3:$A$1112),0),MATCH('001-C DMR'!$DR$11,'DMR 001C NEW'!$A$2:$O$2,0)),"")</f>
        <v/>
      </c>
      <c r="DT25" s="280" t="str">
        <f t="array" ref="DT25">_xlfn.IFNA(INDEX('DMR 001C NEW'!$A$3:$O$999,MATCH(('001-C DMR'!$DK$6&amp;'001-C DMR'!DT$10&amp;'001-C DMR'!$B25),('DMR 001C NEW'!$E$3:$E$1112&amp;'DMR 001C NEW'!$B$3:$B$1112&amp;'DMR 001C NEW'!$A$3:$A$1112),0),MATCH('001-C DMR'!$DR$11,'DMR 001C NEW'!$A$2:$O$2,0)),"")</f>
        <v/>
      </c>
      <c r="DU25" s="280" t="str">
        <f t="array" ref="DU25">_xlfn.IFNA(INDEX('DMR 001C NEW'!$A$3:$O$999,MATCH(('001-C DMR'!$DK$6&amp;'001-C DMR'!DU$10&amp;'001-C DMR'!$B25),('DMR 001C NEW'!$E$3:$E$1112&amp;'DMR 001C NEW'!$B$3:$B$1112&amp;'DMR 001C NEW'!$A$3:$A$1112),0),MATCH('001-C DMR'!$DR$11,'DMR 001C NEW'!$A$2:$O$2,0)),"")</f>
        <v/>
      </c>
      <c r="DV25" s="280" t="str">
        <f t="array" ref="DV25">_xlfn.IFNA(INDEX('DMR 001C NEW'!$A$3:$O$999,MATCH(('001-C DMR'!$DK$6&amp;'001-C DMR'!DV$10&amp;'001-C DMR'!$B25),('DMR 001C NEW'!$E$3:$E$1112&amp;'DMR 001C NEW'!$B$3:$B$1112&amp;'DMR 001C NEW'!$A$3:$A$1112),0),MATCH('001-C DMR'!$DR$11,'DMR 001C NEW'!$A$2:$O$2,0)),"")</f>
        <v/>
      </c>
      <c r="DW25" s="280" t="str">
        <f t="array" ref="DW25">_xlfn.IFNA(INDEX('DMR 001C NEW'!$A$3:$O$999,MATCH(('001-C DMR'!$DK$6&amp;'001-C DMR'!DW$10&amp;'001-C DMR'!$B25),('DMR 001C NEW'!$E$3:$E$1112&amp;'DMR 001C NEW'!$B$3:$B$1112&amp;'DMR 001C NEW'!$A$3:$A$1112),0),MATCH('001-C DMR'!$DR$11,'DMR 001C NEW'!$A$2:$O$2,0)),"")</f>
        <v/>
      </c>
      <c r="DX25" s="280" t="str">
        <f t="array" ref="DX25">_xlfn.IFNA(INDEX('DMR 001C NEW'!$A$3:$O$999,MATCH(('001-C DMR'!$DK$6&amp;'001-C DMR'!DX$10&amp;'001-C DMR'!$B25),('DMR 001C NEW'!$E$3:$E$1112&amp;'DMR 001C NEW'!$B$3:$B$1112&amp;'DMR 001C NEW'!$A$3:$A$1112),0),MATCH('001-C DMR'!$DR$11,'DMR 001C NEW'!$A$2:$O$2,0)),"")</f>
        <v/>
      </c>
      <c r="DY25" s="61" t="str">
        <f t="shared" si="28"/>
        <v/>
      </c>
      <c r="DZ25" s="249" t="str">
        <f t="array" ref="DZ25">_xlfn.IFNA((INDEX('DMR 001C NEW'!$A$3:$O$9999,MATCH(('001-C DMR'!$DY$6&amp;'001-C DMR'!$DY$10&amp;'001-C DMR'!$B25),('DMR 001C NEW'!$E$3:$E$9018&amp;'DMR 001C NEW'!$B$3:$B$9018&amp;'DMR 001C NEW'!$A$3:$A$9018),0),MATCH('001-C DMR'!$DZ$11,'DMR 001C NEW'!$A$2:$O$2,0))),"")</f>
        <v/>
      </c>
      <c r="EA25" s="249" t="str">
        <f t="array" ref="EA25">_xlfn.IFNA((INDEX('DMR 001C NEW'!$A$3:$O$9999,MATCH(('001-C DMR'!$DY$6&amp;'001-C DMR'!$DY$10&amp;'001-C DMR'!$B25),('DMR 001C NEW'!$E$3:$E$9018&amp;'DMR 001C NEW'!$B$3:$B$9018&amp;'DMR 001C NEW'!$A$3:$A$9018),0),MATCH('001-C DMR'!$EA$11,'DMR 001C NEW'!$A$2:$O$2,0))),"")</f>
        <v/>
      </c>
      <c r="EB25" s="249" t="str">
        <f t="array" ref="EB25">IF(EA25="SCRATCHED","",IF(EA25&lt;DZ25,0,EA25))</f>
        <v/>
      </c>
      <c r="EC25" s="249" t="str">
        <f t="shared" si="29"/>
        <v/>
      </c>
      <c r="ED25" s="249" t="str">
        <f t="array" ref="ED25">_xlfn.IFNA((INDEX('DMR 001C NEW'!$A$3:$O$9999,MATCH(('001-C DMR'!$DY$6&amp;'001-C DMR'!$EC$10&amp;'001-C DMR'!$B25),('DMR 001C NEW'!$E$3:$E$9018&amp;'DMR 001C NEW'!$B$3:$B$9018&amp;'DMR 001C NEW'!$A$3:$A$9018),0),MATCH('001-C DMR'!$DZ$11,'DMR 001C NEW'!$A$2:$O$2,0))),"")</f>
        <v/>
      </c>
      <c r="EE25" s="249" t="str">
        <f t="array" ref="EE25">_xlfn.IFNA((INDEX('DMR 001C NEW'!$A$3:$O$9999,MATCH(('001-C DMR'!$DY$6&amp;'001-C DMR'!$EC$10&amp;'001-C DMR'!$B25),('DMR 001C NEW'!$E$3:$E$9018&amp;'DMR 001C NEW'!$B$3:$B$9018&amp;'DMR 001C NEW'!$A$3:$A$9018),0),MATCH('001-C DMR'!$EE$11,'DMR 001C NEW'!$A$2:$O$2,0))),"")</f>
        <v/>
      </c>
      <c r="EF25" s="249" t="str">
        <f t="array" ref="EF25">IF(EE25="SCRATCHED","",IF(EE25&lt;ED25,0,EE25))</f>
        <v/>
      </c>
      <c r="EG25" s="249"/>
      <c r="EH25" s="195"/>
      <c r="EI25" s="194">
        <f t="array" ref="EI25">_xlfn.IFNA(INDEX('DMR Flows-Effluent'!$A$3:$F$186,MATCH(($EI$10&amp;$B25),('DMR Flows-Effluent'!$B$3:$B$186&amp;'DMR Flows-Effluent'!$A$3:$A$186),0),MATCH($EI$8,'DMR Flows-Effluent'!$A$2:$F$2,0)),"")</f>
        <v>51.062100000000001</v>
      </c>
      <c r="EJ25" s="56">
        <f t="array" ref="EJ25">_xlfn.IFNA(INDEX('DMR Flows-Effluent'!$A$3:$F$186,MATCH(($EJ$10&amp;$B25),('DMR Flows-Effluent'!$B$3:$B$186&amp;'DMR Flows-Effluent'!$A$3:$A$186),0),MATCH($EI$8,'DMR Flows-Effluent'!$A$2:$F$2,0)),"")</f>
        <v>70.581500000000005</v>
      </c>
      <c r="EK25" s="168">
        <f t="shared" si="19"/>
        <v>121.64360000000001</v>
      </c>
      <c r="EL25" s="63"/>
      <c r="EM25" s="63"/>
      <c r="EN25" s="63"/>
      <c r="EO25" s="63"/>
      <c r="EP25" s="62"/>
      <c r="EQ25" s="157">
        <f>'E.Coli Calculations'!R19</f>
        <v>179.9642762070151</v>
      </c>
      <c r="ER25" s="56">
        <f>'E.Coli Calculations'!S19</f>
        <v>113.16272323026172</v>
      </c>
      <c r="ES25" s="64">
        <f t="shared" si="36"/>
        <v>7</v>
      </c>
      <c r="ET25" s="61" t="str">
        <f t="shared" si="20"/>
        <v/>
      </c>
      <c r="EU25" s="58" t="str">
        <f t="array" ref="EU25">_xlfn.IFNA((INDEX('DMR 001C NEW'!$A$3:$O$9999,MATCH(('001-C DMR'!$ET$6&amp;'001-C DMR'!$ET$10&amp;'001-C DMR'!$B25),('DMR 001C NEW'!$E$3:$E$9018&amp;'DMR 001C NEW'!$B$3:$B$9018&amp;'DMR 001C NEW'!$A$3:$A$9018),0),MATCH('001-C DMR'!$EU$11,'DMR 001C NEW'!$A$2:$O$2,0))),"")</f>
        <v/>
      </c>
      <c r="EV25" s="58" t="str">
        <f t="array" ref="EV25">_xlfn.IFNA(INDEX('DMR 001C NEW'!$A$3:$O$9999,MATCH(('001-C DMR'!$ET$6&amp;'001-C DMR'!$ET$10&amp;'001-C DMR'!$B25),('DMR 001C NEW'!$E$3:$E$9018&amp;'DMR 001C NEW'!$B$3:$B$9018&amp;'DMR 001C NEW'!$A$3:$A$9018),0),MATCH('001-C DMR'!$EV$11,'DMR 001C NEW'!$A$2:$O$2,0)),"")</f>
        <v/>
      </c>
      <c r="EW25" s="56" t="str">
        <f t="shared" si="21"/>
        <v/>
      </c>
      <c r="EX25" s="64"/>
      <c r="EY25" s="279" t="str">
        <f t="array" ref="EY25">_xlfn.IFNA(INDEX('DMR 001C NEW'!$A$3:$O$999,MATCH(('001-C DMR'!$ET$6&amp;'001-C DMR'!EY$10&amp;'001-C DMR'!$B25),('DMR 001C NEW'!$E$3:$E$1112&amp;'DMR 001C NEW'!$B$3:$B$1112&amp;'DMR 001C NEW'!$A$3:$A$1112),0),MATCH('001-C DMR'!$EY$11,'DMR 001C NEW'!$A$2:$O$2,0)),"")</f>
        <v/>
      </c>
      <c r="EZ25" s="280" t="str">
        <f t="array" ref="EZ25">_xlfn.IFNA(INDEX('DMR 001C NEW'!$A$3:$O$999,MATCH(('001-C DMR'!$ET$6&amp;'001-C DMR'!EZ$10&amp;'001-C DMR'!$B25),('DMR 001C NEW'!$E$3:$E$1112&amp;'DMR 001C NEW'!$B$3:$B$1112&amp;'DMR 001C NEW'!$A$3:$A$1112),0),MATCH('001-C DMR'!$EY$11,'DMR 001C NEW'!$A$2:$O$2,0)),"")</f>
        <v/>
      </c>
      <c r="FA25" s="280" t="str">
        <f t="array" ref="FA25">_xlfn.IFNA(INDEX('DMR 001C NEW'!$A$3:$O$999,MATCH(('001-C DMR'!$ET$6&amp;'001-C DMR'!FA$10&amp;'001-C DMR'!$B25),('DMR 001C NEW'!$E$3:$E$1112&amp;'DMR 001C NEW'!$B$3:$B$1112&amp;'DMR 001C NEW'!$A$3:$A$1112),0),MATCH('001-C DMR'!$EY$11,'DMR 001C NEW'!$A$2:$O$2,0)),"")</f>
        <v/>
      </c>
      <c r="FB25" s="280" t="str">
        <f t="array" ref="FB25">_xlfn.IFNA(INDEX('DMR 001C NEW'!$A$3:$O$999,MATCH(('001-C DMR'!$ET$6&amp;'001-C DMR'!FB$10&amp;'001-C DMR'!$B25),('DMR 001C NEW'!$E$3:$E$1112&amp;'DMR 001C NEW'!$B$3:$B$1112&amp;'DMR 001C NEW'!$A$3:$A$1112),0),MATCH('001-C DMR'!$EY$11,'DMR 001C NEW'!$A$2:$O$2,0)),"")</f>
        <v/>
      </c>
      <c r="FC25" s="280" t="str">
        <f t="array" ref="FC25">_xlfn.IFNA(INDEX('DMR 001C NEW'!$A$3:$O$999,MATCH(('001-C DMR'!$ET$6&amp;'001-C DMR'!FC$10&amp;'001-C DMR'!$B25),('DMR 001C NEW'!$E$3:$E$1112&amp;'DMR 001C NEW'!$B$3:$B$1112&amp;'DMR 001C NEW'!$A$3:$A$1112),0),MATCH('001-C DMR'!$EY$11,'DMR 001C NEW'!$A$2:$O$2,0)),"")</f>
        <v/>
      </c>
      <c r="FD25" s="280" t="str">
        <f t="array" ref="FD25">_xlfn.IFNA(INDEX('DMR 001C NEW'!$A$3:$O$999,MATCH(('001-C DMR'!$ET$6&amp;'001-C DMR'!FD$10&amp;'001-C DMR'!$B25),('DMR 001C NEW'!$E$3:$E$1112&amp;'DMR 001C NEW'!$B$3:$B$1112&amp;'DMR 001C NEW'!$A$3:$A$1112),0),MATCH('001-C DMR'!$EY$11,'DMR 001C NEW'!$A$2:$O$2,0)),"")</f>
        <v/>
      </c>
      <c r="FE25" s="281" t="str">
        <f t="array" ref="FE25">_xlfn.IFNA(INDEX('DMR 001C NEW'!$A$3:$O$999,MATCH(('001-C DMR'!$ET$6&amp;'001-C DMR'!FE$10&amp;'001-C DMR'!$B25),('DMR 001C NEW'!$E$3:$E$1112&amp;'DMR 001C NEW'!$B$3:$B$1112&amp;'DMR 001C NEW'!$A$3:$A$1112),0),MATCH('001-C DMR'!$EY$11,'DMR 001C NEW'!$A$2:$O$2,0)),"")</f>
        <v/>
      </c>
      <c r="FF25" s="57" t="str">
        <f t="shared" si="22"/>
        <v/>
      </c>
      <c r="FG25" s="56">
        <f t="array" ref="FG25">_xlfn.IFNA(INDEX('DMR 001C NEW'!$A$3:$O$9999,MATCH(('001-C DMR'!$FF$6&amp;'001-C DMR'!$FF$10&amp;'001-C DMR'!$B25),('DMR 001C NEW'!$E$3:$E$7246&amp;'DMR 001C NEW'!$B$3:$B$7246&amp;'DMR 001C NEW'!$A$3:$A$7246),0),MATCH('001-C DMR'!$FG$11,'DMR 001C NEW'!$A$2:$O$2,0)),"")</f>
        <v>0</v>
      </c>
      <c r="FH25" s="56">
        <f t="array" ref="FH25">_xlfn.IFNA(INDEX('DMR 001C NEW'!$A$3:$O$9999,MATCH(('001-C DMR'!$FF$6&amp;'001-C DMR'!$FF$10&amp;'001-C DMR'!$B25),('DMR 001C NEW'!$E$3:$E$7246&amp;'DMR 001C NEW'!$B$3:$B$7246&amp;'DMR 001C NEW'!$A$3:$A$7246),0),MATCH('001-C DMR'!$FH$11,'DMR 001C NEW'!$A$2:$O$2,0)),"")</f>
        <v>4</v>
      </c>
      <c r="FI25" s="57" t="str">
        <f t="shared" si="23"/>
        <v/>
      </c>
      <c r="FJ25" s="56">
        <f t="array" ref="FJ25">_xlfn.IFNA(INDEX('DMR 001C NEW'!$A$3:$O$9999,MATCH(('001-C DMR'!$FF$6&amp;'001-C DMR'!$FI$10&amp;'001-C DMR'!$B25),('DMR 001C NEW'!$E$3:$E$7246&amp;'DMR 001C NEW'!$B$3:$B$7246&amp;'DMR 001C NEW'!$A$3:$A$7246),0),MATCH('001-C DMR'!$FG$11,'DMR 001C NEW'!$A$2:$O$2,0)),"")</f>
        <v>0</v>
      </c>
      <c r="FK25" s="56">
        <f t="array" ref="FK25">_xlfn.IFNA(INDEX('DMR 001C NEW'!$A$3:$O$9999,MATCH(('001-C DMR'!$FF$6&amp;'001-C DMR'!$FI$10&amp;'001-C DMR'!$B25),('DMR 001C NEW'!$E$3:$E$7246&amp;'DMR 001C NEW'!$B$3:$B$7246&amp;'DMR 001C NEW'!$A$3:$A$7246),0),MATCH('001-C DMR'!$FH$11,'DMR 001C NEW'!$A$2:$O$2,0)),"")</f>
        <v>5</v>
      </c>
      <c r="FL25" s="56">
        <f t="array" ref="FL25">IFERROR((($FH25*$EI25)+($FK25*$EJ25))/($EK25),"")</f>
        <v>4.5802319234221933</v>
      </c>
      <c r="FM25" s="56">
        <f t="shared" si="43"/>
        <v>3.9400404945055416</v>
      </c>
      <c r="FN25" s="64">
        <f t="shared" si="37"/>
        <v>6</v>
      </c>
      <c r="FO25" s="66"/>
      <c r="FP25" s="280" t="str">
        <f t="array" ref="FP25">_xlfn.IFNA(INDEX('DMR 001C NEW'!$A$3:$O$999,MATCH(('001-C DMR'!$FF$6&amp;'001-C DMR'!FP$10&amp;'001-C DMR'!$B25),('DMR 001C NEW'!$E$3:$E$1112&amp;'DMR 001C NEW'!$B$3:$B$1112&amp;'DMR 001C NEW'!$A$3:$A$1112),0),MATCH('001-C DMR'!$FH$11,'DMR 001C NEW'!$A$2:$O$2,0)),"")</f>
        <v/>
      </c>
      <c r="FQ25" s="280" t="str">
        <f t="array" ref="FQ25">_xlfn.IFNA(INDEX('DMR 001C NEW'!$A$3:$O$999,MATCH(('001-C DMR'!$FF$6&amp;'001-C DMR'!FQ$10&amp;'001-C DMR'!$B25),('DMR 001C NEW'!$E$3:$E$1112&amp;'DMR 001C NEW'!$B$3:$B$1112&amp;'DMR 001C NEW'!$A$3:$A$1112),0),MATCH('001-C DMR'!$FH$11,'DMR 001C NEW'!$A$2:$O$2,0)),"")</f>
        <v/>
      </c>
      <c r="FR25" s="280" t="str">
        <f t="array" ref="FR25">_xlfn.IFNA(INDEX('DMR 001C NEW'!$A$3:$O$999,MATCH(('001-C DMR'!$FF$6&amp;'001-C DMR'!FR$10&amp;'001-C DMR'!$B25),('DMR 001C NEW'!$E$3:$E$1112&amp;'DMR 001C NEW'!$B$3:$B$1112&amp;'DMR 001C NEW'!$A$3:$A$1112),0),MATCH('001-C DMR'!$FH$11,'DMR 001C NEW'!$A$2:$O$2,0)),"")</f>
        <v/>
      </c>
      <c r="FS25" s="280" t="str">
        <f t="array" ref="FS25">_xlfn.IFNA(INDEX('DMR 001C NEW'!$A$3:$O$999,MATCH(('001-C DMR'!$FF$6&amp;'001-C DMR'!FS$10&amp;'001-C DMR'!$B25),('DMR 001C NEW'!$E$3:$E$1112&amp;'DMR 001C NEW'!$B$3:$B$1112&amp;'DMR 001C NEW'!$A$3:$A$1112),0),MATCH('001-C DMR'!$FH$11,'DMR 001C NEW'!$A$2:$O$2,0)),"")</f>
        <v/>
      </c>
      <c r="FT25" s="280" t="str">
        <f t="array" ref="FT25">_xlfn.IFNA(INDEX('DMR 001C NEW'!$A$3:$O$999,MATCH(('001-C DMR'!$FF$6&amp;'001-C DMR'!FT$10&amp;'001-C DMR'!$B25),('DMR 001C NEW'!$E$3:$E$1112&amp;'DMR 001C NEW'!$B$3:$B$1112&amp;'DMR 001C NEW'!$A$3:$A$1112),0),MATCH('001-C DMR'!$FH$11,'DMR 001C NEW'!$A$2:$O$2,0)),"")</f>
        <v/>
      </c>
      <c r="FU25" s="280" t="str">
        <f t="array" ref="FU25">_xlfn.IFNA(INDEX('DMR 001C NEW'!$A$3:$O$999,MATCH(('001-C DMR'!$FF$6&amp;'001-C DMR'!FU$10&amp;'001-C DMR'!$B25),('DMR 001C NEW'!$E$3:$E$1112&amp;'DMR 001C NEW'!$B$3:$B$1112&amp;'DMR 001C NEW'!$A$3:$A$1112),0),MATCH('001-C DMR'!$FH$11,'DMR 001C NEW'!$A$2:$O$2,0)),"")</f>
        <v/>
      </c>
      <c r="FV25" s="66"/>
      <c r="FW25" s="61" t="str">
        <f t="shared" si="24"/>
        <v/>
      </c>
      <c r="FX25" s="58" t="str">
        <f t="array" ref="FX25">_xlfn.IFNA(INDEX('DMR 001C NEW'!$A$3:$O$9999,MATCH(('001-C DMR'!$FW$6&amp;'001-C DMR'!$FW$10&amp;'001-C DMR'!$B25),('DMR 001C NEW'!$E$3:$E$7246&amp;'DMR 001C NEW'!$B$3:$B$7246&amp;'DMR 001C NEW'!$A$3:$A$7246),0),MATCH('001-C DMR'!$FX$11,'DMR 001C NEW'!$A$2:$O$2,0)),"")</f>
        <v/>
      </c>
      <c r="FY25" s="58" t="str">
        <f t="array" ref="FY25">_xlfn.IFNA(INDEX('DMR 001C NEW'!$A$3:$O$9999,MATCH(('001-C DMR'!$FW$6&amp;'001-C DMR'!$FW$10&amp;'001-C DMR'!$B25),('DMR 001C NEW'!$E$3:$E$7246&amp;'DMR 001C NEW'!$B$3:$B$7246&amp;'DMR 001C NEW'!$A$3:$A$7246),0),MATCH('001-C DMR'!$FY$11,'DMR 001C NEW'!$A$2:$O$2,0)),"")</f>
        <v/>
      </c>
      <c r="FZ25" s="57" t="str">
        <f t="shared" si="25"/>
        <v/>
      </c>
      <c r="GA25" s="58" t="str">
        <f t="array" ref="GA25">_xlfn.IFNA(INDEX('DMR 001C NEW'!$A$3:$O$9999,MATCH(('001-C DMR'!$FW$6&amp;'001-C DMR'!$FZ$10&amp;'001-C DMR'!$B25),('DMR 001C NEW'!$E$3:$E$7246&amp;'DMR 001C NEW'!$B$3:$B$7246&amp;'DMR 001C NEW'!$A$3:$A$7246),0),MATCH('001-C DMR'!$FX$11,'DMR 001C NEW'!$A$2:$O$2,0)),"")</f>
        <v/>
      </c>
      <c r="GB25" s="58" t="str">
        <f t="array" ref="GB25">_xlfn.IFNA(INDEX('DMR 001C NEW'!$A$3:$O$9999,MATCH(('001-C DMR'!$FW$6&amp;'001-C DMR'!$FZ$10&amp;'001-C DMR'!$B25),('DMR 001C NEW'!$E$3:$E$7246&amp;'DMR 001C NEW'!$B$3:$B$7246&amp;'DMR 001C NEW'!$A$3:$A$7246),0),MATCH('001-C DMR'!$GB$11,'DMR 001C NEW'!$A$2:$O$2,0)),"")</f>
        <v/>
      </c>
      <c r="GC25" s="56" t="str">
        <f t="shared" si="4"/>
        <v/>
      </c>
      <c r="GD25" s="64">
        <f t="shared" si="38"/>
        <v>1</v>
      </c>
      <c r="GE25" s="279" t="str">
        <f t="array" ref="GE25">_xlfn.IFNA(INDEX('DMR 001C NEW'!$A$3:$O$999,MATCH(('001-C DMR'!$FW$6&amp;'001-C DMR'!GE$10&amp;'001-C DMR'!$B25),('DMR 001C NEW'!$E$3:$E$1112&amp;'DMR 001C NEW'!$B$3:$B$1112&amp;'DMR 001C NEW'!$A$3:$A$1112),0),MATCH('001-C DMR'!$FY$11,'DMR 001C NEW'!$A$2:$O$2,0)),"")</f>
        <v/>
      </c>
      <c r="GF25" s="280" t="str">
        <f t="array" ref="GF25">_xlfn.IFNA(INDEX('DMR 001C NEW'!$A$3:$O$999,MATCH(('001-C DMR'!$FW$6&amp;'001-C DMR'!GF$10&amp;'001-C DMR'!$B25),('DMR 001C NEW'!$E$3:$E$1112&amp;'DMR 001C NEW'!$B$3:$B$1112&amp;'DMR 001C NEW'!$A$3:$A$1112),0),MATCH('001-C DMR'!$FY$11,'DMR 001C NEW'!$A$2:$O$2,0)),"")</f>
        <v/>
      </c>
      <c r="GG25" s="280" t="str">
        <f t="array" ref="GG25">_xlfn.IFNA(INDEX('DMR 001C NEW'!$A$3:$O$999,MATCH(('001-C DMR'!$FW$6&amp;'001-C DMR'!GG$10&amp;'001-C DMR'!$B25),('DMR 001C NEW'!$E$3:$E$1112&amp;'DMR 001C NEW'!$B$3:$B$1112&amp;'DMR 001C NEW'!$A$3:$A$1112),0),MATCH('001-C DMR'!$FY$11,'DMR 001C NEW'!$A$2:$O$2,0)),"")</f>
        <v/>
      </c>
      <c r="GH25" s="280" t="str">
        <f t="array" ref="GH25">_xlfn.IFNA(INDEX('DMR 001C NEW'!$A$3:$O$999,MATCH(('001-C DMR'!$FW$6&amp;'001-C DMR'!GH$10&amp;'001-C DMR'!$B25),('DMR 001C NEW'!$E$3:$E$1112&amp;'DMR 001C NEW'!$B$3:$B$1112&amp;'DMR 001C NEW'!$A$3:$A$1112),0),MATCH('001-C DMR'!$FY$11,'DMR 001C NEW'!$A$2:$O$2,0)),"")</f>
        <v/>
      </c>
      <c r="GI25" s="280" t="str">
        <f t="array" ref="GI25">_xlfn.IFNA(INDEX('DMR 001C NEW'!$A$3:$O$999,MATCH(('001-C DMR'!$FW$6&amp;'001-C DMR'!GI$10&amp;'001-C DMR'!$B25),('DMR 001C NEW'!$E$3:$E$1112&amp;'DMR 001C NEW'!$B$3:$B$1112&amp;'DMR 001C NEW'!$A$3:$A$1112),0),MATCH('001-C DMR'!$FY$11,'DMR 001C NEW'!$A$2:$O$2,0)),"")</f>
        <v/>
      </c>
      <c r="GJ25" s="281" t="str">
        <f t="array" ref="GJ25">_xlfn.IFNA(INDEX('DMR 001C NEW'!$A$3:$O$999,MATCH(('001-C DMR'!$FW$6&amp;'001-C DMR'!GJ$10&amp;'001-C DMR'!$B25),('DMR 001C NEW'!$E$3:$E$1112&amp;'DMR 001C NEW'!$B$3:$B$1112&amp;'DMR 001C NEW'!$A$3:$A$1112),0),MATCH('001-C DMR'!$FY$11,'DMR 001C NEW'!$A$2:$O$2,0)),"")</f>
        <v/>
      </c>
      <c r="GK25" s="58" t="str">
        <f t="array" ref="GK25">_xlfn.IFNA(INDEX('DMR 001C NEW'!$A$3:$O$9999,MATCH(('001-C DMR'!$GK$6&amp;'001-C DMR'!$GK$10&amp;'001-C DMR'!$B25),('DMR 001C NEW'!$E$3:$E$9018&amp;'DMR 001C NEW'!$B$3:$B$9018&amp;'DMR 001C NEW'!$A$3:$A$9018),0),MATCH('001-C DMR'!$GK$11,'DMR 001C NEW'!$A$2:$O$2,0)),"")</f>
        <v>n</v>
      </c>
      <c r="GL25" s="58" t="str">
        <f t="array" ref="GL25">_xlfn.IFNA(INDEX('DMR 001C NEW'!$A$3:$O$9999,MATCH(('001-C DMR'!$GK$6&amp;'001-C DMR'!$GL$10&amp;'001-C DMR'!$B25),('DMR 001C NEW'!$E$3:$E$9018&amp;'DMR 001C NEW'!$B$3:$B$9018&amp;'DMR 001C NEW'!$A$3:$A$9018),0),MATCH('001-C DMR'!$GK$11,'DMR 001C NEW'!$A$2:$O$2,0)),"")</f>
        <v>n</v>
      </c>
      <c r="GM25" s="134"/>
      <c r="GN25" s="64">
        <f t="shared" si="44"/>
        <v>7</v>
      </c>
    </row>
    <row r="26" spans="1:282" s="51" customFormat="1" x14ac:dyDescent="0.25">
      <c r="A26" s="67" t="str">
        <f t="shared" si="5"/>
        <v>Sun</v>
      </c>
      <c r="B26" s="216">
        <f t="shared" si="26"/>
        <v>43688</v>
      </c>
      <c r="C26" s="93">
        <f t="array" ref="C26">INDEX('DMR 001C NEW'!$A$3:$N$10020,MATCH(('001-C DMR'!$C$6:$K$6&amp;'001-C DMR'!$C$10:$E$10&amp;'001-C DMR'!$B26),('DMR 001C NEW'!$E$3:$E$7246&amp;'DMR 001C NEW'!$B$3:$B$7246&amp;'DMR 001C NEW'!$A$3:$A$7246),0),MATCH('001-C DMR'!$C$11,'DMR 001C NEW'!$A$2:$O$2,0))</f>
        <v>6</v>
      </c>
      <c r="D26" s="56" t="str">
        <f t="array" ref="D26">INDEX('DMR 001C NEW'!$A$3:$N$11771,MATCH(('001-C DMR'!$C$6:$K$6&amp;'001-C DMR'!$C$10:$E$10&amp;'001-C DMR'!$B26),('DMR 001C NEW'!$E$3:$E$9018&amp;'DMR 001C NEW'!$B$3:$B$9018&amp;'DMR 001C NEW'!$A$3:$A$9018),0),MATCH('001-C DMR'!$D$11,'DMR 001C NEW'!$A$2:$O$2,0))</f>
        <v>AE68952</v>
      </c>
      <c r="E26" s="56">
        <f t="array" ref="E26">INDEX('DMR 001C NEW'!$A$3:$N$9999,MATCH(('001-C DMR'!$E$11&amp;'001-C DMR'!$C$10:$E$10&amp;'001-C DMR'!$B26&amp;$D26),('DMR 001C NEW'!$E$3:$E$7246&amp;'DMR 001C NEW'!$B$3:$B$7246&amp;'DMR 001C NEW'!$A$3:$A$7246&amp;'DMR 001C NEW'!$M$3:$M$7188),0),MATCH($C$11,'DMR 001C NEW'!$A$2:$O$2,0))</f>
        <v>23.56</v>
      </c>
      <c r="F26" s="56">
        <f t="array" ref="F26">INDEX('DMR 001C NEW'!$A$3:$N$9999,MATCH('001-C DMR'!$C$6:$K$6&amp;'001-C DMR'!$F$10&amp;'001-C DMR'!$B26,('DMR 001C NEW'!$E$3:$E$7246&amp;'DMR 001C NEW'!$B$3:$B$7246&amp;'DMR 001C NEW'!$A$3:$A$7246),0),MATCH('001-C DMR'!$C$11,'DMR 001C NEW'!$A$2:$O$2,0))</f>
        <v>6.6</v>
      </c>
      <c r="G26" s="56" t="str">
        <f t="array" ref="G26">INDEX('DMR 001C NEW'!$A$3:$N$3865,MATCH(('001-C DMR'!$C$6:$K$6&amp;'001-C DMR'!$F$10&amp;'001-C DMR'!$B26),('DMR 001C NEW'!$E$3:$E$1112&amp;'DMR 001C NEW'!$B$3:$B$1112&amp;'DMR 001C NEW'!$A$3:$A$1112),0),MATCH('001-C DMR'!$D$11,'DMR 001C NEW'!$A$2:$O$2,0))</f>
        <v>AE68953</v>
      </c>
      <c r="H26" s="56">
        <f t="array" ref="H26">INDEX('DMR 001C NEW'!$A$3:$N$9999,MATCH(('001-C DMR'!$E$11&amp;'001-C DMR'!$F$10&amp;'001-C DMR'!$B26&amp;$G26),('DMR 001C NEW'!$E$3:$E$7246&amp;'DMR 001C NEW'!$B$3:$B$7246&amp;'DMR 001C NEW'!$A$3:$A$7246&amp;'DMR 001C NEW'!$M$3:$M$7188),0),MATCH($C$11,'DMR 001C NEW'!$A$2:$O$2,0))</f>
        <v>67.959999999999994</v>
      </c>
      <c r="I26" s="56">
        <f t="shared" si="0"/>
        <v>6.4455419580419582</v>
      </c>
      <c r="J26" s="58" t="str">
        <f t="shared" si="39"/>
        <v/>
      </c>
      <c r="K26" s="64" t="str">
        <f t="shared" si="40"/>
        <v/>
      </c>
      <c r="L26" s="262" t="str">
        <f t="array" ref="L26">_xlfn.IFNA(INDEX('DMR 001C NEW'!$A$3:$N$3865,MATCH(('001-C DMR'!$C$6:$K$6&amp;'001-C DMR'!L$10&amp;'001-C DMR'!$B26),('DMR 001C NEW'!$E$3:$E$1112&amp;'DMR 001C NEW'!$B$3:$B$1112&amp;'DMR 001C NEW'!$A$3:$A$1112),0),MATCH('001-C DMR'!$C$11,'DMR 001C NEW'!$A$2:$O$2,0)),"")</f>
        <v/>
      </c>
      <c r="M26" s="262" t="str">
        <f t="array" ref="M26">_xlfn.IFNA(INDEX('DMR 001C NEW'!$A$3:$N$3865,MATCH(('001-C DMR'!$C$6:$K$6&amp;'001-C DMR'!M$10&amp;'001-C DMR'!$B26),('DMR 001C NEW'!$E$3:$E$1112&amp;'DMR 001C NEW'!$B$3:$B$1112&amp;'DMR 001C NEW'!$A$3:$A$1112),0),MATCH('001-C DMR'!$C$11,'DMR 001C NEW'!$A$2:$O$2,0)),"")</f>
        <v/>
      </c>
      <c r="N26" s="262" t="str">
        <f t="array" ref="N26">_xlfn.IFNA(INDEX('DMR 001C NEW'!$A$3:$N$3865,MATCH(('001-C DMR'!$C$6:$K$6&amp;'001-C DMR'!N$10&amp;'001-C DMR'!$B26),('DMR 001C NEW'!$E$3:$E$1112&amp;'DMR 001C NEW'!$B$3:$B$1112&amp;'DMR 001C NEW'!$A$3:$A$1112),0),MATCH('001-C DMR'!$C$11,'DMR 001C NEW'!$A$2:$O$2,0)),"")</f>
        <v/>
      </c>
      <c r="O26" s="262" t="str">
        <f t="array" ref="O26">_xlfn.IFNA(INDEX('DMR 001C NEW'!$A$3:$N$3865,MATCH(('001-C DMR'!$C$6:$K$6&amp;'001-C DMR'!O$10&amp;'001-C DMR'!$B26),('DMR 001C NEW'!$E$3:$E$1112&amp;'DMR 001C NEW'!$B$3:$B$1112&amp;'DMR 001C NEW'!$A$3:$A$1112),0),MATCH('001-C DMR'!$C$11,'DMR 001C NEW'!$A$2:$O$2,0)),"")</f>
        <v/>
      </c>
      <c r="P26" s="262" t="str">
        <f t="array" ref="P26">_xlfn.IFNA(INDEX('DMR 001C NEW'!$A$3:$N$3865,MATCH(('001-C DMR'!$C$6:$K$6&amp;'001-C DMR'!P$10&amp;'001-C DMR'!$B26),('DMR 001C NEW'!$E$3:$E$1112&amp;'DMR 001C NEW'!$B$3:$B$1112&amp;'DMR 001C NEW'!$A$3:$A$1112),0),MATCH('001-C DMR'!$C$11,'DMR 001C NEW'!$A$2:$O$2,0)),"")</f>
        <v/>
      </c>
      <c r="Q26" s="120" t="e">
        <f t="array" ref="Q26">INDEX('DMR 001C NEW'!$A$3:$N$3865,MATCH(('001-C DMR'!$C$6:$K$6&amp;'001-C DMR'!Q$10&amp;'001-C DMR'!$B26),('DMR 001C NEW'!$E$3:$E$1112&amp;'DMR 001C NEW'!$B$3:$B$1112&amp;'DMR 001C NEW'!$A$3:$A$1112),0),MATCH('001-C DMR'!$C$11,'DMR 001C NEW'!$A$2:$O$2,0))</f>
        <v>#N/A</v>
      </c>
      <c r="R26" s="61"/>
      <c r="S26" s="56">
        <f t="array" ref="S26">_xlfn.IFNA(INDEX('DMR 001C NEW'!$A$3:$N$11771,MATCH(('001-C DMR'!$R$6:$T$6&amp;'001-C DMR'!$R$10&amp;'001-C DMR'!$B26),('DMR 001C NEW'!$E$3:$E$9018&amp;'DMR 001C NEW'!$B$3:$B$9018&amp;'DMR 001C NEW'!$A$3:$A$9018),0),MATCH('001-C DMR'!$S$11,'DMR 001C NEW'!$A$2:$O$2,0)),"")</f>
        <v>7</v>
      </c>
      <c r="T26" s="64" t="str">
        <f t="shared" si="41"/>
        <v/>
      </c>
      <c r="U26" s="262" t="str">
        <f t="array" ref="U26">_xlfn.IFNA(INDEX('DMR 001C NEW'!$A$3:$O$591,MATCH('001-C DMR'!$R$6:$T$6&amp;'001-C DMR'!U$10&amp;'001-C DMR'!$B26,('DMR 001C NEW'!$E$3:$E$704&amp;'DMR 001C NEW'!$B$3:$B$704&amp;'DMR 001C NEW'!$A$3:$A$704),0),MATCH('001-C DMR'!$U$11,'DMR 001C NEW'!$A$2:$O$2,0)),"")</f>
        <v/>
      </c>
      <c r="V26" s="262" t="str">
        <f t="array" ref="V26">_xlfn.IFNA(INDEX('DMR 001C NEW'!$A$3:$O$591,MATCH('001-C DMR'!$R$6:$T$6&amp;'001-C DMR'!V$10&amp;'001-C DMR'!$B26,('DMR 001C NEW'!$E$3:$E$704&amp;'DMR 001C NEW'!$B$3:$B$704&amp;'DMR 001C NEW'!$A$3:$A$704),0),MATCH('001-C DMR'!$U$11,'DMR 001C NEW'!$A$2:$O$2,0)),"")</f>
        <v/>
      </c>
      <c r="W26" s="262" t="str">
        <f t="array" ref="W26">_xlfn.IFNA(INDEX('DMR 001C NEW'!$A$3:$O$591,MATCH('001-C DMR'!$R$6:$T$6&amp;'001-C DMR'!W$10&amp;'001-C DMR'!$B26,('DMR 001C NEW'!$E$3:$E$704&amp;'DMR 001C NEW'!$B$3:$B$704&amp;'DMR 001C NEW'!$A$3:$A$704),0),MATCH('001-C DMR'!$U$11,'DMR 001C NEW'!$A$2:$O$2,0)),"")</f>
        <v/>
      </c>
      <c r="X26" s="262" t="str">
        <f t="array" ref="X26">_xlfn.IFNA(INDEX('DMR 001C NEW'!$A$3:$O$591,MATCH('001-C DMR'!$R$6:$T$6&amp;'001-C DMR'!X$10&amp;'001-C DMR'!$B26,('DMR 001C NEW'!$E$3:$E$704&amp;'DMR 001C NEW'!$B$3:$B$704&amp;'DMR 001C NEW'!$A$3:$A$704),0),MATCH('001-C DMR'!$U$11,'DMR 001C NEW'!$A$2:$O$2,0)),"")</f>
        <v/>
      </c>
      <c r="Y26" s="262" t="str">
        <f t="array" ref="Y26">_xlfn.IFNA(INDEX('DMR 001C NEW'!$A$3:$O$591,MATCH('001-C DMR'!$R$6:$T$6&amp;'001-C DMR'!Y$10&amp;'001-C DMR'!$B26,('DMR 001C NEW'!$E$3:$E$704&amp;'DMR 001C NEW'!$B$3:$B$704&amp;'DMR 001C NEW'!$A$3:$A$704),0),MATCH('001-C DMR'!$U$11,'DMR 001C NEW'!$A$2:$O$2,0)),"")</f>
        <v/>
      </c>
      <c r="Z26" s="262" t="str">
        <f t="array" ref="Z26">_xlfn.IFNA(INDEX('DMR 001C NEW'!$A$3:$O$591,MATCH('001-C DMR'!$R$6:$T$6&amp;'001-C DMR'!Z$10&amp;'001-C DMR'!$B26,('DMR 001C NEW'!$E$3:$E$704&amp;'DMR 001C NEW'!$B$3:$B$704&amp;'DMR 001C NEW'!$A$3:$A$704),0),MATCH('001-C DMR'!$U$11,'DMR 001C NEW'!$A$2:$O$2,0)),"")</f>
        <v/>
      </c>
      <c r="AA26" s="262" t="str">
        <f t="array" ref="AA26">_xlfn.IFNA(INDEX('DMR 001C NEW'!$A$3:$O$591,MATCH('001-C DMR'!$R$6:$T$6&amp;'001-C DMR'!AA$10&amp;'001-C DMR'!$B26,('DMR 001C NEW'!$E$3:$E$704&amp;'DMR 001C NEW'!$B$3:$B$704&amp;'DMR 001C NEW'!$A$3:$A$704),0),MATCH('001-C DMR'!$U$11,'DMR 001C NEW'!$A$2:$O$2,0)),"")</f>
        <v/>
      </c>
      <c r="AB26" s="61" t="str">
        <f t="array" ref="AB26">IF(AD26&lt;AC26,"&lt;","")</f>
        <v/>
      </c>
      <c r="AC26" s="56">
        <f t="array" ref="AC26">_xlfn.IFNA(INDEX('DMR 001C NEW'!$A$3:$O$9999,MATCH(('001-C DMR'!$AB$6:$AJ$6&amp;'001-C DMR'!$AB$10:$AD$10&amp;'001-C DMR'!$B26),('DMR 001C NEW'!$E$3:$E$7246&amp;'DMR 001C NEW'!$B$3:$B$7246&amp;'DMR 001C NEW'!$A$3:$A$7246),0),MATCH('001-C DMR'!$AC$11,'DMR 001C NEW'!$A$2:$O$2,0)),"")</f>
        <v>3</v>
      </c>
      <c r="AD26" s="56">
        <f t="array" ref="AD26">_xlfn.IFNA(INDEX('DMR 001C NEW'!$A$3:$O$9999,MATCH(('001-C DMR'!$AB$6:$AJ$6&amp;'001-C DMR'!$AB$10:$AD$10&amp;'001-C DMR'!$B26),('DMR 001C NEW'!$E$3:$E$7246&amp;'DMR 001C NEW'!$B$3:$B$7246&amp;'DMR 001C NEW'!$A$3:$A$7246),0),MATCH('001-C DMR'!$AD$11,'DMR 001C NEW'!$A$2:$O$2,0)),"")</f>
        <v>11</v>
      </c>
      <c r="AE26" s="57" t="str">
        <f t="array" ref="AE26">IF(AG26&lt;AF26,"&lt;","")</f>
        <v/>
      </c>
      <c r="AF26" s="56">
        <f t="array" ref="AF26">_xlfn.IFNA(INDEX('DMR 001C NEW'!$A$3:$O$9999,MATCH(('001-C DMR'!$AB$6:$AJ$6&amp;'001-C DMR'!$AE$10&amp;'001-C DMR'!$B26),('DMR 001C NEW'!$E$3:$E$9018&amp;'DMR 001C NEW'!$B$3:$B$9018&amp;'DMR 001C NEW'!$A$3:$A$9018),0),MATCH('001-C DMR'!$AF$11,'DMR 001C NEW'!$A$2:$O$2,0)),"")</f>
        <v>3</v>
      </c>
      <c r="AG26" s="56">
        <f t="array" ref="AG26">_xlfn.IFNA(INDEX('DMR 001C NEW'!$A$3:$O$9999,MATCH(('001-C DMR'!$AB$6:$AJ$6&amp;'001-C DMR'!$AE$10&amp;'001-C DMR'!$B26),('DMR 001C NEW'!$E$3:$E$9018&amp;'DMR 001C NEW'!$B$3:$B$9018&amp;'DMR 001C NEW'!$A$3:$A$9018),0),MATCH('001-C DMR'!$AG$11,'DMR 001C NEW'!$A$2:$O$2,0)),"")</f>
        <v>15</v>
      </c>
      <c r="AH26" s="56">
        <f t="array" ref="AH26">IFERROR((($AD26*$EI26)+($AG26*$EJ26))/($EK26),"")</f>
        <v>13.441083102678075</v>
      </c>
      <c r="AI26" s="56" t="str">
        <f t="shared" si="42"/>
        <v/>
      </c>
      <c r="AJ26" s="64" t="str">
        <f t="shared" si="30"/>
        <v/>
      </c>
      <c r="AK26" s="262" t="str">
        <f t="array" ref="AK26">_xlfn.IFNA(INDEX('DMR 001C NEW'!$A$3:$O$999,MATCH(('001-C DMR'!$AB$6:$AJ$6&amp;'001-C DMR'!AK$10&amp;'001-C DMR'!$B26),('DMR 001C NEW'!$E$3:$E$1112&amp;'DMR 001C NEW'!$B$3:$B$1112&amp;'DMR 001C NEW'!$A$3:$A$1112),0),MATCH('001-C DMR'!$AD$11,'DMR 001C NEW'!$A$2:$O$2,0)),"")</f>
        <v/>
      </c>
      <c r="AL26" s="262" t="str">
        <f t="array" ref="AL26">_xlfn.IFNA(INDEX('DMR 001C NEW'!$A$3:$O$999,MATCH(('001-C DMR'!$AB$6:$AJ$6&amp;'001-C DMR'!AL$10&amp;'001-C DMR'!$B26),('DMR 001C NEW'!$E$3:$E$1112&amp;'DMR 001C NEW'!$B$3:$B$1112&amp;'DMR 001C NEW'!$A$3:$A$1112),0),MATCH('001-C DMR'!$AD$11,'DMR 001C NEW'!$A$2:$O$2,0)),"")</f>
        <v/>
      </c>
      <c r="AM26" s="262" t="str">
        <f t="array" ref="AM26">_xlfn.IFNA(INDEX('DMR 001C NEW'!$A$3:$O$999,MATCH(('001-C DMR'!$AB$6:$AJ$6&amp;'001-C DMR'!AM$10&amp;'001-C DMR'!$B26),('DMR 001C NEW'!$E$3:$E$1112&amp;'DMR 001C NEW'!$B$3:$B$1112&amp;'DMR 001C NEW'!$A$3:$A$1112),0),MATCH('001-C DMR'!$AD$11,'DMR 001C NEW'!$A$2:$O$2,0)),"")</f>
        <v/>
      </c>
      <c r="AN26" s="262" t="str">
        <f t="array" ref="AN26">_xlfn.IFNA(INDEX('DMR 001C NEW'!$A$3:$O$999,MATCH(('001-C DMR'!$AB$6:$AJ$6&amp;'001-C DMR'!AN$10&amp;'001-C DMR'!$B26),('DMR 001C NEW'!$E$3:$E$1112&amp;'DMR 001C NEW'!$B$3:$B$1112&amp;'DMR 001C NEW'!$A$3:$A$1112),0),MATCH('001-C DMR'!$AD$11,'DMR 001C NEW'!$A$2:$O$2,0)),"")</f>
        <v/>
      </c>
      <c r="AO26" s="262" t="str">
        <f t="array" ref="AO26">_xlfn.IFNA(INDEX('DMR 001C NEW'!$A$3:$O$999,MATCH(('001-C DMR'!$AB$6:$AJ$6&amp;'001-C DMR'!AO$10&amp;'001-C DMR'!$B26),('DMR 001C NEW'!$E$3:$E$1112&amp;'DMR 001C NEW'!$B$3:$B$1112&amp;'DMR 001C NEW'!$A$3:$A$1112),0),MATCH('001-C DMR'!$AD$11,'DMR 001C NEW'!$A$2:$O$2,0)),"")</f>
        <v/>
      </c>
      <c r="AP26" s="262" t="str">
        <f t="array" ref="AP26">_xlfn.IFNA(INDEX('DMR 001C NEW'!$A$3:$O$999,MATCH(('001-C DMR'!$AB$6:$AJ$6&amp;'001-C DMR'!AP$10&amp;'001-C DMR'!$B26),('DMR 001C NEW'!$E$3:$E$1112&amp;'DMR 001C NEW'!$B$3:$B$1112&amp;'DMR 001C NEW'!$A$3:$A$1112),0),MATCH('001-C DMR'!$AD$11,'DMR 001C NEW'!$A$2:$O$2,0)),"")</f>
        <v/>
      </c>
      <c r="AQ26" s="61" t="str">
        <f t="array" ref="AQ26">IF(AS26&lt;AR26,"&lt;","")</f>
        <v/>
      </c>
      <c r="AR26" s="58">
        <f t="array" ref="AR26">_xlfn.IFNA((INDEX('DMR 001C NEW'!$A$3:$O$9999,MATCH(('001-C DMR'!$AQ$6:$AZ$6&amp;'001-C DMR'!$AQ$10:$AS$10&amp;'001-C DMR'!$B26),('DMR 001C NEW'!$E$3:$E$7246&amp;'DMR 001C NEW'!$B$3:$B$7246&amp;'DMR 001C NEW'!$A$3:$A$7246),0),MATCH('001-C DMR'!$AR$11,'DMR 001C NEW'!$A$2:$O$2,0))),"")</f>
        <v>0.15</v>
      </c>
      <c r="AS26" s="58">
        <f t="array" ref="AS26">_xlfn.IFNA(INDEX('DMR 001C NEW'!$A$3:$O$9999,MATCH(('001-C DMR'!$AQ$6:$AZ$6&amp;'001-C DMR'!$AQ$10:$AS$10&amp;'001-C DMR'!$B26),('DMR 001C NEW'!$E$3:$E$7246&amp;'DMR 001C NEW'!$B$3:$B$7246&amp;'DMR 001C NEW'!$A$3:$A$7246),0),MATCH('001-C DMR'!$AS$11,'DMR 001C NEW'!$A$2:$O$2,0)),"")</f>
        <v>0.72</v>
      </c>
      <c r="AT26" s="58">
        <f t="shared" si="27"/>
        <v>0.72</v>
      </c>
      <c r="AU26" s="57" t="str">
        <f t="array" ref="AU26">IF(AW26&lt;AV26,"&lt;","")</f>
        <v/>
      </c>
      <c r="AV26" s="58">
        <f t="array" ref="AV26">_xlfn.IFNA((INDEX('DMR 001C NEW'!$A$3:$O$9999,MATCH(('001-C DMR'!$AQ$6:$AZ$6&amp;'001-C DMR'!$AU$10&amp;'001-C DMR'!$B26),('DMR 001C NEW'!$E$3:$E$7246&amp;'DMR 001C NEW'!$B$3:$B$7246&amp;'DMR 001C NEW'!$A$3:$A$7246),0),MATCH('001-C DMR'!$AR$11,'DMR 001C NEW'!$A$2:$O$2,0))),"")</f>
        <v>0.15</v>
      </c>
      <c r="AW26" s="58">
        <f t="array" ref="AW26">_xlfn.IFNA(INDEX('DMR 001C NEW'!$A$3:$O$9999,MATCH(('001-C DMR'!$AQ$6:$AZ$6&amp;'001-C DMR'!$AU$10&amp;'001-C DMR'!$B26),('DMR 001C NEW'!$E$3:$E$7246&amp;'DMR 001C NEW'!$B$3:$B$7246&amp;'DMR 001C NEW'!$A$3:$A$7246),0),MATCH('001-C DMR'!$AW$11,'DMR 001C NEW'!$A$2:$O$2,0)),"")</f>
        <v>0.57999999999999996</v>
      </c>
      <c r="AX26" s="58">
        <f t="shared" si="6"/>
        <v>0.57999999999999996</v>
      </c>
      <c r="AY26" s="56">
        <f t="array" ref="AY26">IFERROR((($AT26*$EI26)+($AX26*$EJ26))/($EK26),"")</f>
        <v>0.63456209140626729</v>
      </c>
      <c r="AZ26" s="64" t="str">
        <f t="shared" si="31"/>
        <v/>
      </c>
      <c r="BA26" s="279" t="str">
        <f t="array" ref="BA26">_xlfn.IFNA(INDEX('DMR 001C NEW'!$A$3:$O$9999,MATCH(('001-C DMR'!$AQ$6:$AZ$6&amp;'001-C DMR'!BA$10&amp;'001-C DMR'!$B26),('DMR 001C NEW'!$E$3:$E$1112&amp;'DMR 001C NEW'!$B$3:$B$1112&amp;'DMR 001C NEW'!$A$3:$A$1112),0),MATCH('001-C DMR'!$BA$11,'DMR 001C NEW'!$A$2:$O$2,0)),"")</f>
        <v/>
      </c>
      <c r="BB26" s="280" t="str">
        <f t="array" ref="BB26">_xlfn.IFNA(INDEX('DMR 001C NEW'!$A$3:$O$9999,MATCH(('001-C DMR'!$AQ$6:$AZ$6&amp;'001-C DMR'!BB$10&amp;'001-C DMR'!$B26),('DMR 001C NEW'!$E$3:$E$1112&amp;'DMR 001C NEW'!$B$3:$B$1112&amp;'DMR 001C NEW'!$A$3:$A$1112),0),MATCH('001-C DMR'!$BA$11,'DMR 001C NEW'!$A$2:$O$2,0)),"")</f>
        <v/>
      </c>
      <c r="BC26" s="280" t="str">
        <f t="array" ref="BC26">_xlfn.IFNA(INDEX('DMR 001C NEW'!$A$3:$O$9999,MATCH(('001-C DMR'!$AQ$6:$AZ$6&amp;'001-C DMR'!BC$10&amp;'001-C DMR'!$B26),('DMR 001C NEW'!$E$3:$E$1112&amp;'DMR 001C NEW'!$B$3:$B$1112&amp;'DMR 001C NEW'!$A$3:$A$1112),0),MATCH('001-C DMR'!$BA$11,'DMR 001C NEW'!$A$2:$O$2,0)),"")</f>
        <v/>
      </c>
      <c r="BD26" s="280" t="str">
        <f t="array" ref="BD26">_xlfn.IFNA(INDEX('DMR 001C NEW'!$A$3:$O$9999,MATCH(('001-C DMR'!$AQ$6:$AZ$6&amp;'001-C DMR'!BD$10&amp;'001-C DMR'!$B26),('DMR 001C NEW'!$E$3:$E$1112&amp;'DMR 001C NEW'!$B$3:$B$1112&amp;'DMR 001C NEW'!$A$3:$A$1112),0),MATCH('001-C DMR'!$BA$11,'DMR 001C NEW'!$A$2:$O$2,0)),"")</f>
        <v/>
      </c>
      <c r="BE26" s="280" t="str">
        <f t="array" ref="BE26">_xlfn.IFNA(INDEX('DMR 001C NEW'!$A$3:$O$9999,MATCH(('001-C DMR'!$AQ$6:$AZ$6&amp;'001-C DMR'!BE$10&amp;'001-C DMR'!$B26),('DMR 001C NEW'!$E$3:$E$1112&amp;'DMR 001C NEW'!$B$3:$B$1112&amp;'DMR 001C NEW'!$A$3:$A$1112),0),MATCH('001-C DMR'!$BA$11,'DMR 001C NEW'!$A$2:$O$2,0)),"")</f>
        <v/>
      </c>
      <c r="BF26" s="281" t="str">
        <f t="array" ref="BF26">_xlfn.IFNA(INDEX('DMR 001C NEW'!$A$3:$O$9999,MATCH(('001-C DMR'!$AQ$6:$AZ$6&amp;'001-C DMR'!BF$10&amp;'001-C DMR'!$B26),('DMR 001C NEW'!$E$3:$E$1112&amp;'DMR 001C NEW'!$B$3:$B$1112&amp;'DMR 001C NEW'!$A$3:$A$1112),0),MATCH('001-C DMR'!$BA$11,'DMR 001C NEW'!$A$2:$O$2,0)),"")</f>
        <v/>
      </c>
      <c r="BG26" s="57"/>
      <c r="BH26" s="58">
        <f t="array" ref="BH26">_xlfn.IFNA((INDEX('DMR 001C NEW'!$A$3:$O$9999,MATCH(('001-C DMR'!$BG$6&amp;'001-C DMR'!$BG$10&amp;'001-C DMR'!$B26),('DMR 001C NEW'!$E$3:$E$7246&amp;'DMR 001C NEW'!$B$3:$B$7246&amp;'DMR 001C NEW'!$A$3:$A$7246),0),MATCH('001-C DMR'!$BH$11,'DMR 001C NEW'!$A$2:$O$2,0))),"")</f>
        <v>0.06</v>
      </c>
      <c r="BI26" s="58">
        <f t="array" ref="BI26">_xlfn.IFNA(INDEX('DMR 001C NEW'!$A$3:$O$9999,MATCH(('001-C DMR'!$BG$6&amp;'001-C DMR'!$BG$10&amp;'001-C DMR'!$B26),('DMR 001C NEW'!$E$3:$E$7246&amp;'DMR 001C NEW'!$B$3:$B$7246&amp;'DMR 001C NEW'!$A$3:$A$7246),0),MATCH('001-C DMR'!$BI$11,'DMR 001C NEW'!$A$2:$O$2,0)),"")</f>
        <v>4.3499999999999996</v>
      </c>
      <c r="BJ26" s="58">
        <f t="shared" si="7"/>
        <v>4.3499999999999996</v>
      </c>
      <c r="BK26" s="57" t="str">
        <f t="shared" si="8"/>
        <v/>
      </c>
      <c r="BL26" s="58">
        <f t="array" ref="BL26">_xlfn.IFNA((INDEX('DMR 001C NEW'!$A$3:$O$9999,MATCH(('001-C DMR'!$BG$6&amp;'001-C DMR'!$BK$10&amp;'001-C DMR'!$B26),('DMR 001C NEW'!$E$3:$E$7246&amp;'DMR 001C NEW'!$B$3:$B$7246&amp;'DMR 001C NEW'!$A$3:$A$7246),0),MATCH('001-C DMR'!$BH$11,'DMR 001C NEW'!$A$2:$O$2,0))),"")</f>
        <v>0.06</v>
      </c>
      <c r="BM26" s="58">
        <f t="array" ref="BM26">_xlfn.IFNA(INDEX('DMR 001C NEW'!$A$3:$O$9999,MATCH(('001-C DMR'!$BG$6&amp;'001-C DMR'!$BK$10&amp;'001-C DMR'!$B26),('DMR 001C NEW'!$E$3:$E$7246&amp;'DMR 001C NEW'!$B$3:$B$7246&amp;'DMR 001C NEW'!$A$3:$A$7246),0),MATCH('001-C DMR'!$BI$11,'DMR 001C NEW'!$A$2:$O$2,0)),"")</f>
        <v>6.28</v>
      </c>
      <c r="BN26" s="58">
        <f t="shared" si="9"/>
        <v>6.28</v>
      </c>
      <c r="BO26" s="56">
        <f t="array" ref="BO26">IFERROR((($BJ26*$EI26)+($BN26*$EJ26))/($EK26),"")</f>
        <v>5.5278225970421717</v>
      </c>
      <c r="BP26" s="64" t="str">
        <f t="shared" si="32"/>
        <v/>
      </c>
      <c r="BQ26" s="280" t="str">
        <f t="array" ref="BQ26">_xlfn.IFNA(INDEX('DMR 001C NEW'!$A$3:$O$999,MATCH(('001-C DMR'!$BG$6&amp;'001-C DMR'!BQ$10&amp;'001-C DMR'!$B26),('DMR 001C NEW'!$E$3:$E$1112&amp;'DMR 001C NEW'!$B$3:$B$1112&amp;'DMR 001C NEW'!$A$3:$A$1112),0),MATCH('001-C DMR'!$BQ$11,'DMR 001C NEW'!$A$2:$O$2,0)),"")</f>
        <v/>
      </c>
      <c r="BR26" s="280" t="str">
        <f t="array" ref="BR26">_xlfn.IFNA(INDEX('DMR 001C NEW'!$A$3:$O$999,MATCH(('001-C DMR'!$BG$6&amp;'001-C DMR'!BR$10&amp;'001-C DMR'!$B26),('DMR 001C NEW'!$E$3:$E$1112&amp;'DMR 001C NEW'!$B$3:$B$1112&amp;'DMR 001C NEW'!$A$3:$A$1112),0),MATCH('001-C DMR'!$BQ$11,'DMR 001C NEW'!$A$2:$O$2,0)),"")</f>
        <v/>
      </c>
      <c r="BS26" s="280" t="str">
        <f t="array" ref="BS26">_xlfn.IFNA(INDEX('DMR 001C NEW'!$A$3:$O$999,MATCH(('001-C DMR'!$BG$6&amp;'001-C DMR'!BS$10&amp;'001-C DMR'!$B26),('DMR 001C NEW'!$E$3:$E$1112&amp;'DMR 001C NEW'!$B$3:$B$1112&amp;'DMR 001C NEW'!$A$3:$A$1112),0),MATCH('001-C DMR'!$BQ$11,'DMR 001C NEW'!$A$2:$O$2,0)),"")</f>
        <v/>
      </c>
      <c r="BT26" s="280" t="str">
        <f t="array" ref="BT26">_xlfn.IFNA(INDEX('DMR 001C NEW'!$A$3:$O$999,MATCH(('001-C DMR'!$BG$6&amp;'001-C DMR'!BT$10&amp;'001-C DMR'!$B26),('DMR 001C NEW'!$E$3:$E$1112&amp;'DMR 001C NEW'!$B$3:$B$1112&amp;'DMR 001C NEW'!$A$3:$A$1112),0),MATCH('001-C DMR'!$BQ$11,'DMR 001C NEW'!$A$2:$O$2,0)),"")</f>
        <v/>
      </c>
      <c r="BU26" s="280" t="str">
        <f t="array" ref="BU26">_xlfn.IFNA(INDEX('DMR 001C NEW'!$A$3:$O$999,MATCH(('001-C DMR'!$BG$6&amp;'001-C DMR'!BU$10&amp;'001-C DMR'!$B26),('DMR 001C NEW'!$E$3:$E$1112&amp;'DMR 001C NEW'!$B$3:$B$1112&amp;'DMR 001C NEW'!$A$3:$A$1112),0),MATCH('001-C DMR'!$BQ$11,'DMR 001C NEW'!$A$2:$O$2,0)),"")</f>
        <v/>
      </c>
      <c r="BV26" s="280" t="str">
        <f t="array" ref="BV26">_xlfn.IFNA(INDEX('DMR 001C NEW'!$A$3:$O$999,MATCH(('001-C DMR'!$BG$6&amp;'001-C DMR'!BV$10&amp;'001-C DMR'!$B26),('DMR 001C NEW'!$E$3:$E$1112&amp;'DMR 001C NEW'!$B$3:$B$1112&amp;'DMR 001C NEW'!$A$3:$A$1112),0),MATCH('001-C DMR'!$BQ$11,'DMR 001C NEW'!$A$2:$O$2,0)),"")</f>
        <v/>
      </c>
      <c r="BW26" s="65"/>
      <c r="BX26" s="65"/>
      <c r="BY26" s="57" t="str">
        <f t="shared" si="10"/>
        <v/>
      </c>
      <c r="BZ26" s="58" t="str">
        <f t="array" ref="BZ26">_xlfn.IFNA((INDEX('DMR 001C NEW'!$A$3:$O$9999,MATCH(('001-C DMR'!$BY$6&amp;'001-C DMR'!$BY$10&amp;'001-C DMR'!$B26),('DMR 001C NEW'!$E$3:$E$7246&amp;'DMR 001C NEW'!$B$3:$B$7246&amp;'DMR 001C NEW'!$A$3:$A$7246),0),MATCH('001-C DMR'!$BZ$11,'DMR 001C NEW'!$A$2:$O$2,0))),"")</f>
        <v/>
      </c>
      <c r="CA26" s="138" t="str">
        <f t="array" ref="CA26">_xlfn.IFNA(INDEX('DMR 001C NEW'!$A$3:$O$9999,MATCH(('001-C DMR'!$BY$6&amp;'001-C DMR'!$BY$10&amp;'001-C DMR'!$B26),('DMR 001C NEW'!$E$3:$E$7246&amp;'DMR 001C NEW'!$B$3:$B$7246&amp;'DMR 001C NEW'!$A$3:$A$7246),0),MATCH('001-C DMR'!$CA$11,'DMR 001C NEW'!$A$2:$O$2,0)),"")</f>
        <v/>
      </c>
      <c r="CB26" s="57" t="str">
        <f t="shared" si="11"/>
        <v/>
      </c>
      <c r="CC26" s="58" t="str">
        <f t="array" ref="CC26">_xlfn.IFNA((INDEX('DMR 001C NEW'!$A$3:$O$9999,MATCH(('001-C DMR'!$BY$6&amp;'001-C DMR'!$CB$10&amp;'001-C DMR'!$B26),('DMR 001C NEW'!$E$3:$E$7246&amp;'DMR 001C NEW'!$B$3:$B$7246&amp;'DMR 001C NEW'!$A$3:$A$7246),0),MATCH('001-C DMR'!$BZ$11,'DMR 001C NEW'!$A$2:$O$2,0))),"")</f>
        <v/>
      </c>
      <c r="CD26" s="138" t="str">
        <f t="array" ref="CD26">_xlfn.IFNA(INDEX('DMR 001C NEW'!$A$3:$O$9999,MATCH(('001-C DMR'!$BY$6&amp;'001-C DMR'!$CB$10&amp;'001-C DMR'!$B26),('DMR 001C NEW'!$E$3:$E$7246&amp;'DMR 001C NEW'!$B$3:$B$7246&amp;'DMR 001C NEW'!$A$3:$A$7246),0),MATCH('001-C DMR'!$CA$11,'DMR 001C NEW'!$A$2:$O$2,0)),"")</f>
        <v/>
      </c>
      <c r="CE26" s="138" t="str">
        <f t="array" ref="CE26">IFERROR((($CA26*$EI26)+($CD26*$EJ26))/($EK26),"")</f>
        <v/>
      </c>
      <c r="CF26" s="64" t="str">
        <f t="shared" si="33"/>
        <v/>
      </c>
      <c r="CG26" s="280" t="str">
        <f t="array" ref="CG26">_xlfn.IFNA(INDEX('DMR 001C NEW'!$A$3:$O$999,MATCH(('001-C DMR'!$BY$6&amp;'001-C DMR'!CG$10&amp;'001-C DMR'!$B26),('DMR 001C NEW'!$E$3:$E$1112&amp;'DMR 001C NEW'!$B$3:$B$1112&amp;'DMR 001C NEW'!$A$3:$A$1112),0),MATCH('001-C DMR'!$CA$11,'DMR 001C NEW'!$A$2:$O$2,0)),"")</f>
        <v/>
      </c>
      <c r="CH26" s="280" t="str">
        <f t="array" ref="CH26">_xlfn.IFNA(INDEX('DMR 001C NEW'!$A$3:$O$999,MATCH(('001-C DMR'!$BY$6&amp;'001-C DMR'!CH$10&amp;'001-C DMR'!$B26),('DMR 001C NEW'!$E$3:$E$1112&amp;'DMR 001C NEW'!$B$3:$B$1112&amp;'DMR 001C NEW'!$A$3:$A$1112),0),MATCH('001-C DMR'!$CA$11,'DMR 001C NEW'!$A$2:$O$2,0)),"")</f>
        <v/>
      </c>
      <c r="CI26" s="280" t="str">
        <f t="array" ref="CI26">_xlfn.IFNA(INDEX('DMR 001C NEW'!$A$3:$O$999,MATCH(('001-C DMR'!$BY$6&amp;'001-C DMR'!CI$10&amp;'001-C DMR'!$B26),('DMR 001C NEW'!$E$3:$E$1112&amp;'DMR 001C NEW'!$B$3:$B$1112&amp;'DMR 001C NEW'!$A$3:$A$1112),0),MATCH('001-C DMR'!$CA$11,'DMR 001C NEW'!$A$2:$O$2,0)),"")</f>
        <v/>
      </c>
      <c r="CJ26" s="280" t="str">
        <f t="array" ref="CJ26">_xlfn.IFNA(INDEX('DMR 001C NEW'!$A$3:$O$999,MATCH(('001-C DMR'!$BY$6&amp;'001-C DMR'!CJ$10&amp;'001-C DMR'!$B26),('DMR 001C NEW'!$E$3:$E$1112&amp;'DMR 001C NEW'!$B$3:$B$1112&amp;'DMR 001C NEW'!$A$3:$A$1112),0),MATCH('001-C DMR'!$CA$11,'DMR 001C NEW'!$A$2:$O$2,0)),"")</f>
        <v/>
      </c>
      <c r="CK26" s="280" t="str">
        <f t="array" ref="CK26">_xlfn.IFNA(INDEX('DMR 001C NEW'!$A$3:$O$999,MATCH(('001-C DMR'!$BY$6&amp;'001-C DMR'!CK$10&amp;'001-C DMR'!$B26),('DMR 001C NEW'!$E$3:$E$1112&amp;'DMR 001C NEW'!$B$3:$B$1112&amp;'DMR 001C NEW'!$A$3:$A$1112),0),MATCH('001-C DMR'!$CA$11,'DMR 001C NEW'!$A$2:$O$2,0)),"")</f>
        <v/>
      </c>
      <c r="CL26" s="280" t="str">
        <f t="array" ref="CL26">_xlfn.IFNA(INDEX('DMR 001C NEW'!$A$3:$O$999,MATCH(('001-C DMR'!$BY$6&amp;'001-C DMR'!CL$10&amp;'001-C DMR'!$B26),('DMR 001C NEW'!$E$3:$E$1112&amp;'DMR 001C NEW'!$B$3:$B$1112&amp;'DMR 001C NEW'!$A$3:$A$1112),0),MATCH('001-C DMR'!$CA$11,'DMR 001C NEW'!$A$2:$O$2,0)),"")</f>
        <v/>
      </c>
      <c r="CM26" s="61" t="str">
        <f t="shared" si="12"/>
        <v/>
      </c>
      <c r="CN26" s="138" t="str">
        <f t="array" ref="CN26">_xlfn.IFNA((INDEX('DMR 001C NEW'!$A$3:$O$9999,MATCH(('001-C DMR'!$CM$6&amp;'001-C DMR'!$CM$10&amp;'001-C DMR'!$B26),('DMR 001C NEW'!$E$3:$E$9018&amp;'DMR 001C NEW'!$B$3:$B$9018&amp;'DMR 001C NEW'!$A$3:$A$9018),0),MATCH('001-C DMR'!$CN$11,'DMR 001C NEW'!$A$2:$O$2,0))*1000),"")</f>
        <v/>
      </c>
      <c r="CO26" s="138" t="str">
        <f t="array" ref="CO26">_xlfn.IFNA(INDEX('DMR 001C NEW'!$A$3:$O$9999,MATCH(('001-C DMR'!$CM$6&amp;'001-C DMR'!$CM$10&amp;'001-C DMR'!$B26),('DMR 001C NEW'!$E$3:$E$9018&amp;'DMR 001C NEW'!$B$3:$B$9018&amp;'DMR 001C NEW'!$A$3:$A$9018),0),MATCH('001-C DMR'!$CO$11,'DMR 001C NEW'!$A$2:$O$2,0))*1000,"")</f>
        <v/>
      </c>
      <c r="CP26" s="138" t="str">
        <f t="shared" si="13"/>
        <v/>
      </c>
      <c r="CQ26" s="64" t="str">
        <f t="shared" si="34"/>
        <v/>
      </c>
      <c r="CR26" s="280" t="str">
        <f t="array" ref="CR26">_xlfn.IFNA(INDEX('DMR 001C NEW'!$A$3:$O$999,MATCH(('001-C DMR'!$CM$6&amp;'001-C DMR'!CR$10&amp;'001-C DMR'!$B26),('DMR 001C NEW'!$E$3:$E$1112&amp;'DMR 001C NEW'!$B$3:$B$1112&amp;'DMR 001C NEW'!$A$3:$A$1112),0),MATCH('001-C DMR'!$CO$11,'DMR 001C NEW'!$A$2:$O$2,0)),"")</f>
        <v/>
      </c>
      <c r="CS26" s="280" t="str">
        <f t="array" ref="CS26">_xlfn.IFNA(INDEX('DMR 001C NEW'!$A$3:$O$999,MATCH(('001-C DMR'!$CM$6&amp;'001-C DMR'!CS$10&amp;'001-C DMR'!$B26),('DMR 001C NEW'!$E$3:$E$1112&amp;'DMR 001C NEW'!$B$3:$B$1112&amp;'DMR 001C NEW'!$A$3:$A$1112),0),MATCH('001-C DMR'!$CO$11,'DMR 001C NEW'!$A$2:$O$2,0)),"")</f>
        <v/>
      </c>
      <c r="CT26" s="280" t="str">
        <f t="array" ref="CT26">_xlfn.IFNA(INDEX('DMR 001C NEW'!$A$3:$O$999,MATCH(('001-C DMR'!$CM$6&amp;'001-C DMR'!CT$10&amp;'001-C DMR'!$B26),('DMR 001C NEW'!$E$3:$E$1112&amp;'DMR 001C NEW'!$B$3:$B$1112&amp;'DMR 001C NEW'!$A$3:$A$1112),0),MATCH('001-C DMR'!$CO$11,'DMR 001C NEW'!$A$2:$O$2,0)),"")</f>
        <v/>
      </c>
      <c r="CU26" s="280" t="str">
        <f t="array" ref="CU26">_xlfn.IFNA(INDEX('DMR 001C NEW'!$A$3:$O$999,MATCH(('001-C DMR'!$CM$6&amp;'001-C DMR'!CU$10&amp;'001-C DMR'!$B26),('DMR 001C NEW'!$E$3:$E$1112&amp;'DMR 001C NEW'!$B$3:$B$1112&amp;'DMR 001C NEW'!$A$3:$A$1112),0),MATCH('001-C DMR'!$CO$11,'DMR 001C NEW'!$A$2:$O$2,0)),"")</f>
        <v/>
      </c>
      <c r="CV26" s="280" t="str">
        <f t="array" ref="CV26">_xlfn.IFNA(INDEX('DMR 001C NEW'!$A$3:$O$999,MATCH(('001-C DMR'!$CM$6&amp;'001-C DMR'!CV$10&amp;'001-C DMR'!$B26),('DMR 001C NEW'!$E$3:$E$1112&amp;'DMR 001C NEW'!$B$3:$B$1112&amp;'DMR 001C NEW'!$A$3:$A$1112),0),MATCH('001-C DMR'!$CO$11,'DMR 001C NEW'!$A$2:$O$2,0)),"")</f>
        <v/>
      </c>
      <c r="CW26" s="280" t="str">
        <f t="array" ref="CW26">_xlfn.IFNA(INDEX('DMR 001C NEW'!$A$3:$O$999,MATCH(('001-C DMR'!$CM$6&amp;'001-C DMR'!CW$10&amp;'001-C DMR'!$B26),('DMR 001C NEW'!$E$3:$E$1112&amp;'DMR 001C NEW'!$B$3:$B$1112&amp;'DMR 001C NEW'!$A$3:$A$1112),0),MATCH('001-C DMR'!$CO$11,'DMR 001C NEW'!$A$2:$O$2,0)),"")</f>
        <v/>
      </c>
      <c r="CX26" s="280" t="str">
        <f t="array" ref="CX26">_xlfn.IFNA(INDEX('DMR 001C NEW'!$A$3:$O$999,MATCH(('001-C DMR'!$CM$6&amp;'001-C DMR'!CX$10&amp;'001-C DMR'!$B26),('DMR 001C NEW'!$E$3:$E$1112&amp;'DMR 001C NEW'!$B$3:$B$1112&amp;'DMR 001C NEW'!$A$3:$A$1112),0),MATCH('001-C DMR'!$CO$11,'DMR 001C NEW'!$A$2:$O$2,0)),"")</f>
        <v/>
      </c>
      <c r="CY26" s="61" t="str">
        <f t="shared" si="14"/>
        <v/>
      </c>
      <c r="CZ26" s="138" t="str">
        <f t="array" ref="CZ26">_xlfn.IFNA((INDEX('DMR 001C NEW'!$A$3:$O$9999,MATCH(('001-C DMR'!$CY$6&amp;'001-C DMR'!$CY$10&amp;'001-C DMR'!$B26),('DMR 001C NEW'!$E$3:$E$9018&amp;'DMR 001C NEW'!$B$3:$B$9018&amp;'DMR 001C NEW'!$A$3:$A$9018),0),MATCH('001-C DMR'!$CZ$11,'DMR 001C NEW'!$A$2:$O$2,0))*1000),"")</f>
        <v/>
      </c>
      <c r="DA26" s="138" t="str">
        <f t="array" ref="DA26">_xlfn.IFNA(INDEX('DMR 001C NEW'!$A$3:$O$9999,MATCH(('001-C DMR'!$CY$6&amp;'001-C DMR'!$CY$10&amp;'001-C DMR'!$B26),('DMR 001C NEW'!$E$3:$E$9018&amp;'DMR 001C NEW'!$B$3:$B$9018&amp;'DMR 001C NEW'!$A$3:$A$9018),0),MATCH('001-C DMR'!$DA$11,'DMR 001C NEW'!$A$2:$O$2,0))*1000,"")</f>
        <v/>
      </c>
      <c r="DB26" s="138" t="str">
        <f t="shared" si="15"/>
        <v/>
      </c>
      <c r="DC26" s="64" t="str">
        <f t="shared" si="35"/>
        <v/>
      </c>
      <c r="DD26" s="280" t="str">
        <f t="array" ref="DD26">_xlfn.IFNA(INDEX('DMR 001C NEW'!$A$3:$O$999,MATCH(('001-C DMR'!$CY$6&amp;'001-C DMR'!DD$10&amp;'001-C DMR'!$B26),('DMR 001C NEW'!$E$3:$E$1112&amp;'DMR 001C NEW'!$B$3:$B$1112&amp;'DMR 001C NEW'!$A$3:$A$1112),0),MATCH('001-C DMR'!$DA$11,'DMR 001C NEW'!$A$2:$O$2,0)),"")</f>
        <v/>
      </c>
      <c r="DE26" s="280" t="str">
        <f t="array" ref="DE26">_xlfn.IFNA(INDEX('DMR 001C NEW'!$A$3:$O$999,MATCH(('001-C DMR'!$CY$6&amp;'001-C DMR'!DE$10&amp;'001-C DMR'!$B26),('DMR 001C NEW'!$E$3:$E$1112&amp;'DMR 001C NEW'!$B$3:$B$1112&amp;'DMR 001C NEW'!$A$3:$A$1112),0),MATCH('001-C DMR'!$DA$11,'DMR 001C NEW'!$A$2:$O$2,0)),"")</f>
        <v/>
      </c>
      <c r="DF26" s="280" t="str">
        <f t="array" ref="DF26">_xlfn.IFNA(INDEX('DMR 001C NEW'!$A$3:$O$999,MATCH(('001-C DMR'!$CY$6&amp;'001-C DMR'!DF$10&amp;'001-C DMR'!$B26),('DMR 001C NEW'!$E$3:$E$1112&amp;'DMR 001C NEW'!$B$3:$B$1112&amp;'DMR 001C NEW'!$A$3:$A$1112),0),MATCH('001-C DMR'!$DA$11,'DMR 001C NEW'!$A$2:$O$2,0)),"")</f>
        <v/>
      </c>
      <c r="DG26" s="280" t="str">
        <f t="array" ref="DG26">_xlfn.IFNA(INDEX('DMR 001C NEW'!$A$3:$O$999,MATCH(('001-C DMR'!$CY$6&amp;'001-C DMR'!DG$10&amp;'001-C DMR'!$B26),('DMR 001C NEW'!$E$3:$E$1112&amp;'DMR 001C NEW'!$B$3:$B$1112&amp;'DMR 001C NEW'!$A$3:$A$1112),0),MATCH('001-C DMR'!$DA$11,'DMR 001C NEW'!$A$2:$O$2,0)),"")</f>
        <v/>
      </c>
      <c r="DH26" s="280" t="str">
        <f t="array" ref="DH26">_xlfn.IFNA(INDEX('DMR 001C NEW'!$A$3:$O$999,MATCH(('001-C DMR'!$CY$6&amp;'001-C DMR'!DH$10&amp;'001-C DMR'!$B26),('DMR 001C NEW'!$E$3:$E$1112&amp;'DMR 001C NEW'!$B$3:$B$1112&amp;'DMR 001C NEW'!$A$3:$A$1112),0),MATCH('001-C DMR'!$DA$11,'DMR 001C NEW'!$A$2:$O$2,0)),"")</f>
        <v/>
      </c>
      <c r="DI26" s="280" t="str">
        <f t="array" ref="DI26">_xlfn.IFNA(INDEX('DMR 001C NEW'!$A$3:$O$999,MATCH(('001-C DMR'!$CY$6&amp;'001-C DMR'!DI$10&amp;'001-C DMR'!$B26),('DMR 001C NEW'!$E$3:$E$1112&amp;'DMR 001C NEW'!$B$3:$B$1112&amp;'DMR 001C NEW'!$A$3:$A$1112),0),MATCH('001-C DMR'!$DA$11,'DMR 001C NEW'!$A$2:$O$2,0)),"")</f>
        <v/>
      </c>
      <c r="DJ26" s="280" t="str">
        <f t="array" ref="DJ26">_xlfn.IFNA(INDEX('DMR 001C NEW'!$A$3:$O$999,MATCH(('001-C DMR'!$CY$6&amp;'001-C DMR'!DJ$10&amp;'001-C DMR'!$B26),('DMR 001C NEW'!$E$3:$E$1112&amp;'DMR 001C NEW'!$B$3:$B$1112&amp;'DMR 001C NEW'!$A$3:$A$1112),0),MATCH('001-C DMR'!$DA$11,'DMR 001C NEW'!$A$2:$O$2,0)),"")</f>
        <v/>
      </c>
      <c r="DK26" s="61" t="str">
        <f t="shared" si="16"/>
        <v/>
      </c>
      <c r="DL26" s="58" t="str">
        <f t="array" ref="DL26">_xlfn.IFNA((INDEX('DMR 001C NEW'!$A$3:$O$9999,MATCH(('001-C DMR'!$DK$6&amp;'001-C DMR'!$DK$10&amp;'001-C DMR'!$B26),('DMR 001C NEW'!$E$3:$E$9018&amp;'DMR 001C NEW'!$B$3:$B$9018&amp;'DMR 001C NEW'!$A$3:$A$9018),0),MATCH('001-C DMR'!$DL$11,'DMR 001C NEW'!$A$2:$O$2,0))),"")</f>
        <v/>
      </c>
      <c r="DM26" s="58" t="str">
        <f t="array" ref="DM26">_xlfn.IFNA(INDEX('DMR 001C NEW'!$A$3:$O$9999,MATCH(('001-C DMR'!$DK$6&amp;'001-C DMR'!$DK$10&amp;'001-C DMR'!$B26),('DMR 001C NEW'!$E$3:$E$9018&amp;'DMR 001C NEW'!$B$3:$B$9018&amp;'DMR 001C NEW'!$A$3:$A$9018),0),MATCH('001-C DMR'!$DM$11,'DMR 001C NEW'!$A$2:$O$2,0)),"")</f>
        <v/>
      </c>
      <c r="DN26" s="58" t="str">
        <f t="shared" si="17"/>
        <v/>
      </c>
      <c r="DO26" s="223"/>
      <c r="DP26" s="224"/>
      <c r="DQ26" s="64" t="str">
        <f t="shared" si="18"/>
        <v/>
      </c>
      <c r="DR26" s="280" t="str">
        <f t="array" ref="DR26">_xlfn.IFNA(INDEX('DMR 001C NEW'!$A$3:$O$999,MATCH(('001-C DMR'!$DK$6&amp;'001-C DMR'!DR$10&amp;'001-C DMR'!$B26),('DMR 001C NEW'!$E$3:$E$1112&amp;'DMR 001C NEW'!$B$3:$B$1112&amp;'DMR 001C NEW'!$A$3:$A$1112),0),MATCH('001-C DMR'!$DR$11,'DMR 001C NEW'!$A$2:$O$2,0)),"")</f>
        <v/>
      </c>
      <c r="DS26" s="280" t="str">
        <f t="array" ref="DS26">_xlfn.IFNA(INDEX('DMR 001C NEW'!$A$3:$O$999,MATCH(('001-C DMR'!$DK$6&amp;'001-C DMR'!DS$10&amp;'001-C DMR'!$B26),('DMR 001C NEW'!$E$3:$E$1112&amp;'DMR 001C NEW'!$B$3:$B$1112&amp;'DMR 001C NEW'!$A$3:$A$1112),0),MATCH('001-C DMR'!$DR$11,'DMR 001C NEW'!$A$2:$O$2,0)),"")</f>
        <v/>
      </c>
      <c r="DT26" s="280" t="str">
        <f t="array" ref="DT26">_xlfn.IFNA(INDEX('DMR 001C NEW'!$A$3:$O$999,MATCH(('001-C DMR'!$DK$6&amp;'001-C DMR'!DT$10&amp;'001-C DMR'!$B26),('DMR 001C NEW'!$E$3:$E$1112&amp;'DMR 001C NEW'!$B$3:$B$1112&amp;'DMR 001C NEW'!$A$3:$A$1112),0),MATCH('001-C DMR'!$DR$11,'DMR 001C NEW'!$A$2:$O$2,0)),"")</f>
        <v/>
      </c>
      <c r="DU26" s="280" t="str">
        <f t="array" ref="DU26">_xlfn.IFNA(INDEX('DMR 001C NEW'!$A$3:$O$999,MATCH(('001-C DMR'!$DK$6&amp;'001-C DMR'!DU$10&amp;'001-C DMR'!$B26),('DMR 001C NEW'!$E$3:$E$1112&amp;'DMR 001C NEW'!$B$3:$B$1112&amp;'DMR 001C NEW'!$A$3:$A$1112),0),MATCH('001-C DMR'!$DR$11,'DMR 001C NEW'!$A$2:$O$2,0)),"")</f>
        <v/>
      </c>
      <c r="DV26" s="280" t="str">
        <f t="array" ref="DV26">_xlfn.IFNA(INDEX('DMR 001C NEW'!$A$3:$O$999,MATCH(('001-C DMR'!$DK$6&amp;'001-C DMR'!DV$10&amp;'001-C DMR'!$B26),('DMR 001C NEW'!$E$3:$E$1112&amp;'DMR 001C NEW'!$B$3:$B$1112&amp;'DMR 001C NEW'!$A$3:$A$1112),0),MATCH('001-C DMR'!$DR$11,'DMR 001C NEW'!$A$2:$O$2,0)),"")</f>
        <v/>
      </c>
      <c r="DW26" s="280" t="str">
        <f t="array" ref="DW26">_xlfn.IFNA(INDEX('DMR 001C NEW'!$A$3:$O$999,MATCH(('001-C DMR'!$DK$6&amp;'001-C DMR'!DW$10&amp;'001-C DMR'!$B26),('DMR 001C NEW'!$E$3:$E$1112&amp;'DMR 001C NEW'!$B$3:$B$1112&amp;'DMR 001C NEW'!$A$3:$A$1112),0),MATCH('001-C DMR'!$DR$11,'DMR 001C NEW'!$A$2:$O$2,0)),"")</f>
        <v/>
      </c>
      <c r="DX26" s="280" t="str">
        <f t="array" ref="DX26">_xlfn.IFNA(INDEX('DMR 001C NEW'!$A$3:$O$999,MATCH(('001-C DMR'!$DK$6&amp;'001-C DMR'!DX$10&amp;'001-C DMR'!$B26),('DMR 001C NEW'!$E$3:$E$1112&amp;'DMR 001C NEW'!$B$3:$B$1112&amp;'DMR 001C NEW'!$A$3:$A$1112),0),MATCH('001-C DMR'!$DR$11,'DMR 001C NEW'!$A$2:$O$2,0)),"")</f>
        <v/>
      </c>
      <c r="DY26" s="61" t="str">
        <f t="shared" si="28"/>
        <v/>
      </c>
      <c r="DZ26" s="249" t="str">
        <f t="array" ref="DZ26">_xlfn.IFNA((INDEX('DMR 001C NEW'!$A$3:$O$9999,MATCH(('001-C DMR'!$DY$6&amp;'001-C DMR'!$DY$10&amp;'001-C DMR'!$B26),('DMR 001C NEW'!$E$3:$E$9018&amp;'DMR 001C NEW'!$B$3:$B$9018&amp;'DMR 001C NEW'!$A$3:$A$9018),0),MATCH('001-C DMR'!$DZ$11,'DMR 001C NEW'!$A$2:$O$2,0))),"")</f>
        <v/>
      </c>
      <c r="EA26" s="249" t="str">
        <f t="array" ref="EA26">_xlfn.IFNA((INDEX('DMR 001C NEW'!$A$3:$O$9999,MATCH(('001-C DMR'!$DY$6&amp;'001-C DMR'!$DY$10&amp;'001-C DMR'!$B26),('DMR 001C NEW'!$E$3:$E$9018&amp;'DMR 001C NEW'!$B$3:$B$9018&amp;'DMR 001C NEW'!$A$3:$A$9018),0),MATCH('001-C DMR'!$EA$11,'DMR 001C NEW'!$A$2:$O$2,0))),"")</f>
        <v/>
      </c>
      <c r="EB26" s="249" t="str">
        <f t="array" ref="EB26">IF(EA26="SCRATCHED","",IF(EA26&lt;DZ26,0,EA26))</f>
        <v/>
      </c>
      <c r="EC26" s="249" t="str">
        <f t="shared" si="29"/>
        <v/>
      </c>
      <c r="ED26" s="249" t="str">
        <f t="array" ref="ED26">_xlfn.IFNA((INDEX('DMR 001C NEW'!$A$3:$O$9999,MATCH(('001-C DMR'!$DY$6&amp;'001-C DMR'!$EC$10&amp;'001-C DMR'!$B26),('DMR 001C NEW'!$E$3:$E$9018&amp;'DMR 001C NEW'!$B$3:$B$9018&amp;'DMR 001C NEW'!$A$3:$A$9018),0),MATCH('001-C DMR'!$DZ$11,'DMR 001C NEW'!$A$2:$O$2,0))),"")</f>
        <v/>
      </c>
      <c r="EE26" s="249" t="str">
        <f t="array" ref="EE26">_xlfn.IFNA((INDEX('DMR 001C NEW'!$A$3:$O$9999,MATCH(('001-C DMR'!$DY$6&amp;'001-C DMR'!$EC$10&amp;'001-C DMR'!$B26),('DMR 001C NEW'!$E$3:$E$9018&amp;'DMR 001C NEW'!$B$3:$B$9018&amp;'DMR 001C NEW'!$A$3:$A$9018),0),MATCH('001-C DMR'!$EE$11,'DMR 001C NEW'!$A$2:$O$2,0))),"")</f>
        <v/>
      </c>
      <c r="EF26" s="249" t="str">
        <f t="array" ref="EF26">IF(EE26="SCRATCHED","",IF(EE26&lt;ED26,0,EE26))</f>
        <v/>
      </c>
      <c r="EG26" s="249"/>
      <c r="EH26" s="195"/>
      <c r="EI26" s="194">
        <f t="array" ref="EI26">_xlfn.IFNA(INDEX('DMR Flows-Effluent'!$A$3:$F$186,MATCH(($EI$10&amp;$B26),('DMR Flows-Effluent'!$B$3:$B$186&amp;'DMR Flows-Effluent'!$A$3:$A$186),0),MATCH($EI$8,'DMR Flows-Effluent'!$A$2:$F$2,0)),"")</f>
        <v>52.520299999999999</v>
      </c>
      <c r="EJ26" s="56">
        <f t="array" ref="EJ26">_xlfn.IFNA(INDEX('DMR Flows-Effluent'!$A$3:$F$186,MATCH(($EJ$10&amp;$B26),('DMR Flows-Effluent'!$B$3:$B$186&amp;'DMR Flows-Effluent'!$A$3:$A$186),0),MATCH($EI$8,'DMR Flows-Effluent'!$A$2:$F$2,0)),"")</f>
        <v>82.240700000000004</v>
      </c>
      <c r="EK26" s="168">
        <f t="shared" si="19"/>
        <v>134.761</v>
      </c>
      <c r="EL26" s="63"/>
      <c r="EM26" s="63"/>
      <c r="EN26" s="63"/>
      <c r="EO26" s="63"/>
      <c r="EP26" s="62"/>
      <c r="EQ26" s="157">
        <f>'E.Coli Calculations'!R20</f>
        <v>91.571211368179391</v>
      </c>
      <c r="ER26" s="56"/>
      <c r="ES26" s="64" t="str">
        <f t="shared" si="36"/>
        <v/>
      </c>
      <c r="ET26" s="61" t="str">
        <f t="shared" si="20"/>
        <v/>
      </c>
      <c r="EU26" s="58" t="str">
        <f t="array" ref="EU26">_xlfn.IFNA((INDEX('DMR 001C NEW'!$A$3:$O$9999,MATCH(('001-C DMR'!$ET$6&amp;'001-C DMR'!$ET$10&amp;'001-C DMR'!$B26),('DMR 001C NEW'!$E$3:$E$9018&amp;'DMR 001C NEW'!$B$3:$B$9018&amp;'DMR 001C NEW'!$A$3:$A$9018),0),MATCH('001-C DMR'!$EU$11,'DMR 001C NEW'!$A$2:$O$2,0))),"")</f>
        <v/>
      </c>
      <c r="EV26" s="58" t="str">
        <f t="array" ref="EV26">_xlfn.IFNA(INDEX('DMR 001C NEW'!$A$3:$O$9999,MATCH(('001-C DMR'!$ET$6&amp;'001-C DMR'!$ET$10&amp;'001-C DMR'!$B26),('DMR 001C NEW'!$E$3:$E$9018&amp;'DMR 001C NEW'!$B$3:$B$9018&amp;'DMR 001C NEW'!$A$3:$A$9018),0),MATCH('001-C DMR'!$EV$11,'DMR 001C NEW'!$A$2:$O$2,0)),"")</f>
        <v/>
      </c>
      <c r="EW26" s="56" t="str">
        <f t="shared" si="21"/>
        <v/>
      </c>
      <c r="EX26" s="64"/>
      <c r="EY26" s="279" t="str">
        <f t="array" ref="EY26">_xlfn.IFNA(INDEX('DMR 001C NEW'!$A$3:$O$999,MATCH(('001-C DMR'!$ET$6&amp;'001-C DMR'!EY$10&amp;'001-C DMR'!$B26),('DMR 001C NEW'!$E$3:$E$1112&amp;'DMR 001C NEW'!$B$3:$B$1112&amp;'DMR 001C NEW'!$A$3:$A$1112),0),MATCH('001-C DMR'!$EY$11,'DMR 001C NEW'!$A$2:$O$2,0)),"")</f>
        <v/>
      </c>
      <c r="EZ26" s="280" t="str">
        <f t="array" ref="EZ26">_xlfn.IFNA(INDEX('DMR 001C NEW'!$A$3:$O$999,MATCH(('001-C DMR'!$ET$6&amp;'001-C DMR'!EZ$10&amp;'001-C DMR'!$B26),('DMR 001C NEW'!$E$3:$E$1112&amp;'DMR 001C NEW'!$B$3:$B$1112&amp;'DMR 001C NEW'!$A$3:$A$1112),0),MATCH('001-C DMR'!$EY$11,'DMR 001C NEW'!$A$2:$O$2,0)),"")</f>
        <v/>
      </c>
      <c r="FA26" s="280" t="str">
        <f t="array" ref="FA26">_xlfn.IFNA(INDEX('DMR 001C NEW'!$A$3:$O$999,MATCH(('001-C DMR'!$ET$6&amp;'001-C DMR'!FA$10&amp;'001-C DMR'!$B26),('DMR 001C NEW'!$E$3:$E$1112&amp;'DMR 001C NEW'!$B$3:$B$1112&amp;'DMR 001C NEW'!$A$3:$A$1112),0),MATCH('001-C DMR'!$EY$11,'DMR 001C NEW'!$A$2:$O$2,0)),"")</f>
        <v/>
      </c>
      <c r="FB26" s="280" t="str">
        <f t="array" ref="FB26">_xlfn.IFNA(INDEX('DMR 001C NEW'!$A$3:$O$999,MATCH(('001-C DMR'!$ET$6&amp;'001-C DMR'!FB$10&amp;'001-C DMR'!$B26),('DMR 001C NEW'!$E$3:$E$1112&amp;'DMR 001C NEW'!$B$3:$B$1112&amp;'DMR 001C NEW'!$A$3:$A$1112),0),MATCH('001-C DMR'!$EY$11,'DMR 001C NEW'!$A$2:$O$2,0)),"")</f>
        <v/>
      </c>
      <c r="FC26" s="280" t="str">
        <f t="array" ref="FC26">_xlfn.IFNA(INDEX('DMR 001C NEW'!$A$3:$O$999,MATCH(('001-C DMR'!$ET$6&amp;'001-C DMR'!FC$10&amp;'001-C DMR'!$B26),('DMR 001C NEW'!$E$3:$E$1112&amp;'DMR 001C NEW'!$B$3:$B$1112&amp;'DMR 001C NEW'!$A$3:$A$1112),0),MATCH('001-C DMR'!$EY$11,'DMR 001C NEW'!$A$2:$O$2,0)),"")</f>
        <v/>
      </c>
      <c r="FD26" s="280" t="str">
        <f t="array" ref="FD26">_xlfn.IFNA(INDEX('DMR 001C NEW'!$A$3:$O$999,MATCH(('001-C DMR'!$ET$6&amp;'001-C DMR'!FD$10&amp;'001-C DMR'!$B26),('DMR 001C NEW'!$E$3:$E$1112&amp;'DMR 001C NEW'!$B$3:$B$1112&amp;'DMR 001C NEW'!$A$3:$A$1112),0),MATCH('001-C DMR'!$EY$11,'DMR 001C NEW'!$A$2:$O$2,0)),"")</f>
        <v/>
      </c>
      <c r="FE26" s="281" t="str">
        <f t="array" ref="FE26">_xlfn.IFNA(INDEX('DMR 001C NEW'!$A$3:$O$999,MATCH(('001-C DMR'!$ET$6&amp;'001-C DMR'!FE$10&amp;'001-C DMR'!$B26),('DMR 001C NEW'!$E$3:$E$1112&amp;'DMR 001C NEW'!$B$3:$B$1112&amp;'DMR 001C NEW'!$A$3:$A$1112),0),MATCH('001-C DMR'!$EY$11,'DMR 001C NEW'!$A$2:$O$2,0)),"")</f>
        <v/>
      </c>
      <c r="FF26" s="57" t="str">
        <f t="shared" si="22"/>
        <v/>
      </c>
      <c r="FG26" s="56">
        <f t="array" ref="FG26">_xlfn.IFNA(INDEX('DMR 001C NEW'!$A$3:$O$9999,MATCH(('001-C DMR'!$FF$6&amp;'001-C DMR'!$FF$10&amp;'001-C DMR'!$B26),('DMR 001C NEW'!$E$3:$E$7246&amp;'DMR 001C NEW'!$B$3:$B$7246&amp;'DMR 001C NEW'!$A$3:$A$7246),0),MATCH('001-C DMR'!$FG$11,'DMR 001C NEW'!$A$2:$O$2,0)),"")</f>
        <v>0</v>
      </c>
      <c r="FH26" s="56">
        <f t="array" ref="FH26">_xlfn.IFNA(INDEX('DMR 001C NEW'!$A$3:$O$9999,MATCH(('001-C DMR'!$FF$6&amp;'001-C DMR'!$FF$10&amp;'001-C DMR'!$B26),('DMR 001C NEW'!$E$3:$E$7246&amp;'DMR 001C NEW'!$B$3:$B$7246&amp;'DMR 001C NEW'!$A$3:$A$7246),0),MATCH('001-C DMR'!$FH$11,'DMR 001C NEW'!$A$2:$O$2,0)),"")</f>
        <v>4</v>
      </c>
      <c r="FI26" s="57" t="str">
        <f t="shared" si="23"/>
        <v/>
      </c>
      <c r="FJ26" s="56">
        <f t="array" ref="FJ26">_xlfn.IFNA(INDEX('DMR 001C NEW'!$A$3:$O$9999,MATCH(('001-C DMR'!$FF$6&amp;'001-C DMR'!$FI$10&amp;'001-C DMR'!$B26),('DMR 001C NEW'!$E$3:$E$7246&amp;'DMR 001C NEW'!$B$3:$B$7246&amp;'DMR 001C NEW'!$A$3:$A$7246),0),MATCH('001-C DMR'!$FG$11,'DMR 001C NEW'!$A$2:$O$2,0)),"")</f>
        <v>0</v>
      </c>
      <c r="FK26" s="56">
        <f t="array" ref="FK26">_xlfn.IFNA(INDEX('DMR 001C NEW'!$A$3:$O$9999,MATCH(('001-C DMR'!$FF$6&amp;'001-C DMR'!$FI$10&amp;'001-C DMR'!$B26),('DMR 001C NEW'!$E$3:$E$7246&amp;'DMR 001C NEW'!$B$3:$B$7246&amp;'DMR 001C NEW'!$A$3:$A$7246),0),MATCH('001-C DMR'!$FH$11,'DMR 001C NEW'!$A$2:$O$2,0)),"")</f>
        <v>6</v>
      </c>
      <c r="FL26" s="56">
        <f t="array" ref="FL26">IFERROR((($FH26*$EI26)+($FK26*$EJ26))/($EK26),"")</f>
        <v>5.2205415513390374</v>
      </c>
      <c r="FM26" s="56" t="str">
        <f t="shared" si="43"/>
        <v/>
      </c>
      <c r="FN26" s="64" t="str">
        <f t="shared" si="37"/>
        <v/>
      </c>
      <c r="FO26" s="66"/>
      <c r="FP26" s="280" t="str">
        <f t="array" ref="FP26">_xlfn.IFNA(INDEX('DMR 001C NEW'!$A$3:$O$999,MATCH(('001-C DMR'!$FF$6&amp;'001-C DMR'!FP$10&amp;'001-C DMR'!$B26),('DMR 001C NEW'!$E$3:$E$1112&amp;'DMR 001C NEW'!$B$3:$B$1112&amp;'DMR 001C NEW'!$A$3:$A$1112),0),MATCH('001-C DMR'!$FH$11,'DMR 001C NEW'!$A$2:$O$2,0)),"")</f>
        <v/>
      </c>
      <c r="FQ26" s="280" t="str">
        <f t="array" ref="FQ26">_xlfn.IFNA(INDEX('DMR 001C NEW'!$A$3:$O$999,MATCH(('001-C DMR'!$FF$6&amp;'001-C DMR'!FQ$10&amp;'001-C DMR'!$B26),('DMR 001C NEW'!$E$3:$E$1112&amp;'DMR 001C NEW'!$B$3:$B$1112&amp;'DMR 001C NEW'!$A$3:$A$1112),0),MATCH('001-C DMR'!$FH$11,'DMR 001C NEW'!$A$2:$O$2,0)),"")</f>
        <v/>
      </c>
      <c r="FR26" s="280" t="str">
        <f t="array" ref="FR26">_xlfn.IFNA(INDEX('DMR 001C NEW'!$A$3:$O$999,MATCH(('001-C DMR'!$FF$6&amp;'001-C DMR'!FR$10&amp;'001-C DMR'!$B26),('DMR 001C NEW'!$E$3:$E$1112&amp;'DMR 001C NEW'!$B$3:$B$1112&amp;'DMR 001C NEW'!$A$3:$A$1112),0),MATCH('001-C DMR'!$FH$11,'DMR 001C NEW'!$A$2:$O$2,0)),"")</f>
        <v/>
      </c>
      <c r="FS26" s="280" t="str">
        <f t="array" ref="FS26">_xlfn.IFNA(INDEX('DMR 001C NEW'!$A$3:$O$999,MATCH(('001-C DMR'!$FF$6&amp;'001-C DMR'!FS$10&amp;'001-C DMR'!$B26),('DMR 001C NEW'!$E$3:$E$1112&amp;'DMR 001C NEW'!$B$3:$B$1112&amp;'DMR 001C NEW'!$A$3:$A$1112),0),MATCH('001-C DMR'!$FH$11,'DMR 001C NEW'!$A$2:$O$2,0)),"")</f>
        <v/>
      </c>
      <c r="FT26" s="280" t="str">
        <f t="array" ref="FT26">_xlfn.IFNA(INDEX('DMR 001C NEW'!$A$3:$O$999,MATCH(('001-C DMR'!$FF$6&amp;'001-C DMR'!FT$10&amp;'001-C DMR'!$B26),('DMR 001C NEW'!$E$3:$E$1112&amp;'DMR 001C NEW'!$B$3:$B$1112&amp;'DMR 001C NEW'!$A$3:$A$1112),0),MATCH('001-C DMR'!$FH$11,'DMR 001C NEW'!$A$2:$O$2,0)),"")</f>
        <v/>
      </c>
      <c r="FU26" s="280" t="str">
        <f t="array" ref="FU26">_xlfn.IFNA(INDEX('DMR 001C NEW'!$A$3:$O$999,MATCH(('001-C DMR'!$FF$6&amp;'001-C DMR'!FU$10&amp;'001-C DMR'!$B26),('DMR 001C NEW'!$E$3:$E$1112&amp;'DMR 001C NEW'!$B$3:$B$1112&amp;'DMR 001C NEW'!$A$3:$A$1112),0),MATCH('001-C DMR'!$FH$11,'DMR 001C NEW'!$A$2:$O$2,0)),"")</f>
        <v/>
      </c>
      <c r="FV26" s="66"/>
      <c r="FW26" s="61" t="str">
        <f t="shared" si="24"/>
        <v/>
      </c>
      <c r="FX26" s="58" t="str">
        <f t="array" ref="FX26">_xlfn.IFNA(INDEX('DMR 001C NEW'!$A$3:$O$9999,MATCH(('001-C DMR'!$FW$6&amp;'001-C DMR'!$FW$10&amp;'001-C DMR'!$B26),('DMR 001C NEW'!$E$3:$E$7246&amp;'DMR 001C NEW'!$B$3:$B$7246&amp;'DMR 001C NEW'!$A$3:$A$7246),0),MATCH('001-C DMR'!$FX$11,'DMR 001C NEW'!$A$2:$O$2,0)),"")</f>
        <v/>
      </c>
      <c r="FY26" s="58" t="str">
        <f t="array" ref="FY26">_xlfn.IFNA(INDEX('DMR 001C NEW'!$A$3:$O$9999,MATCH(('001-C DMR'!$FW$6&amp;'001-C DMR'!$FW$10&amp;'001-C DMR'!$B26),('DMR 001C NEW'!$E$3:$E$7246&amp;'DMR 001C NEW'!$B$3:$B$7246&amp;'DMR 001C NEW'!$A$3:$A$7246),0),MATCH('001-C DMR'!$FY$11,'DMR 001C NEW'!$A$2:$O$2,0)),"")</f>
        <v/>
      </c>
      <c r="FZ26" s="57" t="str">
        <f t="shared" si="25"/>
        <v/>
      </c>
      <c r="GA26" s="58" t="str">
        <f t="array" ref="GA26">_xlfn.IFNA(INDEX('DMR 001C NEW'!$A$3:$O$9999,MATCH(('001-C DMR'!$FW$6&amp;'001-C DMR'!$FZ$10&amp;'001-C DMR'!$B26),('DMR 001C NEW'!$E$3:$E$7246&amp;'DMR 001C NEW'!$B$3:$B$7246&amp;'DMR 001C NEW'!$A$3:$A$7246),0),MATCH('001-C DMR'!$FX$11,'DMR 001C NEW'!$A$2:$O$2,0)),"")</f>
        <v/>
      </c>
      <c r="GB26" s="58" t="str">
        <f t="array" ref="GB26">_xlfn.IFNA(INDEX('DMR 001C NEW'!$A$3:$O$9999,MATCH(('001-C DMR'!$FW$6&amp;'001-C DMR'!$FZ$10&amp;'001-C DMR'!$B26),('DMR 001C NEW'!$E$3:$E$7246&amp;'DMR 001C NEW'!$B$3:$B$7246&amp;'DMR 001C NEW'!$A$3:$A$7246),0),MATCH('001-C DMR'!$GB$11,'DMR 001C NEW'!$A$2:$O$2,0)),"")</f>
        <v/>
      </c>
      <c r="GC26" s="138" t="str">
        <f t="shared" si="4"/>
        <v/>
      </c>
      <c r="GD26" s="64" t="str">
        <f t="shared" si="38"/>
        <v/>
      </c>
      <c r="GE26" s="279" t="str">
        <f t="array" ref="GE26">_xlfn.IFNA(INDEX('DMR 001C NEW'!$A$3:$O$999,MATCH(('001-C DMR'!$FW$6&amp;'001-C DMR'!GE$10&amp;'001-C DMR'!$B26),('DMR 001C NEW'!$E$3:$E$1112&amp;'DMR 001C NEW'!$B$3:$B$1112&amp;'DMR 001C NEW'!$A$3:$A$1112),0),MATCH('001-C DMR'!$FY$11,'DMR 001C NEW'!$A$2:$O$2,0)),"")</f>
        <v/>
      </c>
      <c r="GF26" s="280" t="str">
        <f t="array" ref="GF26">_xlfn.IFNA(INDEX('DMR 001C NEW'!$A$3:$O$999,MATCH(('001-C DMR'!$FW$6&amp;'001-C DMR'!GF$10&amp;'001-C DMR'!$B26),('DMR 001C NEW'!$E$3:$E$1112&amp;'DMR 001C NEW'!$B$3:$B$1112&amp;'DMR 001C NEW'!$A$3:$A$1112),0),MATCH('001-C DMR'!$FY$11,'DMR 001C NEW'!$A$2:$O$2,0)),"")</f>
        <v/>
      </c>
      <c r="GG26" s="280" t="str">
        <f t="array" ref="GG26">_xlfn.IFNA(INDEX('DMR 001C NEW'!$A$3:$O$999,MATCH(('001-C DMR'!$FW$6&amp;'001-C DMR'!GG$10&amp;'001-C DMR'!$B26),('DMR 001C NEW'!$E$3:$E$1112&amp;'DMR 001C NEW'!$B$3:$B$1112&amp;'DMR 001C NEW'!$A$3:$A$1112),0),MATCH('001-C DMR'!$FY$11,'DMR 001C NEW'!$A$2:$O$2,0)),"")</f>
        <v/>
      </c>
      <c r="GH26" s="280" t="str">
        <f t="array" ref="GH26">_xlfn.IFNA(INDEX('DMR 001C NEW'!$A$3:$O$999,MATCH(('001-C DMR'!$FW$6&amp;'001-C DMR'!GH$10&amp;'001-C DMR'!$B26),('DMR 001C NEW'!$E$3:$E$1112&amp;'DMR 001C NEW'!$B$3:$B$1112&amp;'DMR 001C NEW'!$A$3:$A$1112),0),MATCH('001-C DMR'!$FY$11,'DMR 001C NEW'!$A$2:$O$2,0)),"")</f>
        <v/>
      </c>
      <c r="GI26" s="280" t="str">
        <f t="array" ref="GI26">_xlfn.IFNA(INDEX('DMR 001C NEW'!$A$3:$O$999,MATCH(('001-C DMR'!$FW$6&amp;'001-C DMR'!GI$10&amp;'001-C DMR'!$B26),('DMR 001C NEW'!$E$3:$E$1112&amp;'DMR 001C NEW'!$B$3:$B$1112&amp;'DMR 001C NEW'!$A$3:$A$1112),0),MATCH('001-C DMR'!$FY$11,'DMR 001C NEW'!$A$2:$O$2,0)),"")</f>
        <v/>
      </c>
      <c r="GJ26" s="281" t="str">
        <f t="array" ref="GJ26">_xlfn.IFNA(INDEX('DMR 001C NEW'!$A$3:$O$999,MATCH(('001-C DMR'!$FW$6&amp;'001-C DMR'!GJ$10&amp;'001-C DMR'!$B26),('DMR 001C NEW'!$E$3:$E$1112&amp;'DMR 001C NEW'!$B$3:$B$1112&amp;'DMR 001C NEW'!$A$3:$A$1112),0),MATCH('001-C DMR'!$FY$11,'DMR 001C NEW'!$A$2:$O$2,0)),"")</f>
        <v/>
      </c>
      <c r="GK26" s="58" t="str">
        <f t="array" ref="GK26">_xlfn.IFNA(INDEX('DMR 001C NEW'!$A$3:$O$9999,MATCH(('001-C DMR'!$GK$6&amp;'001-C DMR'!$GK$10&amp;'001-C DMR'!$B26),('DMR 001C NEW'!$E$3:$E$9018&amp;'DMR 001C NEW'!$B$3:$B$9018&amp;'DMR 001C NEW'!$A$3:$A$9018),0),MATCH('001-C DMR'!$GK$11,'DMR 001C NEW'!$A$2:$O$2,0)),"")</f>
        <v>n</v>
      </c>
      <c r="GL26" s="58" t="str">
        <f t="array" ref="GL26">_xlfn.IFNA(INDEX('DMR 001C NEW'!$A$3:$O$9999,MATCH(('001-C DMR'!$GK$6&amp;'001-C DMR'!$GL$10&amp;'001-C DMR'!$B26),('DMR 001C NEW'!$E$3:$E$9018&amp;'DMR 001C NEW'!$B$3:$B$9018&amp;'DMR 001C NEW'!$A$3:$A$9018),0),MATCH('001-C DMR'!$GK$11,'DMR 001C NEW'!$A$2:$O$2,0)),"")</f>
        <v>n</v>
      </c>
      <c r="GM26" s="134"/>
      <c r="GN26" s="64" t="str">
        <f t="shared" si="44"/>
        <v/>
      </c>
    </row>
    <row r="27" spans="1:282" s="51" customFormat="1" x14ac:dyDescent="0.25">
      <c r="A27" s="67" t="str">
        <f t="shared" si="5"/>
        <v>Mon</v>
      </c>
      <c r="B27" s="216">
        <f t="shared" si="26"/>
        <v>43689</v>
      </c>
      <c r="C27" s="93">
        <f t="array" ref="C27">INDEX('DMR 001C NEW'!$A$3:$N$10020,MATCH(('001-C DMR'!$C$6:$K$6&amp;'001-C DMR'!$C$10:$E$10&amp;'001-C DMR'!$B27),('DMR 001C NEW'!$E$3:$E$7246&amp;'DMR 001C NEW'!$B$3:$B$7246&amp;'DMR 001C NEW'!$A$3:$A$7246),0),MATCH('001-C DMR'!$C$11,'DMR 001C NEW'!$A$2:$O$2,0))</f>
        <v>5.5</v>
      </c>
      <c r="D27" s="56" t="str">
        <f t="array" ref="D27">INDEX('DMR 001C NEW'!$A$3:$N$11771,MATCH(('001-C DMR'!$C$6:$K$6&amp;'001-C DMR'!$C$10:$E$10&amp;'001-C DMR'!$B27),('DMR 001C NEW'!$E$3:$E$9018&amp;'DMR 001C NEW'!$B$3:$B$9018&amp;'DMR 001C NEW'!$A$3:$A$9018),0),MATCH('001-C DMR'!$D$11,'DMR 001C NEW'!$A$2:$O$2,0))</f>
        <v>AE69024</v>
      </c>
      <c r="E27" s="56">
        <f t="array" ref="E27">INDEX('DMR 001C NEW'!$A$3:$N$9999,MATCH(('001-C DMR'!$E$11&amp;'001-C DMR'!$C$10:$E$10&amp;'001-C DMR'!$B27&amp;$D27),('DMR 001C NEW'!$E$3:$E$7246&amp;'DMR 001C NEW'!$B$3:$B$7246&amp;'DMR 001C NEW'!$A$3:$A$7246&amp;'DMR 001C NEW'!$M$3:$M$7188),0),MATCH($C$11,'DMR 001C NEW'!$A$2:$O$2,0))</f>
        <v>78.400000000000006</v>
      </c>
      <c r="F27" s="56">
        <f t="array" ref="F27">INDEX('DMR 001C NEW'!$A$3:$N$9999,MATCH('001-C DMR'!$C$6:$K$6&amp;'001-C DMR'!$F$10&amp;'001-C DMR'!$B27,('DMR 001C NEW'!$E$3:$E$7246&amp;'DMR 001C NEW'!$B$3:$B$7246&amp;'DMR 001C NEW'!$A$3:$A$7246),0),MATCH('001-C DMR'!$C$11,'DMR 001C NEW'!$A$2:$O$2,0))</f>
        <v>6.5</v>
      </c>
      <c r="G27" s="56" t="str">
        <f t="array" ref="G27">INDEX('DMR 001C NEW'!$A$3:$N$3865,MATCH(('001-C DMR'!$C$6:$K$6&amp;'001-C DMR'!$F$10&amp;'001-C DMR'!$B27),('DMR 001C NEW'!$E$3:$E$1112&amp;'DMR 001C NEW'!$B$3:$B$1112&amp;'DMR 001C NEW'!$A$3:$A$1112),0),MATCH('001-C DMR'!$D$11,'DMR 001C NEW'!$A$2:$O$2,0))</f>
        <v>AE69025</v>
      </c>
      <c r="H27" s="56">
        <f t="array" ref="H27">INDEX('DMR 001C NEW'!$A$3:$N$9999,MATCH(('001-C DMR'!$E$11&amp;'001-C DMR'!$F$10&amp;'001-C DMR'!$B27&amp;$G27),('DMR 001C NEW'!$E$3:$E$7246&amp;'DMR 001C NEW'!$B$3:$B$7246&amp;'DMR 001C NEW'!$A$3:$A$7246&amp;'DMR 001C NEW'!$M$3:$M$7188),0),MATCH($C$11,'DMR 001C NEW'!$A$2:$O$2,0))</f>
        <v>78.98</v>
      </c>
      <c r="I27" s="56">
        <f t="shared" si="0"/>
        <v>6.0018426737832007</v>
      </c>
      <c r="J27" s="58" t="str">
        <f t="shared" si="39"/>
        <v/>
      </c>
      <c r="K27" s="64" t="str">
        <f t="shared" si="40"/>
        <v/>
      </c>
      <c r="L27" s="262" t="str">
        <f t="array" ref="L27">_xlfn.IFNA(INDEX('DMR 001C NEW'!$A$3:$N$3865,MATCH(('001-C DMR'!$C$6:$K$6&amp;'001-C DMR'!L$10&amp;'001-C DMR'!$B27),('DMR 001C NEW'!$E$3:$E$1112&amp;'DMR 001C NEW'!$B$3:$B$1112&amp;'DMR 001C NEW'!$A$3:$A$1112),0),MATCH('001-C DMR'!$C$11,'DMR 001C NEW'!$A$2:$O$2,0)),"")</f>
        <v/>
      </c>
      <c r="M27" s="262" t="str">
        <f t="array" ref="M27">_xlfn.IFNA(INDEX('DMR 001C NEW'!$A$3:$N$3865,MATCH(('001-C DMR'!$C$6:$K$6&amp;'001-C DMR'!M$10&amp;'001-C DMR'!$B27),('DMR 001C NEW'!$E$3:$E$1112&amp;'DMR 001C NEW'!$B$3:$B$1112&amp;'DMR 001C NEW'!$A$3:$A$1112),0),MATCH('001-C DMR'!$C$11,'DMR 001C NEW'!$A$2:$O$2,0)),"")</f>
        <v/>
      </c>
      <c r="N27" s="262" t="str">
        <f t="array" ref="N27">_xlfn.IFNA(INDEX('DMR 001C NEW'!$A$3:$N$3865,MATCH(('001-C DMR'!$C$6:$K$6&amp;'001-C DMR'!N$10&amp;'001-C DMR'!$B27),('DMR 001C NEW'!$E$3:$E$1112&amp;'DMR 001C NEW'!$B$3:$B$1112&amp;'DMR 001C NEW'!$A$3:$A$1112),0),MATCH('001-C DMR'!$C$11,'DMR 001C NEW'!$A$2:$O$2,0)),"")</f>
        <v/>
      </c>
      <c r="O27" s="262" t="str">
        <f t="array" ref="O27">_xlfn.IFNA(INDEX('DMR 001C NEW'!$A$3:$N$3865,MATCH(('001-C DMR'!$C$6:$K$6&amp;'001-C DMR'!O$10&amp;'001-C DMR'!$B27),('DMR 001C NEW'!$E$3:$E$1112&amp;'DMR 001C NEW'!$B$3:$B$1112&amp;'DMR 001C NEW'!$A$3:$A$1112),0),MATCH('001-C DMR'!$C$11,'DMR 001C NEW'!$A$2:$O$2,0)),"")</f>
        <v/>
      </c>
      <c r="P27" s="262" t="str">
        <f t="array" ref="P27">_xlfn.IFNA(INDEX('DMR 001C NEW'!$A$3:$N$3865,MATCH(('001-C DMR'!$C$6:$K$6&amp;'001-C DMR'!P$10&amp;'001-C DMR'!$B27),('DMR 001C NEW'!$E$3:$E$1112&amp;'DMR 001C NEW'!$B$3:$B$1112&amp;'DMR 001C NEW'!$A$3:$A$1112),0),MATCH('001-C DMR'!$C$11,'DMR 001C NEW'!$A$2:$O$2,0)),"")</f>
        <v/>
      </c>
      <c r="Q27" s="120" t="e">
        <f t="array" ref="Q27">INDEX('DMR 001C NEW'!$A$3:$N$3865,MATCH(('001-C DMR'!$C$6:$K$6&amp;'001-C DMR'!Q$10&amp;'001-C DMR'!$B27),('DMR 001C NEW'!$E$3:$E$1112&amp;'DMR 001C NEW'!$B$3:$B$1112&amp;'DMR 001C NEW'!$A$3:$A$1112),0),MATCH('001-C DMR'!$C$11,'DMR 001C NEW'!$A$2:$O$2,0))</f>
        <v>#N/A</v>
      </c>
      <c r="R27" s="61"/>
      <c r="S27" s="56">
        <f t="array" ref="S27">_xlfn.IFNA(INDEX('DMR 001C NEW'!$A$3:$N$11771,MATCH(('001-C DMR'!$R$6:$T$6&amp;'001-C DMR'!$R$10&amp;'001-C DMR'!$B27),('DMR 001C NEW'!$E$3:$E$9018&amp;'DMR 001C NEW'!$B$3:$B$9018&amp;'DMR 001C NEW'!$A$3:$A$9018),0),MATCH('001-C DMR'!$S$11,'DMR 001C NEW'!$A$2:$O$2,0)),"")</f>
        <v>7.1</v>
      </c>
      <c r="T27" s="64" t="str">
        <f t="shared" si="41"/>
        <v/>
      </c>
      <c r="U27" s="262" t="str">
        <f t="array" ref="U27">_xlfn.IFNA(INDEX('DMR 001C NEW'!$A$3:$O$591,MATCH('001-C DMR'!$R$6:$T$6&amp;'001-C DMR'!U$10&amp;'001-C DMR'!$B27,('DMR 001C NEW'!$E$3:$E$704&amp;'DMR 001C NEW'!$B$3:$B$704&amp;'DMR 001C NEW'!$A$3:$A$704),0),MATCH('001-C DMR'!$U$11,'DMR 001C NEW'!$A$2:$O$2,0)),"")</f>
        <v/>
      </c>
      <c r="V27" s="262" t="str">
        <f t="array" ref="V27">_xlfn.IFNA(INDEX('DMR 001C NEW'!$A$3:$O$591,MATCH('001-C DMR'!$R$6:$T$6&amp;'001-C DMR'!V$10&amp;'001-C DMR'!$B27,('DMR 001C NEW'!$E$3:$E$704&amp;'DMR 001C NEW'!$B$3:$B$704&amp;'DMR 001C NEW'!$A$3:$A$704),0),MATCH('001-C DMR'!$U$11,'DMR 001C NEW'!$A$2:$O$2,0)),"")</f>
        <v/>
      </c>
      <c r="W27" s="262" t="str">
        <f t="array" ref="W27">_xlfn.IFNA(INDEX('DMR 001C NEW'!$A$3:$O$591,MATCH('001-C DMR'!$R$6:$T$6&amp;'001-C DMR'!W$10&amp;'001-C DMR'!$B27,('DMR 001C NEW'!$E$3:$E$704&amp;'DMR 001C NEW'!$B$3:$B$704&amp;'DMR 001C NEW'!$A$3:$A$704),0),MATCH('001-C DMR'!$U$11,'DMR 001C NEW'!$A$2:$O$2,0)),"")</f>
        <v/>
      </c>
      <c r="X27" s="262" t="str">
        <f t="array" ref="X27">_xlfn.IFNA(INDEX('DMR 001C NEW'!$A$3:$O$591,MATCH('001-C DMR'!$R$6:$T$6&amp;'001-C DMR'!X$10&amp;'001-C DMR'!$B27,('DMR 001C NEW'!$E$3:$E$704&amp;'DMR 001C NEW'!$B$3:$B$704&amp;'DMR 001C NEW'!$A$3:$A$704),0),MATCH('001-C DMR'!$U$11,'DMR 001C NEW'!$A$2:$O$2,0)),"")</f>
        <v/>
      </c>
      <c r="Y27" s="262" t="str">
        <f t="array" ref="Y27">_xlfn.IFNA(INDEX('DMR 001C NEW'!$A$3:$O$591,MATCH('001-C DMR'!$R$6:$T$6&amp;'001-C DMR'!Y$10&amp;'001-C DMR'!$B27,('DMR 001C NEW'!$E$3:$E$704&amp;'DMR 001C NEW'!$B$3:$B$704&amp;'DMR 001C NEW'!$A$3:$A$704),0),MATCH('001-C DMR'!$U$11,'DMR 001C NEW'!$A$2:$O$2,0)),"")</f>
        <v/>
      </c>
      <c r="Z27" s="262" t="str">
        <f t="array" ref="Z27">_xlfn.IFNA(INDEX('DMR 001C NEW'!$A$3:$O$591,MATCH('001-C DMR'!$R$6:$T$6&amp;'001-C DMR'!Z$10&amp;'001-C DMR'!$B27,('DMR 001C NEW'!$E$3:$E$704&amp;'DMR 001C NEW'!$B$3:$B$704&amp;'DMR 001C NEW'!$A$3:$A$704),0),MATCH('001-C DMR'!$U$11,'DMR 001C NEW'!$A$2:$O$2,0)),"")</f>
        <v/>
      </c>
      <c r="AA27" s="262" t="str">
        <f t="array" ref="AA27">_xlfn.IFNA(INDEX('DMR 001C NEW'!$A$3:$O$591,MATCH('001-C DMR'!$R$6:$T$6&amp;'001-C DMR'!AA$10&amp;'001-C DMR'!$B27,('DMR 001C NEW'!$E$3:$E$704&amp;'DMR 001C NEW'!$B$3:$B$704&amp;'DMR 001C NEW'!$A$3:$A$704),0),MATCH('001-C DMR'!$U$11,'DMR 001C NEW'!$A$2:$O$2,0)),"")</f>
        <v/>
      </c>
      <c r="AB27" s="61" t="str">
        <f t="array" ref="AB27">IF(AD27&lt;AC27,"&lt;","")</f>
        <v/>
      </c>
      <c r="AC27" s="56">
        <f t="array" ref="AC27">_xlfn.IFNA(INDEX('DMR 001C NEW'!$A$3:$O$9999,MATCH(('001-C DMR'!$AB$6:$AJ$6&amp;'001-C DMR'!$AB$10:$AD$10&amp;'001-C DMR'!$B27),('DMR 001C NEW'!$E$3:$E$7246&amp;'DMR 001C NEW'!$B$3:$B$7246&amp;'DMR 001C NEW'!$A$3:$A$7246),0),MATCH('001-C DMR'!$AC$11,'DMR 001C NEW'!$A$2:$O$2,0)),"")</f>
        <v>3</v>
      </c>
      <c r="AD27" s="56">
        <f t="array" ref="AD27">_xlfn.IFNA(INDEX('DMR 001C NEW'!$A$3:$O$9999,MATCH(('001-C DMR'!$AB$6:$AJ$6&amp;'001-C DMR'!$AB$10:$AD$10&amp;'001-C DMR'!$B27),('DMR 001C NEW'!$E$3:$E$7246&amp;'DMR 001C NEW'!$B$3:$B$7246&amp;'DMR 001C NEW'!$A$3:$A$7246),0),MATCH('001-C DMR'!$AD$11,'DMR 001C NEW'!$A$2:$O$2,0)),"")</f>
        <v>9</v>
      </c>
      <c r="AE27" s="57" t="str">
        <f t="array" ref="AE27">IF(AG27&lt;AF27,"&lt;","")</f>
        <v/>
      </c>
      <c r="AF27" s="56">
        <f t="array" ref="AF27">_xlfn.IFNA(INDEX('DMR 001C NEW'!$A$3:$O$9999,MATCH(('001-C DMR'!$AB$6:$AJ$6&amp;'001-C DMR'!$AE$10&amp;'001-C DMR'!$B27),('DMR 001C NEW'!$E$3:$E$9018&amp;'DMR 001C NEW'!$B$3:$B$9018&amp;'DMR 001C NEW'!$A$3:$A$9018),0),MATCH('001-C DMR'!$AF$11,'DMR 001C NEW'!$A$2:$O$2,0)),"")</f>
        <v>3</v>
      </c>
      <c r="AG27" s="56">
        <f t="array" ref="AG27">_xlfn.IFNA(INDEX('DMR 001C NEW'!$A$3:$O$9999,MATCH(('001-C DMR'!$AB$6:$AJ$6&amp;'001-C DMR'!$AE$10&amp;'001-C DMR'!$B27),('DMR 001C NEW'!$E$3:$E$9018&amp;'DMR 001C NEW'!$B$3:$B$9018&amp;'DMR 001C NEW'!$A$3:$A$9018),0),MATCH('001-C DMR'!$AG$11,'DMR 001C NEW'!$A$2:$O$2,0)),"")</f>
        <v>10</v>
      </c>
      <c r="AH27" s="56">
        <f t="array" ref="AH27">IFERROR((($AD27*$EI27)+($AG27*$EJ27))/($EK27),"")</f>
        <v>9.5934572000449645</v>
      </c>
      <c r="AI27" s="56" t="str">
        <f t="shared" si="42"/>
        <v/>
      </c>
      <c r="AJ27" s="64" t="str">
        <f t="shared" si="30"/>
        <v/>
      </c>
      <c r="AK27" s="262" t="str">
        <f t="array" ref="AK27">_xlfn.IFNA(INDEX('DMR 001C NEW'!$A$3:$O$999,MATCH(('001-C DMR'!$AB$6:$AJ$6&amp;'001-C DMR'!AK$10&amp;'001-C DMR'!$B27),('DMR 001C NEW'!$E$3:$E$1112&amp;'DMR 001C NEW'!$B$3:$B$1112&amp;'DMR 001C NEW'!$A$3:$A$1112),0),MATCH('001-C DMR'!$AD$11,'DMR 001C NEW'!$A$2:$O$2,0)),"")</f>
        <v/>
      </c>
      <c r="AL27" s="262" t="str">
        <f t="array" ref="AL27">_xlfn.IFNA(INDEX('DMR 001C NEW'!$A$3:$O$999,MATCH(('001-C DMR'!$AB$6:$AJ$6&amp;'001-C DMR'!AL$10&amp;'001-C DMR'!$B27),('DMR 001C NEW'!$E$3:$E$1112&amp;'DMR 001C NEW'!$B$3:$B$1112&amp;'DMR 001C NEW'!$A$3:$A$1112),0),MATCH('001-C DMR'!$AD$11,'DMR 001C NEW'!$A$2:$O$2,0)),"")</f>
        <v/>
      </c>
      <c r="AM27" s="262" t="str">
        <f t="array" ref="AM27">_xlfn.IFNA(INDEX('DMR 001C NEW'!$A$3:$O$999,MATCH(('001-C DMR'!$AB$6:$AJ$6&amp;'001-C DMR'!AM$10&amp;'001-C DMR'!$B27),('DMR 001C NEW'!$E$3:$E$1112&amp;'DMR 001C NEW'!$B$3:$B$1112&amp;'DMR 001C NEW'!$A$3:$A$1112),0),MATCH('001-C DMR'!$AD$11,'DMR 001C NEW'!$A$2:$O$2,0)),"")</f>
        <v/>
      </c>
      <c r="AN27" s="262" t="str">
        <f t="array" ref="AN27">_xlfn.IFNA(INDEX('DMR 001C NEW'!$A$3:$O$999,MATCH(('001-C DMR'!$AB$6:$AJ$6&amp;'001-C DMR'!AN$10&amp;'001-C DMR'!$B27),('DMR 001C NEW'!$E$3:$E$1112&amp;'DMR 001C NEW'!$B$3:$B$1112&amp;'DMR 001C NEW'!$A$3:$A$1112),0),MATCH('001-C DMR'!$AD$11,'DMR 001C NEW'!$A$2:$O$2,0)),"")</f>
        <v/>
      </c>
      <c r="AO27" s="262" t="str">
        <f t="array" ref="AO27">_xlfn.IFNA(INDEX('DMR 001C NEW'!$A$3:$O$999,MATCH(('001-C DMR'!$AB$6:$AJ$6&amp;'001-C DMR'!AO$10&amp;'001-C DMR'!$B27),('DMR 001C NEW'!$E$3:$E$1112&amp;'DMR 001C NEW'!$B$3:$B$1112&amp;'DMR 001C NEW'!$A$3:$A$1112),0),MATCH('001-C DMR'!$AD$11,'DMR 001C NEW'!$A$2:$O$2,0)),"")</f>
        <v/>
      </c>
      <c r="AP27" s="262" t="str">
        <f t="array" ref="AP27">_xlfn.IFNA(INDEX('DMR 001C NEW'!$A$3:$O$999,MATCH(('001-C DMR'!$AB$6:$AJ$6&amp;'001-C DMR'!AP$10&amp;'001-C DMR'!$B27),('DMR 001C NEW'!$E$3:$E$1112&amp;'DMR 001C NEW'!$B$3:$B$1112&amp;'DMR 001C NEW'!$A$3:$A$1112),0),MATCH('001-C DMR'!$AD$11,'DMR 001C NEW'!$A$2:$O$2,0)),"")</f>
        <v/>
      </c>
      <c r="AQ27" s="61" t="str">
        <f t="array" ref="AQ27">IF(AS27&lt;AR27,"&lt;","")</f>
        <v/>
      </c>
      <c r="AR27" s="58" t="str">
        <f t="array" ref="AR27">_xlfn.IFNA((INDEX('DMR 001C NEW'!$A$3:$O$9999,MATCH(('001-C DMR'!$AQ$6:$AZ$6&amp;'001-C DMR'!$AQ$10:$AS$10&amp;'001-C DMR'!$B27),('DMR 001C NEW'!$E$3:$E$7246&amp;'DMR 001C NEW'!$B$3:$B$7246&amp;'DMR 001C NEW'!$A$3:$A$7246),0),MATCH('001-C DMR'!$AR$11,'DMR 001C NEW'!$A$2:$O$2,0))),"")</f>
        <v/>
      </c>
      <c r="AS27" s="58" t="str">
        <f t="array" ref="AS27">_xlfn.IFNA(INDEX('DMR 001C NEW'!$A$3:$O$9999,MATCH(('001-C DMR'!$AQ$6:$AZ$6&amp;'001-C DMR'!$AQ$10:$AS$10&amp;'001-C DMR'!$B27),('DMR 001C NEW'!$E$3:$E$7246&amp;'DMR 001C NEW'!$B$3:$B$7246&amp;'DMR 001C NEW'!$A$3:$A$7246),0),MATCH('001-C DMR'!$AS$11,'DMR 001C NEW'!$A$2:$O$2,0)),"")</f>
        <v/>
      </c>
      <c r="AT27" s="58" t="str">
        <f t="shared" si="27"/>
        <v/>
      </c>
      <c r="AU27" s="57" t="str">
        <f t="array" ref="AU27">IF(AW27&lt;AV27,"&lt;","")</f>
        <v/>
      </c>
      <c r="AV27" s="58" t="str">
        <f t="array" ref="AV27">_xlfn.IFNA((INDEX('DMR 001C NEW'!$A$3:$O$9999,MATCH(('001-C DMR'!$AQ$6:$AZ$6&amp;'001-C DMR'!$AU$10&amp;'001-C DMR'!$B27),('DMR 001C NEW'!$E$3:$E$7246&amp;'DMR 001C NEW'!$B$3:$B$7246&amp;'DMR 001C NEW'!$A$3:$A$7246),0),MATCH('001-C DMR'!$AR$11,'DMR 001C NEW'!$A$2:$O$2,0))),"")</f>
        <v/>
      </c>
      <c r="AW27" s="58" t="str">
        <f t="array" ref="AW27">_xlfn.IFNA(INDEX('DMR 001C NEW'!$A$3:$O$9999,MATCH(('001-C DMR'!$AQ$6:$AZ$6&amp;'001-C DMR'!$AU$10&amp;'001-C DMR'!$B27),('DMR 001C NEW'!$E$3:$E$7246&amp;'DMR 001C NEW'!$B$3:$B$7246&amp;'DMR 001C NEW'!$A$3:$A$7246),0),MATCH('001-C DMR'!$AW$11,'DMR 001C NEW'!$A$2:$O$2,0)),"")</f>
        <v/>
      </c>
      <c r="AX27" s="58" t="str">
        <f t="shared" si="6"/>
        <v/>
      </c>
      <c r="AY27" s="56" t="str">
        <f t="array" ref="AY27">IFERROR((($AT27*$EI27)+($AX27*$EJ27))/($EK27),"")</f>
        <v/>
      </c>
      <c r="AZ27" s="64" t="str">
        <f t="shared" si="31"/>
        <v/>
      </c>
      <c r="BA27" s="279" t="str">
        <f t="array" ref="BA27">_xlfn.IFNA(INDEX('DMR 001C NEW'!$A$3:$O$9999,MATCH(('001-C DMR'!$AQ$6:$AZ$6&amp;'001-C DMR'!BA$10&amp;'001-C DMR'!$B27),('DMR 001C NEW'!$E$3:$E$1112&amp;'DMR 001C NEW'!$B$3:$B$1112&amp;'DMR 001C NEW'!$A$3:$A$1112),0),MATCH('001-C DMR'!$BA$11,'DMR 001C NEW'!$A$2:$O$2,0)),"")</f>
        <v/>
      </c>
      <c r="BB27" s="280" t="str">
        <f t="array" ref="BB27">_xlfn.IFNA(INDEX('DMR 001C NEW'!$A$3:$O$9999,MATCH(('001-C DMR'!$AQ$6:$AZ$6&amp;'001-C DMR'!BB$10&amp;'001-C DMR'!$B27),('DMR 001C NEW'!$E$3:$E$1112&amp;'DMR 001C NEW'!$B$3:$B$1112&amp;'DMR 001C NEW'!$A$3:$A$1112),0),MATCH('001-C DMR'!$BA$11,'DMR 001C NEW'!$A$2:$O$2,0)),"")</f>
        <v/>
      </c>
      <c r="BC27" s="280" t="str">
        <f t="array" ref="BC27">_xlfn.IFNA(INDEX('DMR 001C NEW'!$A$3:$O$9999,MATCH(('001-C DMR'!$AQ$6:$AZ$6&amp;'001-C DMR'!BC$10&amp;'001-C DMR'!$B27),('DMR 001C NEW'!$E$3:$E$1112&amp;'DMR 001C NEW'!$B$3:$B$1112&amp;'DMR 001C NEW'!$A$3:$A$1112),0),MATCH('001-C DMR'!$BA$11,'DMR 001C NEW'!$A$2:$O$2,0)),"")</f>
        <v/>
      </c>
      <c r="BD27" s="280" t="str">
        <f t="array" ref="BD27">_xlfn.IFNA(INDEX('DMR 001C NEW'!$A$3:$O$9999,MATCH(('001-C DMR'!$AQ$6:$AZ$6&amp;'001-C DMR'!BD$10&amp;'001-C DMR'!$B27),('DMR 001C NEW'!$E$3:$E$1112&amp;'DMR 001C NEW'!$B$3:$B$1112&amp;'DMR 001C NEW'!$A$3:$A$1112),0),MATCH('001-C DMR'!$BA$11,'DMR 001C NEW'!$A$2:$O$2,0)),"")</f>
        <v/>
      </c>
      <c r="BE27" s="280" t="str">
        <f t="array" ref="BE27">_xlfn.IFNA(INDEX('DMR 001C NEW'!$A$3:$O$9999,MATCH(('001-C DMR'!$AQ$6:$AZ$6&amp;'001-C DMR'!BE$10&amp;'001-C DMR'!$B27),('DMR 001C NEW'!$E$3:$E$1112&amp;'DMR 001C NEW'!$B$3:$B$1112&amp;'DMR 001C NEW'!$A$3:$A$1112),0),MATCH('001-C DMR'!$BA$11,'DMR 001C NEW'!$A$2:$O$2,0)),"")</f>
        <v/>
      </c>
      <c r="BF27" s="281" t="str">
        <f t="array" ref="BF27">_xlfn.IFNA(INDEX('DMR 001C NEW'!$A$3:$O$9999,MATCH(('001-C DMR'!$AQ$6:$AZ$6&amp;'001-C DMR'!BF$10&amp;'001-C DMR'!$B27),('DMR 001C NEW'!$E$3:$E$1112&amp;'DMR 001C NEW'!$B$3:$B$1112&amp;'DMR 001C NEW'!$A$3:$A$1112),0),MATCH('001-C DMR'!$BA$11,'DMR 001C NEW'!$A$2:$O$2,0)),"")</f>
        <v/>
      </c>
      <c r="BG27" s="57"/>
      <c r="BH27" s="58" t="str">
        <f t="array" ref="BH27">_xlfn.IFNA((INDEX('DMR 001C NEW'!$A$3:$O$9999,MATCH(('001-C DMR'!$BG$6&amp;'001-C DMR'!$BG$10&amp;'001-C DMR'!$B27),('DMR 001C NEW'!$E$3:$E$7246&amp;'DMR 001C NEW'!$B$3:$B$7246&amp;'DMR 001C NEW'!$A$3:$A$7246),0),MATCH('001-C DMR'!$BH$11,'DMR 001C NEW'!$A$2:$O$2,0))),"")</f>
        <v/>
      </c>
      <c r="BI27" s="58" t="str">
        <f t="array" ref="BI27">_xlfn.IFNA(INDEX('DMR 001C NEW'!$A$3:$O$9999,MATCH(('001-C DMR'!$BG$6&amp;'001-C DMR'!$BG$10&amp;'001-C DMR'!$B27),('DMR 001C NEW'!$E$3:$E$7246&amp;'DMR 001C NEW'!$B$3:$B$7246&amp;'DMR 001C NEW'!$A$3:$A$7246),0),MATCH('001-C DMR'!$BI$11,'DMR 001C NEW'!$A$2:$O$2,0)),"")</f>
        <v/>
      </c>
      <c r="BJ27" s="58" t="str">
        <f t="shared" si="7"/>
        <v/>
      </c>
      <c r="BK27" s="57" t="str">
        <f t="shared" si="8"/>
        <v/>
      </c>
      <c r="BL27" s="58" t="str">
        <f t="array" ref="BL27">_xlfn.IFNA((INDEX('DMR 001C NEW'!$A$3:$O$9999,MATCH(('001-C DMR'!$BG$6&amp;'001-C DMR'!$BK$10&amp;'001-C DMR'!$B27),('DMR 001C NEW'!$E$3:$E$7246&amp;'DMR 001C NEW'!$B$3:$B$7246&amp;'DMR 001C NEW'!$A$3:$A$7246),0),MATCH('001-C DMR'!$BH$11,'DMR 001C NEW'!$A$2:$O$2,0))),"")</f>
        <v/>
      </c>
      <c r="BM27" s="58" t="str">
        <f t="array" ref="BM27">_xlfn.IFNA(INDEX('DMR 001C NEW'!$A$3:$O$9999,MATCH(('001-C DMR'!$BG$6&amp;'001-C DMR'!$BK$10&amp;'001-C DMR'!$B27),('DMR 001C NEW'!$E$3:$E$7246&amp;'DMR 001C NEW'!$B$3:$B$7246&amp;'DMR 001C NEW'!$A$3:$A$7246),0),MATCH('001-C DMR'!$BI$11,'DMR 001C NEW'!$A$2:$O$2,0)),"")</f>
        <v/>
      </c>
      <c r="BN27" s="58" t="str">
        <f t="shared" si="9"/>
        <v/>
      </c>
      <c r="BO27" s="56" t="str">
        <f t="array" ref="BO27">IFERROR((($BJ27*$EI27)+($BN27*$EJ27))/($EK27),"")</f>
        <v/>
      </c>
      <c r="BP27" s="64" t="str">
        <f t="shared" si="32"/>
        <v/>
      </c>
      <c r="BQ27" s="280" t="str">
        <f t="array" ref="BQ27">_xlfn.IFNA(INDEX('DMR 001C NEW'!$A$3:$O$999,MATCH(('001-C DMR'!$BG$6&amp;'001-C DMR'!BQ$10&amp;'001-C DMR'!$B27),('DMR 001C NEW'!$E$3:$E$1112&amp;'DMR 001C NEW'!$B$3:$B$1112&amp;'DMR 001C NEW'!$A$3:$A$1112),0),MATCH('001-C DMR'!$BQ$11,'DMR 001C NEW'!$A$2:$O$2,0)),"")</f>
        <v/>
      </c>
      <c r="BR27" s="280" t="str">
        <f t="array" ref="BR27">_xlfn.IFNA(INDEX('DMR 001C NEW'!$A$3:$O$999,MATCH(('001-C DMR'!$BG$6&amp;'001-C DMR'!BR$10&amp;'001-C DMR'!$B27),('DMR 001C NEW'!$E$3:$E$1112&amp;'DMR 001C NEW'!$B$3:$B$1112&amp;'DMR 001C NEW'!$A$3:$A$1112),0),MATCH('001-C DMR'!$BQ$11,'DMR 001C NEW'!$A$2:$O$2,0)),"")</f>
        <v/>
      </c>
      <c r="BS27" s="280" t="str">
        <f t="array" ref="BS27">_xlfn.IFNA(INDEX('DMR 001C NEW'!$A$3:$O$999,MATCH(('001-C DMR'!$BG$6&amp;'001-C DMR'!BS$10&amp;'001-C DMR'!$B27),('DMR 001C NEW'!$E$3:$E$1112&amp;'DMR 001C NEW'!$B$3:$B$1112&amp;'DMR 001C NEW'!$A$3:$A$1112),0),MATCH('001-C DMR'!$BQ$11,'DMR 001C NEW'!$A$2:$O$2,0)),"")</f>
        <v/>
      </c>
      <c r="BT27" s="280" t="str">
        <f t="array" ref="BT27">_xlfn.IFNA(INDEX('DMR 001C NEW'!$A$3:$O$999,MATCH(('001-C DMR'!$BG$6&amp;'001-C DMR'!BT$10&amp;'001-C DMR'!$B27),('DMR 001C NEW'!$E$3:$E$1112&amp;'DMR 001C NEW'!$B$3:$B$1112&amp;'DMR 001C NEW'!$A$3:$A$1112),0),MATCH('001-C DMR'!$BQ$11,'DMR 001C NEW'!$A$2:$O$2,0)),"")</f>
        <v/>
      </c>
      <c r="BU27" s="280" t="str">
        <f t="array" ref="BU27">_xlfn.IFNA(INDEX('DMR 001C NEW'!$A$3:$O$999,MATCH(('001-C DMR'!$BG$6&amp;'001-C DMR'!BU$10&amp;'001-C DMR'!$B27),('DMR 001C NEW'!$E$3:$E$1112&amp;'DMR 001C NEW'!$B$3:$B$1112&amp;'DMR 001C NEW'!$A$3:$A$1112),0),MATCH('001-C DMR'!$BQ$11,'DMR 001C NEW'!$A$2:$O$2,0)),"")</f>
        <v/>
      </c>
      <c r="BV27" s="280" t="str">
        <f t="array" ref="BV27">_xlfn.IFNA(INDEX('DMR 001C NEW'!$A$3:$O$999,MATCH(('001-C DMR'!$BG$6&amp;'001-C DMR'!BV$10&amp;'001-C DMR'!$B27),('DMR 001C NEW'!$E$3:$E$1112&amp;'DMR 001C NEW'!$B$3:$B$1112&amp;'DMR 001C NEW'!$A$3:$A$1112),0),MATCH('001-C DMR'!$BQ$11,'DMR 001C NEW'!$A$2:$O$2,0)),"")</f>
        <v/>
      </c>
      <c r="BW27" s="65"/>
      <c r="BX27" s="65"/>
      <c r="BY27" s="57" t="str">
        <f t="shared" si="10"/>
        <v/>
      </c>
      <c r="BZ27" s="58" t="str">
        <f t="array" ref="BZ27">_xlfn.IFNA((INDEX('DMR 001C NEW'!$A$3:$O$9999,MATCH(('001-C DMR'!$BY$6&amp;'001-C DMR'!$BY$10&amp;'001-C DMR'!$B27),('DMR 001C NEW'!$E$3:$E$7246&amp;'DMR 001C NEW'!$B$3:$B$7246&amp;'DMR 001C NEW'!$A$3:$A$7246),0),MATCH('001-C DMR'!$BZ$11,'DMR 001C NEW'!$A$2:$O$2,0))),"")</f>
        <v/>
      </c>
      <c r="CA27" s="138" t="str">
        <f t="array" ref="CA27">_xlfn.IFNA(INDEX('DMR 001C NEW'!$A$3:$O$9999,MATCH(('001-C DMR'!$BY$6&amp;'001-C DMR'!$BY$10&amp;'001-C DMR'!$B27),('DMR 001C NEW'!$E$3:$E$7246&amp;'DMR 001C NEW'!$B$3:$B$7246&amp;'DMR 001C NEW'!$A$3:$A$7246),0),MATCH('001-C DMR'!$CA$11,'DMR 001C NEW'!$A$2:$O$2,0)),"")</f>
        <v/>
      </c>
      <c r="CB27" s="57" t="str">
        <f t="shared" si="11"/>
        <v/>
      </c>
      <c r="CC27" s="58" t="str">
        <f t="array" ref="CC27">_xlfn.IFNA((INDEX('DMR 001C NEW'!$A$3:$O$9999,MATCH(('001-C DMR'!$BY$6&amp;'001-C DMR'!$CB$10&amp;'001-C DMR'!$B27),('DMR 001C NEW'!$E$3:$E$7246&amp;'DMR 001C NEW'!$B$3:$B$7246&amp;'DMR 001C NEW'!$A$3:$A$7246),0),MATCH('001-C DMR'!$BZ$11,'DMR 001C NEW'!$A$2:$O$2,0))),"")</f>
        <v/>
      </c>
      <c r="CD27" s="138" t="str">
        <f t="array" ref="CD27">_xlfn.IFNA(INDEX('DMR 001C NEW'!$A$3:$O$9999,MATCH(('001-C DMR'!$BY$6&amp;'001-C DMR'!$CB$10&amp;'001-C DMR'!$B27),('DMR 001C NEW'!$E$3:$E$7246&amp;'DMR 001C NEW'!$B$3:$B$7246&amp;'DMR 001C NEW'!$A$3:$A$7246),0),MATCH('001-C DMR'!$CA$11,'DMR 001C NEW'!$A$2:$O$2,0)),"")</f>
        <v/>
      </c>
      <c r="CE27" s="138" t="str">
        <f t="array" ref="CE27">IFERROR((($CA27*$EI27)+($CD27*$EJ27))/($EK27),"")</f>
        <v/>
      </c>
      <c r="CF27" s="64" t="str">
        <f t="shared" si="33"/>
        <v/>
      </c>
      <c r="CG27" s="280" t="str">
        <f t="array" ref="CG27">_xlfn.IFNA(INDEX('DMR 001C NEW'!$A$3:$O$999,MATCH(('001-C DMR'!$BY$6&amp;'001-C DMR'!CG$10&amp;'001-C DMR'!$B27),('DMR 001C NEW'!$E$3:$E$1112&amp;'DMR 001C NEW'!$B$3:$B$1112&amp;'DMR 001C NEW'!$A$3:$A$1112),0),MATCH('001-C DMR'!$CA$11,'DMR 001C NEW'!$A$2:$O$2,0)),"")</f>
        <v/>
      </c>
      <c r="CH27" s="280" t="str">
        <f t="array" ref="CH27">_xlfn.IFNA(INDEX('DMR 001C NEW'!$A$3:$O$999,MATCH(('001-C DMR'!$BY$6&amp;'001-C DMR'!CH$10&amp;'001-C DMR'!$B27),('DMR 001C NEW'!$E$3:$E$1112&amp;'DMR 001C NEW'!$B$3:$B$1112&amp;'DMR 001C NEW'!$A$3:$A$1112),0),MATCH('001-C DMR'!$CA$11,'DMR 001C NEW'!$A$2:$O$2,0)),"")</f>
        <v/>
      </c>
      <c r="CI27" s="280" t="str">
        <f t="array" ref="CI27">_xlfn.IFNA(INDEX('DMR 001C NEW'!$A$3:$O$999,MATCH(('001-C DMR'!$BY$6&amp;'001-C DMR'!CI$10&amp;'001-C DMR'!$B27),('DMR 001C NEW'!$E$3:$E$1112&amp;'DMR 001C NEW'!$B$3:$B$1112&amp;'DMR 001C NEW'!$A$3:$A$1112),0),MATCH('001-C DMR'!$CA$11,'DMR 001C NEW'!$A$2:$O$2,0)),"")</f>
        <v/>
      </c>
      <c r="CJ27" s="280" t="str">
        <f t="array" ref="CJ27">_xlfn.IFNA(INDEX('DMR 001C NEW'!$A$3:$O$999,MATCH(('001-C DMR'!$BY$6&amp;'001-C DMR'!CJ$10&amp;'001-C DMR'!$B27),('DMR 001C NEW'!$E$3:$E$1112&amp;'DMR 001C NEW'!$B$3:$B$1112&amp;'DMR 001C NEW'!$A$3:$A$1112),0),MATCH('001-C DMR'!$CA$11,'DMR 001C NEW'!$A$2:$O$2,0)),"")</f>
        <v/>
      </c>
      <c r="CK27" s="280" t="str">
        <f t="array" ref="CK27">_xlfn.IFNA(INDEX('DMR 001C NEW'!$A$3:$O$999,MATCH(('001-C DMR'!$BY$6&amp;'001-C DMR'!CK$10&amp;'001-C DMR'!$B27),('DMR 001C NEW'!$E$3:$E$1112&amp;'DMR 001C NEW'!$B$3:$B$1112&amp;'DMR 001C NEW'!$A$3:$A$1112),0),MATCH('001-C DMR'!$CA$11,'DMR 001C NEW'!$A$2:$O$2,0)),"")</f>
        <v/>
      </c>
      <c r="CL27" s="280" t="str">
        <f t="array" ref="CL27">_xlfn.IFNA(INDEX('DMR 001C NEW'!$A$3:$O$999,MATCH(('001-C DMR'!$BY$6&amp;'001-C DMR'!CL$10&amp;'001-C DMR'!$B27),('DMR 001C NEW'!$E$3:$E$1112&amp;'DMR 001C NEW'!$B$3:$B$1112&amp;'DMR 001C NEW'!$A$3:$A$1112),0),MATCH('001-C DMR'!$CA$11,'DMR 001C NEW'!$A$2:$O$2,0)),"")</f>
        <v/>
      </c>
      <c r="CM27" s="61" t="str">
        <f t="shared" si="12"/>
        <v/>
      </c>
      <c r="CN27" s="138" t="str">
        <f t="array" ref="CN27">_xlfn.IFNA((INDEX('DMR 001C NEW'!$A$3:$O$9999,MATCH(('001-C DMR'!$CM$6&amp;'001-C DMR'!$CM$10&amp;'001-C DMR'!$B27),('DMR 001C NEW'!$E$3:$E$9018&amp;'DMR 001C NEW'!$B$3:$B$9018&amp;'DMR 001C NEW'!$A$3:$A$9018),0),MATCH('001-C DMR'!$CN$11,'DMR 001C NEW'!$A$2:$O$2,0))*1000),"")</f>
        <v/>
      </c>
      <c r="CO27" s="138" t="str">
        <f t="array" ref="CO27">_xlfn.IFNA(INDEX('DMR 001C NEW'!$A$3:$O$9999,MATCH(('001-C DMR'!$CM$6&amp;'001-C DMR'!$CM$10&amp;'001-C DMR'!$B27),('DMR 001C NEW'!$E$3:$E$9018&amp;'DMR 001C NEW'!$B$3:$B$9018&amp;'DMR 001C NEW'!$A$3:$A$9018),0),MATCH('001-C DMR'!$CO$11,'DMR 001C NEW'!$A$2:$O$2,0))*1000,"")</f>
        <v/>
      </c>
      <c r="CP27" s="138" t="str">
        <f t="shared" si="13"/>
        <v/>
      </c>
      <c r="CQ27" s="64" t="str">
        <f t="shared" si="34"/>
        <v/>
      </c>
      <c r="CR27" s="280" t="str">
        <f t="array" ref="CR27">_xlfn.IFNA(INDEX('DMR 001C NEW'!$A$3:$O$999,MATCH(('001-C DMR'!$CM$6&amp;'001-C DMR'!CR$10&amp;'001-C DMR'!$B27),('DMR 001C NEW'!$E$3:$E$1112&amp;'DMR 001C NEW'!$B$3:$B$1112&amp;'DMR 001C NEW'!$A$3:$A$1112),0),MATCH('001-C DMR'!$CO$11,'DMR 001C NEW'!$A$2:$O$2,0)),"")</f>
        <v/>
      </c>
      <c r="CS27" s="280" t="str">
        <f t="array" ref="CS27">_xlfn.IFNA(INDEX('DMR 001C NEW'!$A$3:$O$999,MATCH(('001-C DMR'!$CM$6&amp;'001-C DMR'!CS$10&amp;'001-C DMR'!$B27),('DMR 001C NEW'!$E$3:$E$1112&amp;'DMR 001C NEW'!$B$3:$B$1112&amp;'DMR 001C NEW'!$A$3:$A$1112),0),MATCH('001-C DMR'!$CO$11,'DMR 001C NEW'!$A$2:$O$2,0)),"")</f>
        <v/>
      </c>
      <c r="CT27" s="280" t="str">
        <f t="array" ref="CT27">_xlfn.IFNA(INDEX('DMR 001C NEW'!$A$3:$O$999,MATCH(('001-C DMR'!$CM$6&amp;'001-C DMR'!CT$10&amp;'001-C DMR'!$B27),('DMR 001C NEW'!$E$3:$E$1112&amp;'DMR 001C NEW'!$B$3:$B$1112&amp;'DMR 001C NEW'!$A$3:$A$1112),0),MATCH('001-C DMR'!$CO$11,'DMR 001C NEW'!$A$2:$O$2,0)),"")</f>
        <v/>
      </c>
      <c r="CU27" s="280" t="str">
        <f t="array" ref="CU27">_xlfn.IFNA(INDEX('DMR 001C NEW'!$A$3:$O$999,MATCH(('001-C DMR'!$CM$6&amp;'001-C DMR'!CU$10&amp;'001-C DMR'!$B27),('DMR 001C NEW'!$E$3:$E$1112&amp;'DMR 001C NEW'!$B$3:$B$1112&amp;'DMR 001C NEW'!$A$3:$A$1112),0),MATCH('001-C DMR'!$CO$11,'DMR 001C NEW'!$A$2:$O$2,0)),"")</f>
        <v/>
      </c>
      <c r="CV27" s="280" t="str">
        <f t="array" ref="CV27">_xlfn.IFNA(INDEX('DMR 001C NEW'!$A$3:$O$999,MATCH(('001-C DMR'!$CM$6&amp;'001-C DMR'!CV$10&amp;'001-C DMR'!$B27),('DMR 001C NEW'!$E$3:$E$1112&amp;'DMR 001C NEW'!$B$3:$B$1112&amp;'DMR 001C NEW'!$A$3:$A$1112),0),MATCH('001-C DMR'!$CO$11,'DMR 001C NEW'!$A$2:$O$2,0)),"")</f>
        <v/>
      </c>
      <c r="CW27" s="280" t="str">
        <f t="array" ref="CW27">_xlfn.IFNA(INDEX('DMR 001C NEW'!$A$3:$O$999,MATCH(('001-C DMR'!$CM$6&amp;'001-C DMR'!CW$10&amp;'001-C DMR'!$B27),('DMR 001C NEW'!$E$3:$E$1112&amp;'DMR 001C NEW'!$B$3:$B$1112&amp;'DMR 001C NEW'!$A$3:$A$1112),0),MATCH('001-C DMR'!$CO$11,'DMR 001C NEW'!$A$2:$O$2,0)),"")</f>
        <v/>
      </c>
      <c r="CX27" s="280" t="str">
        <f t="array" ref="CX27">_xlfn.IFNA(INDEX('DMR 001C NEW'!$A$3:$O$999,MATCH(('001-C DMR'!$CM$6&amp;'001-C DMR'!CX$10&amp;'001-C DMR'!$B27),('DMR 001C NEW'!$E$3:$E$1112&amp;'DMR 001C NEW'!$B$3:$B$1112&amp;'DMR 001C NEW'!$A$3:$A$1112),0),MATCH('001-C DMR'!$CO$11,'DMR 001C NEW'!$A$2:$O$2,0)),"")</f>
        <v/>
      </c>
      <c r="CY27" s="61" t="str">
        <f t="shared" si="14"/>
        <v/>
      </c>
      <c r="CZ27" s="138" t="str">
        <f t="array" ref="CZ27">_xlfn.IFNA((INDEX('DMR 001C NEW'!$A$3:$O$9999,MATCH(('001-C DMR'!$CY$6&amp;'001-C DMR'!$CY$10&amp;'001-C DMR'!$B27),('DMR 001C NEW'!$E$3:$E$9018&amp;'DMR 001C NEW'!$B$3:$B$9018&amp;'DMR 001C NEW'!$A$3:$A$9018),0),MATCH('001-C DMR'!$CZ$11,'DMR 001C NEW'!$A$2:$O$2,0))*1000),"")</f>
        <v/>
      </c>
      <c r="DA27" s="138" t="str">
        <f t="array" ref="DA27">_xlfn.IFNA(INDEX('DMR 001C NEW'!$A$3:$O$9999,MATCH(('001-C DMR'!$CY$6&amp;'001-C DMR'!$CY$10&amp;'001-C DMR'!$B27),('DMR 001C NEW'!$E$3:$E$9018&amp;'DMR 001C NEW'!$B$3:$B$9018&amp;'DMR 001C NEW'!$A$3:$A$9018),0),MATCH('001-C DMR'!$DA$11,'DMR 001C NEW'!$A$2:$O$2,0))*1000,"")</f>
        <v/>
      </c>
      <c r="DB27" s="138" t="str">
        <f t="shared" si="15"/>
        <v/>
      </c>
      <c r="DC27" s="64" t="str">
        <f t="shared" si="35"/>
        <v/>
      </c>
      <c r="DD27" s="280" t="str">
        <f t="array" ref="DD27">_xlfn.IFNA(INDEX('DMR 001C NEW'!$A$3:$O$999,MATCH(('001-C DMR'!$CY$6&amp;'001-C DMR'!DD$10&amp;'001-C DMR'!$B27),('DMR 001C NEW'!$E$3:$E$1112&amp;'DMR 001C NEW'!$B$3:$B$1112&amp;'DMR 001C NEW'!$A$3:$A$1112),0),MATCH('001-C DMR'!$DA$11,'DMR 001C NEW'!$A$2:$O$2,0)),"")</f>
        <v/>
      </c>
      <c r="DE27" s="280" t="str">
        <f t="array" ref="DE27">_xlfn.IFNA(INDEX('DMR 001C NEW'!$A$3:$O$999,MATCH(('001-C DMR'!$CY$6&amp;'001-C DMR'!DE$10&amp;'001-C DMR'!$B27),('DMR 001C NEW'!$E$3:$E$1112&amp;'DMR 001C NEW'!$B$3:$B$1112&amp;'DMR 001C NEW'!$A$3:$A$1112),0),MATCH('001-C DMR'!$DA$11,'DMR 001C NEW'!$A$2:$O$2,0)),"")</f>
        <v/>
      </c>
      <c r="DF27" s="280" t="str">
        <f t="array" ref="DF27">_xlfn.IFNA(INDEX('DMR 001C NEW'!$A$3:$O$999,MATCH(('001-C DMR'!$CY$6&amp;'001-C DMR'!DF$10&amp;'001-C DMR'!$B27),('DMR 001C NEW'!$E$3:$E$1112&amp;'DMR 001C NEW'!$B$3:$B$1112&amp;'DMR 001C NEW'!$A$3:$A$1112),0),MATCH('001-C DMR'!$DA$11,'DMR 001C NEW'!$A$2:$O$2,0)),"")</f>
        <v/>
      </c>
      <c r="DG27" s="280" t="str">
        <f t="array" ref="DG27">_xlfn.IFNA(INDEX('DMR 001C NEW'!$A$3:$O$999,MATCH(('001-C DMR'!$CY$6&amp;'001-C DMR'!DG$10&amp;'001-C DMR'!$B27),('DMR 001C NEW'!$E$3:$E$1112&amp;'DMR 001C NEW'!$B$3:$B$1112&amp;'DMR 001C NEW'!$A$3:$A$1112),0),MATCH('001-C DMR'!$DA$11,'DMR 001C NEW'!$A$2:$O$2,0)),"")</f>
        <v/>
      </c>
      <c r="DH27" s="280" t="str">
        <f t="array" ref="DH27">_xlfn.IFNA(INDEX('DMR 001C NEW'!$A$3:$O$999,MATCH(('001-C DMR'!$CY$6&amp;'001-C DMR'!DH$10&amp;'001-C DMR'!$B27),('DMR 001C NEW'!$E$3:$E$1112&amp;'DMR 001C NEW'!$B$3:$B$1112&amp;'DMR 001C NEW'!$A$3:$A$1112),0),MATCH('001-C DMR'!$DA$11,'DMR 001C NEW'!$A$2:$O$2,0)),"")</f>
        <v/>
      </c>
      <c r="DI27" s="280" t="str">
        <f t="array" ref="DI27">_xlfn.IFNA(INDEX('DMR 001C NEW'!$A$3:$O$999,MATCH(('001-C DMR'!$CY$6&amp;'001-C DMR'!DI$10&amp;'001-C DMR'!$B27),('DMR 001C NEW'!$E$3:$E$1112&amp;'DMR 001C NEW'!$B$3:$B$1112&amp;'DMR 001C NEW'!$A$3:$A$1112),0),MATCH('001-C DMR'!$DA$11,'DMR 001C NEW'!$A$2:$O$2,0)),"")</f>
        <v/>
      </c>
      <c r="DJ27" s="280" t="str">
        <f t="array" ref="DJ27">_xlfn.IFNA(INDEX('DMR 001C NEW'!$A$3:$O$999,MATCH(('001-C DMR'!$CY$6&amp;'001-C DMR'!DJ$10&amp;'001-C DMR'!$B27),('DMR 001C NEW'!$E$3:$E$1112&amp;'DMR 001C NEW'!$B$3:$B$1112&amp;'DMR 001C NEW'!$A$3:$A$1112),0),MATCH('001-C DMR'!$DA$11,'DMR 001C NEW'!$A$2:$O$2,0)),"")</f>
        <v/>
      </c>
      <c r="DK27" s="61" t="str">
        <f t="shared" si="16"/>
        <v/>
      </c>
      <c r="DL27" s="58" t="str">
        <f t="array" ref="DL27">_xlfn.IFNA((INDEX('DMR 001C NEW'!$A$3:$O$9999,MATCH(('001-C DMR'!$DK$6&amp;'001-C DMR'!$DK$10&amp;'001-C DMR'!$B27),('DMR 001C NEW'!$E$3:$E$9018&amp;'DMR 001C NEW'!$B$3:$B$9018&amp;'DMR 001C NEW'!$A$3:$A$9018),0),MATCH('001-C DMR'!$DL$11,'DMR 001C NEW'!$A$2:$O$2,0))),"")</f>
        <v/>
      </c>
      <c r="DM27" s="58" t="str">
        <f t="array" ref="DM27">_xlfn.IFNA(INDEX('DMR 001C NEW'!$A$3:$O$9999,MATCH(('001-C DMR'!$DK$6&amp;'001-C DMR'!$DK$10&amp;'001-C DMR'!$B27),('DMR 001C NEW'!$E$3:$E$9018&amp;'DMR 001C NEW'!$B$3:$B$9018&amp;'DMR 001C NEW'!$A$3:$A$9018),0),MATCH('001-C DMR'!$DM$11,'DMR 001C NEW'!$A$2:$O$2,0)),"")</f>
        <v/>
      </c>
      <c r="DN27" s="58" t="str">
        <f t="shared" si="17"/>
        <v/>
      </c>
      <c r="DO27" s="223"/>
      <c r="DP27" s="224"/>
      <c r="DQ27" s="64" t="str">
        <f t="shared" si="18"/>
        <v/>
      </c>
      <c r="DR27" s="280" t="str">
        <f t="array" ref="DR27">_xlfn.IFNA(INDEX('DMR 001C NEW'!$A$3:$O$999,MATCH(('001-C DMR'!$DK$6&amp;'001-C DMR'!DR$10&amp;'001-C DMR'!$B27),('DMR 001C NEW'!$E$3:$E$1112&amp;'DMR 001C NEW'!$B$3:$B$1112&amp;'DMR 001C NEW'!$A$3:$A$1112),0),MATCH('001-C DMR'!$DR$11,'DMR 001C NEW'!$A$2:$O$2,0)),"")</f>
        <v/>
      </c>
      <c r="DS27" s="280" t="str">
        <f t="array" ref="DS27">_xlfn.IFNA(INDEX('DMR 001C NEW'!$A$3:$O$999,MATCH(('001-C DMR'!$DK$6&amp;'001-C DMR'!DS$10&amp;'001-C DMR'!$B27),('DMR 001C NEW'!$E$3:$E$1112&amp;'DMR 001C NEW'!$B$3:$B$1112&amp;'DMR 001C NEW'!$A$3:$A$1112),0),MATCH('001-C DMR'!$DR$11,'DMR 001C NEW'!$A$2:$O$2,0)),"")</f>
        <v/>
      </c>
      <c r="DT27" s="280" t="str">
        <f t="array" ref="DT27">_xlfn.IFNA(INDEX('DMR 001C NEW'!$A$3:$O$999,MATCH(('001-C DMR'!$DK$6&amp;'001-C DMR'!DT$10&amp;'001-C DMR'!$B27),('DMR 001C NEW'!$E$3:$E$1112&amp;'DMR 001C NEW'!$B$3:$B$1112&amp;'DMR 001C NEW'!$A$3:$A$1112),0),MATCH('001-C DMR'!$DR$11,'DMR 001C NEW'!$A$2:$O$2,0)),"")</f>
        <v/>
      </c>
      <c r="DU27" s="280" t="str">
        <f t="array" ref="DU27">_xlfn.IFNA(INDEX('DMR 001C NEW'!$A$3:$O$999,MATCH(('001-C DMR'!$DK$6&amp;'001-C DMR'!DU$10&amp;'001-C DMR'!$B27),('DMR 001C NEW'!$E$3:$E$1112&amp;'DMR 001C NEW'!$B$3:$B$1112&amp;'DMR 001C NEW'!$A$3:$A$1112),0),MATCH('001-C DMR'!$DR$11,'DMR 001C NEW'!$A$2:$O$2,0)),"")</f>
        <v/>
      </c>
      <c r="DV27" s="280" t="str">
        <f t="array" ref="DV27">_xlfn.IFNA(INDEX('DMR 001C NEW'!$A$3:$O$999,MATCH(('001-C DMR'!$DK$6&amp;'001-C DMR'!DV$10&amp;'001-C DMR'!$B27),('DMR 001C NEW'!$E$3:$E$1112&amp;'DMR 001C NEW'!$B$3:$B$1112&amp;'DMR 001C NEW'!$A$3:$A$1112),0),MATCH('001-C DMR'!$DR$11,'DMR 001C NEW'!$A$2:$O$2,0)),"")</f>
        <v/>
      </c>
      <c r="DW27" s="280" t="str">
        <f t="array" ref="DW27">_xlfn.IFNA(INDEX('DMR 001C NEW'!$A$3:$O$999,MATCH(('001-C DMR'!$DK$6&amp;'001-C DMR'!DW$10&amp;'001-C DMR'!$B27),('DMR 001C NEW'!$E$3:$E$1112&amp;'DMR 001C NEW'!$B$3:$B$1112&amp;'DMR 001C NEW'!$A$3:$A$1112),0),MATCH('001-C DMR'!$DR$11,'DMR 001C NEW'!$A$2:$O$2,0)),"")</f>
        <v/>
      </c>
      <c r="DX27" s="280" t="str">
        <f t="array" ref="DX27">_xlfn.IFNA(INDEX('DMR 001C NEW'!$A$3:$O$999,MATCH(('001-C DMR'!$DK$6&amp;'001-C DMR'!DX$10&amp;'001-C DMR'!$B27),('DMR 001C NEW'!$E$3:$E$1112&amp;'DMR 001C NEW'!$B$3:$B$1112&amp;'DMR 001C NEW'!$A$3:$A$1112),0),MATCH('001-C DMR'!$DR$11,'DMR 001C NEW'!$A$2:$O$2,0)),"")</f>
        <v/>
      </c>
      <c r="DY27" s="61" t="str">
        <f t="shared" si="28"/>
        <v/>
      </c>
      <c r="DZ27" s="249" t="str">
        <f t="array" ref="DZ27">_xlfn.IFNA((INDEX('DMR 001C NEW'!$A$3:$O$9999,MATCH(('001-C DMR'!$DY$6&amp;'001-C DMR'!$DY$10&amp;'001-C DMR'!$B27),('DMR 001C NEW'!$E$3:$E$9018&amp;'DMR 001C NEW'!$B$3:$B$9018&amp;'DMR 001C NEW'!$A$3:$A$9018),0),MATCH('001-C DMR'!$DZ$11,'DMR 001C NEW'!$A$2:$O$2,0))),"")</f>
        <v/>
      </c>
      <c r="EA27" s="249" t="str">
        <f t="array" ref="EA27">_xlfn.IFNA((INDEX('DMR 001C NEW'!$A$3:$O$9999,MATCH(('001-C DMR'!$DY$6&amp;'001-C DMR'!$DY$10&amp;'001-C DMR'!$B27),('DMR 001C NEW'!$E$3:$E$9018&amp;'DMR 001C NEW'!$B$3:$B$9018&amp;'DMR 001C NEW'!$A$3:$A$9018),0),MATCH('001-C DMR'!$EA$11,'DMR 001C NEW'!$A$2:$O$2,0))),"")</f>
        <v/>
      </c>
      <c r="EB27" s="249" t="str">
        <f t="array" ref="EB27">IF(EA27="SCRATCHED","",IF(EA27&lt;DZ27,0,EA27))</f>
        <v/>
      </c>
      <c r="EC27" s="249" t="str">
        <f t="shared" si="29"/>
        <v/>
      </c>
      <c r="ED27" s="249" t="str">
        <f t="array" ref="ED27">_xlfn.IFNA((INDEX('DMR 001C NEW'!$A$3:$O$9999,MATCH(('001-C DMR'!$DY$6&amp;'001-C DMR'!$EC$10&amp;'001-C DMR'!$B27),('DMR 001C NEW'!$E$3:$E$9018&amp;'DMR 001C NEW'!$B$3:$B$9018&amp;'DMR 001C NEW'!$A$3:$A$9018),0),MATCH('001-C DMR'!$DZ$11,'DMR 001C NEW'!$A$2:$O$2,0))),"")</f>
        <v/>
      </c>
      <c r="EE27" s="249" t="str">
        <f t="array" ref="EE27">_xlfn.IFNA((INDEX('DMR 001C NEW'!$A$3:$O$9999,MATCH(('001-C DMR'!$DY$6&amp;'001-C DMR'!$EC$10&amp;'001-C DMR'!$B27),('DMR 001C NEW'!$E$3:$E$9018&amp;'DMR 001C NEW'!$B$3:$B$9018&amp;'DMR 001C NEW'!$A$3:$A$9018),0),MATCH('001-C DMR'!$EE$11,'DMR 001C NEW'!$A$2:$O$2,0))),"")</f>
        <v/>
      </c>
      <c r="EF27" s="249" t="str">
        <f t="array" ref="EF27">IF(EE27="SCRATCHED","",IF(EE27&lt;ED27,0,EE27))</f>
        <v/>
      </c>
      <c r="EG27" s="249"/>
      <c r="EH27" s="195"/>
      <c r="EI27" s="194">
        <f t="array" ref="EI27">_xlfn.IFNA(INDEX('DMR Flows-Effluent'!$A$3:$F$186,MATCH(($EI$10&amp;$B27),('DMR Flows-Effluent'!$B$3:$B$186&amp;'DMR Flows-Effluent'!$A$3:$A$186),0),MATCH($EI$8,'DMR Flows-Effluent'!$A$2:$F$2,0)),"")</f>
        <v>53.8855</v>
      </c>
      <c r="EJ27" s="56">
        <f t="array" ref="EJ27">_xlfn.IFNA(INDEX('DMR Flows-Effluent'!$A$3:$F$186,MATCH(($EJ$10&amp;$B27),('DMR Flows-Effluent'!$B$3:$B$186&amp;'DMR Flows-Effluent'!$A$3:$A$186),0),MATCH($EI$8,'DMR Flows-Effluent'!$A$2:$F$2,0)),"")</f>
        <v>78.660200000000003</v>
      </c>
      <c r="EK27" s="168">
        <f t="shared" si="19"/>
        <v>132.54570000000001</v>
      </c>
      <c r="EL27" s="63"/>
      <c r="EM27" s="63"/>
      <c r="EN27" s="63"/>
      <c r="EO27" s="63"/>
      <c r="EP27" s="62"/>
      <c r="EQ27" s="157">
        <f>'E.Coli Calculations'!R21</f>
        <v>152.30704796518484</v>
      </c>
      <c r="ER27" s="56"/>
      <c r="ES27" s="64" t="str">
        <f t="shared" si="36"/>
        <v/>
      </c>
      <c r="ET27" s="61" t="str">
        <f t="shared" si="20"/>
        <v/>
      </c>
      <c r="EU27" s="58" t="str">
        <f t="array" ref="EU27">_xlfn.IFNA((INDEX('DMR 001C NEW'!$A$3:$O$9999,MATCH(('001-C DMR'!$ET$6&amp;'001-C DMR'!$ET$10&amp;'001-C DMR'!$B27),('DMR 001C NEW'!$E$3:$E$9018&amp;'DMR 001C NEW'!$B$3:$B$9018&amp;'DMR 001C NEW'!$A$3:$A$9018),0),MATCH('001-C DMR'!$EU$11,'DMR 001C NEW'!$A$2:$O$2,0))),"")</f>
        <v/>
      </c>
      <c r="EV27" s="58" t="str">
        <f t="array" ref="EV27">_xlfn.IFNA(INDEX('DMR 001C NEW'!$A$3:$O$9999,MATCH(('001-C DMR'!$ET$6&amp;'001-C DMR'!$ET$10&amp;'001-C DMR'!$B27),('DMR 001C NEW'!$E$3:$E$9018&amp;'DMR 001C NEW'!$B$3:$B$9018&amp;'DMR 001C NEW'!$A$3:$A$9018),0),MATCH('001-C DMR'!$EV$11,'DMR 001C NEW'!$A$2:$O$2,0)),"")</f>
        <v/>
      </c>
      <c r="EW27" s="56" t="str">
        <f t="shared" si="21"/>
        <v/>
      </c>
      <c r="EX27" s="64"/>
      <c r="EY27" s="279" t="str">
        <f t="array" ref="EY27">_xlfn.IFNA(INDEX('DMR 001C NEW'!$A$3:$O$999,MATCH(('001-C DMR'!$ET$6&amp;'001-C DMR'!EY$10&amp;'001-C DMR'!$B27),('DMR 001C NEW'!$E$3:$E$1112&amp;'DMR 001C NEW'!$B$3:$B$1112&amp;'DMR 001C NEW'!$A$3:$A$1112),0),MATCH('001-C DMR'!$EY$11,'DMR 001C NEW'!$A$2:$O$2,0)),"")</f>
        <v/>
      </c>
      <c r="EZ27" s="280" t="str">
        <f t="array" ref="EZ27">_xlfn.IFNA(INDEX('DMR 001C NEW'!$A$3:$O$999,MATCH(('001-C DMR'!$ET$6&amp;'001-C DMR'!EZ$10&amp;'001-C DMR'!$B27),('DMR 001C NEW'!$E$3:$E$1112&amp;'DMR 001C NEW'!$B$3:$B$1112&amp;'DMR 001C NEW'!$A$3:$A$1112),0),MATCH('001-C DMR'!$EY$11,'DMR 001C NEW'!$A$2:$O$2,0)),"")</f>
        <v/>
      </c>
      <c r="FA27" s="280" t="str">
        <f t="array" ref="FA27">_xlfn.IFNA(INDEX('DMR 001C NEW'!$A$3:$O$999,MATCH(('001-C DMR'!$ET$6&amp;'001-C DMR'!FA$10&amp;'001-C DMR'!$B27),('DMR 001C NEW'!$E$3:$E$1112&amp;'DMR 001C NEW'!$B$3:$B$1112&amp;'DMR 001C NEW'!$A$3:$A$1112),0),MATCH('001-C DMR'!$EY$11,'DMR 001C NEW'!$A$2:$O$2,0)),"")</f>
        <v/>
      </c>
      <c r="FB27" s="280" t="str">
        <f t="array" ref="FB27">_xlfn.IFNA(INDEX('DMR 001C NEW'!$A$3:$O$999,MATCH(('001-C DMR'!$ET$6&amp;'001-C DMR'!FB$10&amp;'001-C DMR'!$B27),('DMR 001C NEW'!$E$3:$E$1112&amp;'DMR 001C NEW'!$B$3:$B$1112&amp;'DMR 001C NEW'!$A$3:$A$1112),0),MATCH('001-C DMR'!$EY$11,'DMR 001C NEW'!$A$2:$O$2,0)),"")</f>
        <v/>
      </c>
      <c r="FC27" s="280" t="str">
        <f t="array" ref="FC27">_xlfn.IFNA(INDEX('DMR 001C NEW'!$A$3:$O$999,MATCH(('001-C DMR'!$ET$6&amp;'001-C DMR'!FC$10&amp;'001-C DMR'!$B27),('DMR 001C NEW'!$E$3:$E$1112&amp;'DMR 001C NEW'!$B$3:$B$1112&amp;'DMR 001C NEW'!$A$3:$A$1112),0),MATCH('001-C DMR'!$EY$11,'DMR 001C NEW'!$A$2:$O$2,0)),"")</f>
        <v/>
      </c>
      <c r="FD27" s="280" t="str">
        <f t="array" ref="FD27">_xlfn.IFNA(INDEX('DMR 001C NEW'!$A$3:$O$999,MATCH(('001-C DMR'!$ET$6&amp;'001-C DMR'!FD$10&amp;'001-C DMR'!$B27),('DMR 001C NEW'!$E$3:$E$1112&amp;'DMR 001C NEW'!$B$3:$B$1112&amp;'DMR 001C NEW'!$A$3:$A$1112),0),MATCH('001-C DMR'!$EY$11,'DMR 001C NEW'!$A$2:$O$2,0)),"")</f>
        <v/>
      </c>
      <c r="FE27" s="281" t="str">
        <f t="array" ref="FE27">_xlfn.IFNA(INDEX('DMR 001C NEW'!$A$3:$O$999,MATCH(('001-C DMR'!$ET$6&amp;'001-C DMR'!FE$10&amp;'001-C DMR'!$B27),('DMR 001C NEW'!$E$3:$E$1112&amp;'DMR 001C NEW'!$B$3:$B$1112&amp;'DMR 001C NEW'!$A$3:$A$1112),0),MATCH('001-C DMR'!$EY$11,'DMR 001C NEW'!$A$2:$O$2,0)),"")</f>
        <v/>
      </c>
      <c r="FF27" s="57" t="str">
        <f t="shared" si="22"/>
        <v/>
      </c>
      <c r="FG27" s="56">
        <f t="array" ref="FG27">_xlfn.IFNA(INDEX('DMR 001C NEW'!$A$3:$O$9999,MATCH(('001-C DMR'!$FF$6&amp;'001-C DMR'!$FF$10&amp;'001-C DMR'!$B27),('DMR 001C NEW'!$E$3:$E$7246&amp;'DMR 001C NEW'!$B$3:$B$7246&amp;'DMR 001C NEW'!$A$3:$A$7246),0),MATCH('001-C DMR'!$FG$11,'DMR 001C NEW'!$A$2:$O$2,0)),"")</f>
        <v>0</v>
      </c>
      <c r="FH27" s="56">
        <f t="array" ref="FH27">_xlfn.IFNA(INDEX('DMR 001C NEW'!$A$3:$O$9999,MATCH(('001-C DMR'!$FF$6&amp;'001-C DMR'!$FF$10&amp;'001-C DMR'!$B27),('DMR 001C NEW'!$E$3:$E$7246&amp;'DMR 001C NEW'!$B$3:$B$7246&amp;'DMR 001C NEW'!$A$3:$A$7246),0),MATCH('001-C DMR'!$FH$11,'DMR 001C NEW'!$A$2:$O$2,0)),"")</f>
        <v>4</v>
      </c>
      <c r="FI27" s="57" t="str">
        <f t="shared" si="23"/>
        <v/>
      </c>
      <c r="FJ27" s="56">
        <f t="array" ref="FJ27">_xlfn.IFNA(INDEX('DMR 001C NEW'!$A$3:$O$9999,MATCH(('001-C DMR'!$FF$6&amp;'001-C DMR'!$FI$10&amp;'001-C DMR'!$B27),('DMR 001C NEW'!$E$3:$E$7246&amp;'DMR 001C NEW'!$B$3:$B$7246&amp;'DMR 001C NEW'!$A$3:$A$7246),0),MATCH('001-C DMR'!$FG$11,'DMR 001C NEW'!$A$2:$O$2,0)),"")</f>
        <v>0</v>
      </c>
      <c r="FK27" s="56">
        <f t="array" ref="FK27">_xlfn.IFNA(INDEX('DMR 001C NEW'!$A$3:$O$9999,MATCH(('001-C DMR'!$FF$6&amp;'001-C DMR'!$FI$10&amp;'001-C DMR'!$B27),('DMR 001C NEW'!$E$3:$E$7246&amp;'DMR 001C NEW'!$B$3:$B$7246&amp;'DMR 001C NEW'!$A$3:$A$7246),0),MATCH('001-C DMR'!$FH$11,'DMR 001C NEW'!$A$2:$O$2,0)),"")</f>
        <v>4</v>
      </c>
      <c r="FL27" s="56">
        <f t="array" ref="FL27">IFERROR((($FH27*$EI27)+($FK27*$EJ27))/($EK27),"")</f>
        <v>4</v>
      </c>
      <c r="FM27" s="56" t="str">
        <f t="shared" si="43"/>
        <v/>
      </c>
      <c r="FN27" s="64" t="str">
        <f t="shared" si="37"/>
        <v/>
      </c>
      <c r="FO27" s="66"/>
      <c r="FP27" s="280" t="str">
        <f t="array" ref="FP27">_xlfn.IFNA(INDEX('DMR 001C NEW'!$A$3:$O$999,MATCH(('001-C DMR'!$FF$6&amp;'001-C DMR'!FP$10&amp;'001-C DMR'!$B27),('DMR 001C NEW'!$E$3:$E$1112&amp;'DMR 001C NEW'!$B$3:$B$1112&amp;'DMR 001C NEW'!$A$3:$A$1112),0),MATCH('001-C DMR'!$FH$11,'DMR 001C NEW'!$A$2:$O$2,0)),"")</f>
        <v/>
      </c>
      <c r="FQ27" s="280" t="str">
        <f t="array" ref="FQ27">_xlfn.IFNA(INDEX('DMR 001C NEW'!$A$3:$O$999,MATCH(('001-C DMR'!$FF$6&amp;'001-C DMR'!FQ$10&amp;'001-C DMR'!$B27),('DMR 001C NEW'!$E$3:$E$1112&amp;'DMR 001C NEW'!$B$3:$B$1112&amp;'DMR 001C NEW'!$A$3:$A$1112),0),MATCH('001-C DMR'!$FH$11,'DMR 001C NEW'!$A$2:$O$2,0)),"")</f>
        <v/>
      </c>
      <c r="FR27" s="280" t="str">
        <f t="array" ref="FR27">_xlfn.IFNA(INDEX('DMR 001C NEW'!$A$3:$O$999,MATCH(('001-C DMR'!$FF$6&amp;'001-C DMR'!FR$10&amp;'001-C DMR'!$B27),('DMR 001C NEW'!$E$3:$E$1112&amp;'DMR 001C NEW'!$B$3:$B$1112&amp;'DMR 001C NEW'!$A$3:$A$1112),0),MATCH('001-C DMR'!$FH$11,'DMR 001C NEW'!$A$2:$O$2,0)),"")</f>
        <v/>
      </c>
      <c r="FS27" s="280" t="str">
        <f t="array" ref="FS27">_xlfn.IFNA(INDEX('DMR 001C NEW'!$A$3:$O$999,MATCH(('001-C DMR'!$FF$6&amp;'001-C DMR'!FS$10&amp;'001-C DMR'!$B27),('DMR 001C NEW'!$E$3:$E$1112&amp;'DMR 001C NEW'!$B$3:$B$1112&amp;'DMR 001C NEW'!$A$3:$A$1112),0),MATCH('001-C DMR'!$FH$11,'DMR 001C NEW'!$A$2:$O$2,0)),"")</f>
        <v/>
      </c>
      <c r="FT27" s="280" t="str">
        <f t="array" ref="FT27">_xlfn.IFNA(INDEX('DMR 001C NEW'!$A$3:$O$999,MATCH(('001-C DMR'!$FF$6&amp;'001-C DMR'!FT$10&amp;'001-C DMR'!$B27),('DMR 001C NEW'!$E$3:$E$1112&amp;'DMR 001C NEW'!$B$3:$B$1112&amp;'DMR 001C NEW'!$A$3:$A$1112),0),MATCH('001-C DMR'!$FH$11,'DMR 001C NEW'!$A$2:$O$2,0)),"")</f>
        <v/>
      </c>
      <c r="FU27" s="280" t="str">
        <f t="array" ref="FU27">_xlfn.IFNA(INDEX('DMR 001C NEW'!$A$3:$O$999,MATCH(('001-C DMR'!$FF$6&amp;'001-C DMR'!FU$10&amp;'001-C DMR'!$B27),('DMR 001C NEW'!$E$3:$E$1112&amp;'DMR 001C NEW'!$B$3:$B$1112&amp;'DMR 001C NEW'!$A$3:$A$1112),0),MATCH('001-C DMR'!$FH$11,'DMR 001C NEW'!$A$2:$O$2,0)),"")</f>
        <v/>
      </c>
      <c r="FV27" s="66"/>
      <c r="FW27" s="61" t="str">
        <f t="shared" si="24"/>
        <v/>
      </c>
      <c r="FX27" s="58" t="str">
        <f t="array" ref="FX27">_xlfn.IFNA(INDEX('DMR 001C NEW'!$A$3:$O$9999,MATCH(('001-C DMR'!$FW$6&amp;'001-C DMR'!$FW$10&amp;'001-C DMR'!$B27),('DMR 001C NEW'!$E$3:$E$7246&amp;'DMR 001C NEW'!$B$3:$B$7246&amp;'DMR 001C NEW'!$A$3:$A$7246),0),MATCH('001-C DMR'!$FX$11,'DMR 001C NEW'!$A$2:$O$2,0)),"")</f>
        <v/>
      </c>
      <c r="FY27" s="58" t="str">
        <f t="array" ref="FY27">_xlfn.IFNA(INDEX('DMR 001C NEW'!$A$3:$O$9999,MATCH(('001-C DMR'!$FW$6&amp;'001-C DMR'!$FW$10&amp;'001-C DMR'!$B27),('DMR 001C NEW'!$E$3:$E$7246&amp;'DMR 001C NEW'!$B$3:$B$7246&amp;'DMR 001C NEW'!$A$3:$A$7246),0),MATCH('001-C DMR'!$FY$11,'DMR 001C NEW'!$A$2:$O$2,0)),"")</f>
        <v/>
      </c>
      <c r="FZ27" s="57" t="str">
        <f t="shared" si="25"/>
        <v/>
      </c>
      <c r="GA27" s="58" t="str">
        <f t="array" ref="GA27">_xlfn.IFNA(INDEX('DMR 001C NEW'!$A$3:$O$9999,MATCH(('001-C DMR'!$FW$6&amp;'001-C DMR'!$FZ$10&amp;'001-C DMR'!$B27),('DMR 001C NEW'!$E$3:$E$7246&amp;'DMR 001C NEW'!$B$3:$B$7246&amp;'DMR 001C NEW'!$A$3:$A$7246),0),MATCH('001-C DMR'!$FX$11,'DMR 001C NEW'!$A$2:$O$2,0)),"")</f>
        <v/>
      </c>
      <c r="GB27" s="58" t="str">
        <f t="array" ref="GB27">_xlfn.IFNA(INDEX('DMR 001C NEW'!$A$3:$O$9999,MATCH(('001-C DMR'!$FW$6&amp;'001-C DMR'!$FZ$10&amp;'001-C DMR'!$B27),('DMR 001C NEW'!$E$3:$E$7246&amp;'DMR 001C NEW'!$B$3:$B$7246&amp;'DMR 001C NEW'!$A$3:$A$7246),0),MATCH('001-C DMR'!$GB$11,'DMR 001C NEW'!$A$2:$O$2,0)),"")</f>
        <v/>
      </c>
      <c r="GC27" s="56" t="str">
        <f t="shared" si="4"/>
        <v/>
      </c>
      <c r="GD27" s="64" t="str">
        <f t="shared" si="38"/>
        <v/>
      </c>
      <c r="GE27" s="279" t="str">
        <f t="array" ref="GE27">_xlfn.IFNA(INDEX('DMR 001C NEW'!$A$3:$O$999,MATCH(('001-C DMR'!$FW$6&amp;'001-C DMR'!GE$10&amp;'001-C DMR'!$B27),('DMR 001C NEW'!$E$3:$E$1112&amp;'DMR 001C NEW'!$B$3:$B$1112&amp;'DMR 001C NEW'!$A$3:$A$1112),0),MATCH('001-C DMR'!$FY$11,'DMR 001C NEW'!$A$2:$O$2,0)),"")</f>
        <v/>
      </c>
      <c r="GF27" s="280" t="str">
        <f t="array" ref="GF27">_xlfn.IFNA(INDEX('DMR 001C NEW'!$A$3:$O$999,MATCH(('001-C DMR'!$FW$6&amp;'001-C DMR'!GF$10&amp;'001-C DMR'!$B27),('DMR 001C NEW'!$E$3:$E$1112&amp;'DMR 001C NEW'!$B$3:$B$1112&amp;'DMR 001C NEW'!$A$3:$A$1112),0),MATCH('001-C DMR'!$FY$11,'DMR 001C NEW'!$A$2:$O$2,0)),"")</f>
        <v/>
      </c>
      <c r="GG27" s="280" t="str">
        <f t="array" ref="GG27">_xlfn.IFNA(INDEX('DMR 001C NEW'!$A$3:$O$999,MATCH(('001-C DMR'!$FW$6&amp;'001-C DMR'!GG$10&amp;'001-C DMR'!$B27),('DMR 001C NEW'!$E$3:$E$1112&amp;'DMR 001C NEW'!$B$3:$B$1112&amp;'DMR 001C NEW'!$A$3:$A$1112),0),MATCH('001-C DMR'!$FY$11,'DMR 001C NEW'!$A$2:$O$2,0)),"")</f>
        <v/>
      </c>
      <c r="GH27" s="280" t="str">
        <f t="array" ref="GH27">_xlfn.IFNA(INDEX('DMR 001C NEW'!$A$3:$O$999,MATCH(('001-C DMR'!$FW$6&amp;'001-C DMR'!GH$10&amp;'001-C DMR'!$B27),('DMR 001C NEW'!$E$3:$E$1112&amp;'DMR 001C NEW'!$B$3:$B$1112&amp;'DMR 001C NEW'!$A$3:$A$1112),0),MATCH('001-C DMR'!$FY$11,'DMR 001C NEW'!$A$2:$O$2,0)),"")</f>
        <v/>
      </c>
      <c r="GI27" s="280" t="str">
        <f t="array" ref="GI27">_xlfn.IFNA(INDEX('DMR 001C NEW'!$A$3:$O$999,MATCH(('001-C DMR'!$FW$6&amp;'001-C DMR'!GI$10&amp;'001-C DMR'!$B27),('DMR 001C NEW'!$E$3:$E$1112&amp;'DMR 001C NEW'!$B$3:$B$1112&amp;'DMR 001C NEW'!$A$3:$A$1112),0),MATCH('001-C DMR'!$FY$11,'DMR 001C NEW'!$A$2:$O$2,0)),"")</f>
        <v/>
      </c>
      <c r="GJ27" s="281" t="str">
        <f t="array" ref="GJ27">_xlfn.IFNA(INDEX('DMR 001C NEW'!$A$3:$O$999,MATCH(('001-C DMR'!$FW$6&amp;'001-C DMR'!GJ$10&amp;'001-C DMR'!$B27),('DMR 001C NEW'!$E$3:$E$1112&amp;'DMR 001C NEW'!$B$3:$B$1112&amp;'DMR 001C NEW'!$A$3:$A$1112),0),MATCH('001-C DMR'!$FY$11,'DMR 001C NEW'!$A$2:$O$2,0)),"")</f>
        <v/>
      </c>
      <c r="GK27" s="58" t="str">
        <f t="array" ref="GK27">_xlfn.IFNA(INDEX('DMR 001C NEW'!$A$3:$O$9999,MATCH(('001-C DMR'!$GK$6&amp;'001-C DMR'!$GK$10&amp;'001-C DMR'!$B27),('DMR 001C NEW'!$E$3:$E$9018&amp;'DMR 001C NEW'!$B$3:$B$9018&amp;'DMR 001C NEW'!$A$3:$A$9018),0),MATCH('001-C DMR'!$GK$11,'DMR 001C NEW'!$A$2:$O$2,0)),"")</f>
        <v>n</v>
      </c>
      <c r="GL27" s="58" t="str">
        <f t="array" ref="GL27">_xlfn.IFNA(INDEX('DMR 001C NEW'!$A$3:$O$9999,MATCH(('001-C DMR'!$GK$6&amp;'001-C DMR'!$GL$10&amp;'001-C DMR'!$B27),('DMR 001C NEW'!$E$3:$E$9018&amp;'DMR 001C NEW'!$B$3:$B$9018&amp;'DMR 001C NEW'!$A$3:$A$9018),0),MATCH('001-C DMR'!$GK$11,'DMR 001C NEW'!$A$2:$O$2,0)),"")</f>
        <v>n</v>
      </c>
      <c r="GM27" s="134"/>
      <c r="GN27" s="64" t="str">
        <f t="shared" si="44"/>
        <v/>
      </c>
    </row>
    <row r="28" spans="1:282" s="51" customFormat="1" x14ac:dyDescent="0.25">
      <c r="A28" s="67" t="str">
        <f t="shared" si="5"/>
        <v>Tue</v>
      </c>
      <c r="B28" s="216">
        <f t="shared" si="26"/>
        <v>43690</v>
      </c>
      <c r="C28" s="93">
        <f t="array" ref="C28">INDEX('DMR 001C NEW'!$A$3:$N$10020,MATCH(('001-C DMR'!$C$6:$K$6&amp;'001-C DMR'!$C$10:$E$10&amp;'001-C DMR'!$B28),('DMR 001C NEW'!$E$3:$E$7246&amp;'DMR 001C NEW'!$B$3:$B$7246&amp;'DMR 001C NEW'!$A$3:$A$7246),0),MATCH('001-C DMR'!$C$11,'DMR 001C NEW'!$A$2:$O$2,0))</f>
        <v>5.8</v>
      </c>
      <c r="D28" s="56" t="str">
        <f t="array" ref="D28">INDEX('DMR 001C NEW'!$A$3:$N$11771,MATCH(('001-C DMR'!$C$6:$K$6&amp;'001-C DMR'!$C$10:$E$10&amp;'001-C DMR'!$B28),('DMR 001C NEW'!$E$3:$E$9018&amp;'DMR 001C NEW'!$B$3:$B$9018&amp;'DMR 001C NEW'!$A$3:$A$9018),0),MATCH('001-C DMR'!$D$11,'DMR 001C NEW'!$A$2:$O$2,0))</f>
        <v>AE69096</v>
      </c>
      <c r="E28" s="56">
        <f t="array" ref="E28">INDEX('DMR 001C NEW'!$A$3:$N$9999,MATCH(('001-C DMR'!$E$11&amp;'001-C DMR'!$C$10:$E$10&amp;'001-C DMR'!$B28&amp;$D28),('DMR 001C NEW'!$E$3:$E$7246&amp;'DMR 001C NEW'!$B$3:$B$7246&amp;'DMR 001C NEW'!$A$3:$A$7246&amp;'DMR 001C NEW'!$M$3:$M$7188),0),MATCH($C$11,'DMR 001C NEW'!$A$2:$O$2,0))</f>
        <v>60.23</v>
      </c>
      <c r="F28" s="56">
        <f t="array" ref="F28">INDEX('DMR 001C NEW'!$A$3:$N$9999,MATCH('001-C DMR'!$C$6:$K$6&amp;'001-C DMR'!$F$10&amp;'001-C DMR'!$B28,('DMR 001C NEW'!$E$3:$E$7246&amp;'DMR 001C NEW'!$B$3:$B$7246&amp;'DMR 001C NEW'!$A$3:$A$7246),0),MATCH('001-C DMR'!$C$11,'DMR 001C NEW'!$A$2:$O$2,0))</f>
        <v>6.5</v>
      </c>
      <c r="G28" s="56" t="str">
        <f t="array" ref="G28">INDEX('DMR 001C NEW'!$A$3:$N$3865,MATCH(('001-C DMR'!$C$6:$K$6&amp;'001-C DMR'!$F$10&amp;'001-C DMR'!$B28),('DMR 001C NEW'!$E$3:$E$1112&amp;'DMR 001C NEW'!$B$3:$B$1112&amp;'DMR 001C NEW'!$A$3:$A$1112),0),MATCH('001-C DMR'!$D$11,'DMR 001C NEW'!$A$2:$O$2,0))</f>
        <v>AE69097</v>
      </c>
      <c r="H28" s="56">
        <f t="array" ref="H28">INDEX('DMR 001C NEW'!$A$3:$N$9999,MATCH(('001-C DMR'!$E$11&amp;'001-C DMR'!$F$10&amp;'001-C DMR'!$B28&amp;$G28),('DMR 001C NEW'!$E$3:$E$7246&amp;'DMR 001C NEW'!$B$3:$B$7246&amp;'DMR 001C NEW'!$A$3:$A$7246&amp;'DMR 001C NEW'!$M$3:$M$7188),0),MATCH($C$11,'DMR 001C NEW'!$A$2:$O$2,0))</f>
        <v>92.43</v>
      </c>
      <c r="I28" s="56">
        <f t="shared" si="0"/>
        <v>6.2238241844622042</v>
      </c>
      <c r="J28" s="58" t="str">
        <f t="shared" si="39"/>
        <v/>
      </c>
      <c r="K28" s="64" t="str">
        <f t="shared" si="40"/>
        <v/>
      </c>
      <c r="L28" s="262" t="str">
        <f t="array" ref="L28">_xlfn.IFNA(INDEX('DMR 001C NEW'!$A$3:$N$3865,MATCH(('001-C DMR'!$C$6:$K$6&amp;'001-C DMR'!L$10&amp;'001-C DMR'!$B28),('DMR 001C NEW'!$E$3:$E$1112&amp;'DMR 001C NEW'!$B$3:$B$1112&amp;'DMR 001C NEW'!$A$3:$A$1112),0),MATCH('001-C DMR'!$C$11,'DMR 001C NEW'!$A$2:$O$2,0)),"")</f>
        <v/>
      </c>
      <c r="M28" s="262" t="str">
        <f t="array" ref="M28">_xlfn.IFNA(INDEX('DMR 001C NEW'!$A$3:$N$3865,MATCH(('001-C DMR'!$C$6:$K$6&amp;'001-C DMR'!M$10&amp;'001-C DMR'!$B28),('DMR 001C NEW'!$E$3:$E$1112&amp;'DMR 001C NEW'!$B$3:$B$1112&amp;'DMR 001C NEW'!$A$3:$A$1112),0),MATCH('001-C DMR'!$C$11,'DMR 001C NEW'!$A$2:$O$2,0)),"")</f>
        <v/>
      </c>
      <c r="N28" s="262" t="str">
        <f t="array" ref="N28">_xlfn.IFNA(INDEX('DMR 001C NEW'!$A$3:$N$3865,MATCH(('001-C DMR'!$C$6:$K$6&amp;'001-C DMR'!N$10&amp;'001-C DMR'!$B28),('DMR 001C NEW'!$E$3:$E$1112&amp;'DMR 001C NEW'!$B$3:$B$1112&amp;'DMR 001C NEW'!$A$3:$A$1112),0),MATCH('001-C DMR'!$C$11,'DMR 001C NEW'!$A$2:$O$2,0)),"")</f>
        <v/>
      </c>
      <c r="O28" s="262" t="str">
        <f t="array" ref="O28">_xlfn.IFNA(INDEX('DMR 001C NEW'!$A$3:$N$3865,MATCH(('001-C DMR'!$C$6:$K$6&amp;'001-C DMR'!O$10&amp;'001-C DMR'!$B28),('DMR 001C NEW'!$E$3:$E$1112&amp;'DMR 001C NEW'!$B$3:$B$1112&amp;'DMR 001C NEW'!$A$3:$A$1112),0),MATCH('001-C DMR'!$C$11,'DMR 001C NEW'!$A$2:$O$2,0)),"")</f>
        <v/>
      </c>
      <c r="P28" s="262" t="str">
        <f t="array" ref="P28">_xlfn.IFNA(INDEX('DMR 001C NEW'!$A$3:$N$3865,MATCH(('001-C DMR'!$C$6:$K$6&amp;'001-C DMR'!P$10&amp;'001-C DMR'!$B28),('DMR 001C NEW'!$E$3:$E$1112&amp;'DMR 001C NEW'!$B$3:$B$1112&amp;'DMR 001C NEW'!$A$3:$A$1112),0),MATCH('001-C DMR'!$C$11,'DMR 001C NEW'!$A$2:$O$2,0)),"")</f>
        <v/>
      </c>
      <c r="Q28" s="120" t="e">
        <f t="array" ref="Q28">INDEX('DMR 001C NEW'!$A$3:$N$3865,MATCH(('001-C DMR'!$C$6:$K$6&amp;'001-C DMR'!Q$10&amp;'001-C DMR'!$B28),('DMR 001C NEW'!$E$3:$E$1112&amp;'DMR 001C NEW'!$B$3:$B$1112&amp;'DMR 001C NEW'!$A$3:$A$1112),0),MATCH('001-C DMR'!$C$11,'DMR 001C NEW'!$A$2:$O$2,0))</f>
        <v>#N/A</v>
      </c>
      <c r="R28" s="61"/>
      <c r="S28" s="56">
        <f t="array" ref="S28">_xlfn.IFNA(INDEX('DMR 001C NEW'!$A$3:$N$11771,MATCH(('001-C DMR'!$R$6:$T$6&amp;'001-C DMR'!$R$10&amp;'001-C DMR'!$B28),('DMR 001C NEW'!$E$3:$E$9018&amp;'DMR 001C NEW'!$B$3:$B$9018&amp;'DMR 001C NEW'!$A$3:$A$9018),0),MATCH('001-C DMR'!$S$11,'DMR 001C NEW'!$A$2:$O$2,0)),"")</f>
        <v>7.1</v>
      </c>
      <c r="T28" s="64" t="str">
        <f t="shared" si="41"/>
        <v/>
      </c>
      <c r="U28" s="262" t="str">
        <f t="array" ref="U28">_xlfn.IFNA(INDEX('DMR 001C NEW'!$A$3:$O$591,MATCH('001-C DMR'!$R$6:$T$6&amp;'001-C DMR'!U$10&amp;'001-C DMR'!$B28,('DMR 001C NEW'!$E$3:$E$704&amp;'DMR 001C NEW'!$B$3:$B$704&amp;'DMR 001C NEW'!$A$3:$A$704),0),MATCH('001-C DMR'!$U$11,'DMR 001C NEW'!$A$2:$O$2,0)),"")</f>
        <v/>
      </c>
      <c r="V28" s="262" t="str">
        <f t="array" ref="V28">_xlfn.IFNA(INDEX('DMR 001C NEW'!$A$3:$O$591,MATCH('001-C DMR'!$R$6:$T$6&amp;'001-C DMR'!V$10&amp;'001-C DMR'!$B28,('DMR 001C NEW'!$E$3:$E$704&amp;'DMR 001C NEW'!$B$3:$B$704&amp;'DMR 001C NEW'!$A$3:$A$704),0),MATCH('001-C DMR'!$U$11,'DMR 001C NEW'!$A$2:$O$2,0)),"")</f>
        <v/>
      </c>
      <c r="W28" s="262" t="str">
        <f t="array" ref="W28">_xlfn.IFNA(INDEX('DMR 001C NEW'!$A$3:$O$591,MATCH('001-C DMR'!$R$6:$T$6&amp;'001-C DMR'!W$10&amp;'001-C DMR'!$B28,('DMR 001C NEW'!$E$3:$E$704&amp;'DMR 001C NEW'!$B$3:$B$704&amp;'DMR 001C NEW'!$A$3:$A$704),0),MATCH('001-C DMR'!$U$11,'DMR 001C NEW'!$A$2:$O$2,0)),"")</f>
        <v/>
      </c>
      <c r="X28" s="262" t="str">
        <f t="array" ref="X28">_xlfn.IFNA(INDEX('DMR 001C NEW'!$A$3:$O$591,MATCH('001-C DMR'!$R$6:$T$6&amp;'001-C DMR'!X$10&amp;'001-C DMR'!$B28,('DMR 001C NEW'!$E$3:$E$704&amp;'DMR 001C NEW'!$B$3:$B$704&amp;'DMR 001C NEW'!$A$3:$A$704),0),MATCH('001-C DMR'!$U$11,'DMR 001C NEW'!$A$2:$O$2,0)),"")</f>
        <v/>
      </c>
      <c r="Y28" s="262" t="str">
        <f t="array" ref="Y28">_xlfn.IFNA(INDEX('DMR 001C NEW'!$A$3:$O$591,MATCH('001-C DMR'!$R$6:$T$6&amp;'001-C DMR'!Y$10&amp;'001-C DMR'!$B28,('DMR 001C NEW'!$E$3:$E$704&amp;'DMR 001C NEW'!$B$3:$B$704&amp;'DMR 001C NEW'!$A$3:$A$704),0),MATCH('001-C DMR'!$U$11,'DMR 001C NEW'!$A$2:$O$2,0)),"")</f>
        <v/>
      </c>
      <c r="Z28" s="262" t="str">
        <f t="array" ref="Z28">_xlfn.IFNA(INDEX('DMR 001C NEW'!$A$3:$O$591,MATCH('001-C DMR'!$R$6:$T$6&amp;'001-C DMR'!Z$10&amp;'001-C DMR'!$B28,('DMR 001C NEW'!$E$3:$E$704&amp;'DMR 001C NEW'!$B$3:$B$704&amp;'DMR 001C NEW'!$A$3:$A$704),0),MATCH('001-C DMR'!$U$11,'DMR 001C NEW'!$A$2:$O$2,0)),"")</f>
        <v/>
      </c>
      <c r="AA28" s="262" t="str">
        <f t="array" ref="AA28">_xlfn.IFNA(INDEX('DMR 001C NEW'!$A$3:$O$591,MATCH('001-C DMR'!$R$6:$T$6&amp;'001-C DMR'!AA$10&amp;'001-C DMR'!$B28,('DMR 001C NEW'!$E$3:$E$704&amp;'DMR 001C NEW'!$B$3:$B$704&amp;'DMR 001C NEW'!$A$3:$A$704),0),MATCH('001-C DMR'!$U$11,'DMR 001C NEW'!$A$2:$O$2,0)),"")</f>
        <v/>
      </c>
      <c r="AB28" s="61" t="str">
        <f t="array" ref="AB28">IF(AD28&lt;AC28,"&lt;","")</f>
        <v/>
      </c>
      <c r="AC28" s="56">
        <f t="array" ref="AC28">_xlfn.IFNA(INDEX('DMR 001C NEW'!$A$3:$O$9999,MATCH(('001-C DMR'!$AB$6:$AJ$6&amp;'001-C DMR'!$AB$10:$AD$10&amp;'001-C DMR'!$B28),('DMR 001C NEW'!$E$3:$E$7246&amp;'DMR 001C NEW'!$B$3:$B$7246&amp;'DMR 001C NEW'!$A$3:$A$7246),0),MATCH('001-C DMR'!$AC$11,'DMR 001C NEW'!$A$2:$O$2,0)),"")</f>
        <v>3</v>
      </c>
      <c r="AD28" s="56">
        <f t="array" ref="AD28">_xlfn.IFNA(INDEX('DMR 001C NEW'!$A$3:$O$9999,MATCH(('001-C DMR'!$AB$6:$AJ$6&amp;'001-C DMR'!$AB$10:$AD$10&amp;'001-C DMR'!$B28),('DMR 001C NEW'!$E$3:$E$7246&amp;'DMR 001C NEW'!$B$3:$B$7246&amp;'DMR 001C NEW'!$A$3:$A$7246),0),MATCH('001-C DMR'!$AD$11,'DMR 001C NEW'!$A$2:$O$2,0)),"")</f>
        <v>10</v>
      </c>
      <c r="AE28" s="57" t="str">
        <f t="array" ref="AE28">IF(AG28&lt;AF28,"&lt;","")</f>
        <v/>
      </c>
      <c r="AF28" s="56">
        <f t="array" ref="AF28">_xlfn.IFNA(INDEX('DMR 001C NEW'!$A$3:$O$9999,MATCH(('001-C DMR'!$AB$6:$AJ$6&amp;'001-C DMR'!$AE$10&amp;'001-C DMR'!$B28),('DMR 001C NEW'!$E$3:$E$9018&amp;'DMR 001C NEW'!$B$3:$B$9018&amp;'DMR 001C NEW'!$A$3:$A$9018),0),MATCH('001-C DMR'!$AF$11,'DMR 001C NEW'!$A$2:$O$2,0)),"")</f>
        <v>3</v>
      </c>
      <c r="AG28" s="56">
        <f t="array" ref="AG28">_xlfn.IFNA(INDEX('DMR 001C NEW'!$A$3:$O$9999,MATCH(('001-C DMR'!$AB$6:$AJ$6&amp;'001-C DMR'!$AE$10&amp;'001-C DMR'!$B28),('DMR 001C NEW'!$E$3:$E$9018&amp;'DMR 001C NEW'!$B$3:$B$9018&amp;'DMR 001C NEW'!$A$3:$A$9018),0),MATCH('001-C DMR'!$AG$11,'DMR 001C NEW'!$A$2:$O$2,0)),"")</f>
        <v>10</v>
      </c>
      <c r="AH28" s="56">
        <f t="array" ref="AH28">IFERROR((($AD28*$EI28)+($AG28*$EJ28))/($EK28),"")</f>
        <v>10</v>
      </c>
      <c r="AI28" s="56" t="str">
        <f t="shared" si="42"/>
        <v/>
      </c>
      <c r="AJ28" s="64" t="str">
        <f t="shared" si="30"/>
        <v/>
      </c>
      <c r="AK28" s="262" t="str">
        <f t="array" ref="AK28">_xlfn.IFNA(INDEX('DMR 001C NEW'!$A$3:$O$999,MATCH(('001-C DMR'!$AB$6:$AJ$6&amp;'001-C DMR'!AK$10&amp;'001-C DMR'!$B28),('DMR 001C NEW'!$E$3:$E$1112&amp;'DMR 001C NEW'!$B$3:$B$1112&amp;'DMR 001C NEW'!$A$3:$A$1112),0),MATCH('001-C DMR'!$AD$11,'DMR 001C NEW'!$A$2:$O$2,0)),"")</f>
        <v/>
      </c>
      <c r="AL28" s="262" t="str">
        <f t="array" ref="AL28">_xlfn.IFNA(INDEX('DMR 001C NEW'!$A$3:$O$999,MATCH(('001-C DMR'!$AB$6:$AJ$6&amp;'001-C DMR'!AL$10&amp;'001-C DMR'!$B28),('DMR 001C NEW'!$E$3:$E$1112&amp;'DMR 001C NEW'!$B$3:$B$1112&amp;'DMR 001C NEW'!$A$3:$A$1112),0),MATCH('001-C DMR'!$AD$11,'DMR 001C NEW'!$A$2:$O$2,0)),"")</f>
        <v/>
      </c>
      <c r="AM28" s="262" t="str">
        <f t="array" ref="AM28">_xlfn.IFNA(INDEX('DMR 001C NEW'!$A$3:$O$999,MATCH(('001-C DMR'!$AB$6:$AJ$6&amp;'001-C DMR'!AM$10&amp;'001-C DMR'!$B28),('DMR 001C NEW'!$E$3:$E$1112&amp;'DMR 001C NEW'!$B$3:$B$1112&amp;'DMR 001C NEW'!$A$3:$A$1112),0),MATCH('001-C DMR'!$AD$11,'DMR 001C NEW'!$A$2:$O$2,0)),"")</f>
        <v/>
      </c>
      <c r="AN28" s="262" t="str">
        <f t="array" ref="AN28">_xlfn.IFNA(INDEX('DMR 001C NEW'!$A$3:$O$999,MATCH(('001-C DMR'!$AB$6:$AJ$6&amp;'001-C DMR'!AN$10&amp;'001-C DMR'!$B28),('DMR 001C NEW'!$E$3:$E$1112&amp;'DMR 001C NEW'!$B$3:$B$1112&amp;'DMR 001C NEW'!$A$3:$A$1112),0),MATCH('001-C DMR'!$AD$11,'DMR 001C NEW'!$A$2:$O$2,0)),"")</f>
        <v/>
      </c>
      <c r="AO28" s="262" t="str">
        <f t="array" ref="AO28">_xlfn.IFNA(INDEX('DMR 001C NEW'!$A$3:$O$999,MATCH(('001-C DMR'!$AB$6:$AJ$6&amp;'001-C DMR'!AO$10&amp;'001-C DMR'!$B28),('DMR 001C NEW'!$E$3:$E$1112&amp;'DMR 001C NEW'!$B$3:$B$1112&amp;'DMR 001C NEW'!$A$3:$A$1112),0),MATCH('001-C DMR'!$AD$11,'DMR 001C NEW'!$A$2:$O$2,0)),"")</f>
        <v/>
      </c>
      <c r="AP28" s="262" t="str">
        <f t="array" ref="AP28">_xlfn.IFNA(INDEX('DMR 001C NEW'!$A$3:$O$999,MATCH(('001-C DMR'!$AB$6:$AJ$6&amp;'001-C DMR'!AP$10&amp;'001-C DMR'!$B28),('DMR 001C NEW'!$E$3:$E$1112&amp;'DMR 001C NEW'!$B$3:$B$1112&amp;'DMR 001C NEW'!$A$3:$A$1112),0),MATCH('001-C DMR'!$AD$11,'DMR 001C NEW'!$A$2:$O$2,0)),"")</f>
        <v/>
      </c>
      <c r="AQ28" s="61" t="str">
        <f t="array" ref="AQ28">IF(AS28&lt;AR28,"&lt;","")</f>
        <v/>
      </c>
      <c r="AR28" s="58" t="str">
        <f t="array" ref="AR28">_xlfn.IFNA((INDEX('DMR 001C NEW'!$A$3:$O$9999,MATCH(('001-C DMR'!$AQ$6:$AZ$6&amp;'001-C DMR'!$AQ$10:$AS$10&amp;'001-C DMR'!$B28),('DMR 001C NEW'!$E$3:$E$7246&amp;'DMR 001C NEW'!$B$3:$B$7246&amp;'DMR 001C NEW'!$A$3:$A$7246),0),MATCH('001-C DMR'!$AR$11,'DMR 001C NEW'!$A$2:$O$2,0))),"")</f>
        <v/>
      </c>
      <c r="AS28" s="58" t="str">
        <f t="array" ref="AS28">_xlfn.IFNA(INDEX('DMR 001C NEW'!$A$3:$O$9999,MATCH(('001-C DMR'!$AQ$6:$AZ$6&amp;'001-C DMR'!$AQ$10:$AS$10&amp;'001-C DMR'!$B28),('DMR 001C NEW'!$E$3:$E$7246&amp;'DMR 001C NEW'!$B$3:$B$7246&amp;'DMR 001C NEW'!$A$3:$A$7246),0),MATCH('001-C DMR'!$AS$11,'DMR 001C NEW'!$A$2:$O$2,0)),"")</f>
        <v/>
      </c>
      <c r="AT28" s="58" t="str">
        <f t="shared" si="27"/>
        <v/>
      </c>
      <c r="AU28" s="57" t="str">
        <f t="array" ref="AU28">IF(AW28&lt;AV28,"&lt;","")</f>
        <v/>
      </c>
      <c r="AV28" s="58" t="str">
        <f t="array" ref="AV28">_xlfn.IFNA((INDEX('DMR 001C NEW'!$A$3:$O$9999,MATCH(('001-C DMR'!$AQ$6:$AZ$6&amp;'001-C DMR'!$AU$10&amp;'001-C DMR'!$B28),('DMR 001C NEW'!$E$3:$E$7246&amp;'DMR 001C NEW'!$B$3:$B$7246&amp;'DMR 001C NEW'!$A$3:$A$7246),0),MATCH('001-C DMR'!$AR$11,'DMR 001C NEW'!$A$2:$O$2,0))),"")</f>
        <v/>
      </c>
      <c r="AW28" s="58" t="str">
        <f t="array" ref="AW28">_xlfn.IFNA(INDEX('DMR 001C NEW'!$A$3:$O$9999,MATCH(('001-C DMR'!$AQ$6:$AZ$6&amp;'001-C DMR'!$AU$10&amp;'001-C DMR'!$B28),('DMR 001C NEW'!$E$3:$E$7246&amp;'DMR 001C NEW'!$B$3:$B$7246&amp;'DMR 001C NEW'!$A$3:$A$7246),0),MATCH('001-C DMR'!$AW$11,'DMR 001C NEW'!$A$2:$O$2,0)),"")</f>
        <v/>
      </c>
      <c r="AX28" s="58" t="str">
        <f t="shared" si="6"/>
        <v/>
      </c>
      <c r="AY28" s="56" t="str">
        <f t="array" ref="AY28">IFERROR((($AT28*$EI28)+($AX28*$EJ28))/($EK28),"")</f>
        <v/>
      </c>
      <c r="AZ28" s="64" t="str">
        <f t="shared" si="31"/>
        <v/>
      </c>
      <c r="BA28" s="279" t="str">
        <f t="array" ref="BA28">_xlfn.IFNA(INDEX('DMR 001C NEW'!$A$3:$O$9999,MATCH(('001-C DMR'!$AQ$6:$AZ$6&amp;'001-C DMR'!BA$10&amp;'001-C DMR'!$B28),('DMR 001C NEW'!$E$3:$E$1112&amp;'DMR 001C NEW'!$B$3:$B$1112&amp;'DMR 001C NEW'!$A$3:$A$1112),0),MATCH('001-C DMR'!$BA$11,'DMR 001C NEW'!$A$2:$O$2,0)),"")</f>
        <v/>
      </c>
      <c r="BB28" s="280" t="str">
        <f t="array" ref="BB28">_xlfn.IFNA(INDEX('DMR 001C NEW'!$A$3:$O$9999,MATCH(('001-C DMR'!$AQ$6:$AZ$6&amp;'001-C DMR'!BB$10&amp;'001-C DMR'!$B28),('DMR 001C NEW'!$E$3:$E$1112&amp;'DMR 001C NEW'!$B$3:$B$1112&amp;'DMR 001C NEW'!$A$3:$A$1112),0),MATCH('001-C DMR'!$BA$11,'DMR 001C NEW'!$A$2:$O$2,0)),"")</f>
        <v/>
      </c>
      <c r="BC28" s="280" t="str">
        <f t="array" ref="BC28">_xlfn.IFNA(INDEX('DMR 001C NEW'!$A$3:$O$9999,MATCH(('001-C DMR'!$AQ$6:$AZ$6&amp;'001-C DMR'!BC$10&amp;'001-C DMR'!$B28),('DMR 001C NEW'!$E$3:$E$1112&amp;'DMR 001C NEW'!$B$3:$B$1112&amp;'DMR 001C NEW'!$A$3:$A$1112),0),MATCH('001-C DMR'!$BA$11,'DMR 001C NEW'!$A$2:$O$2,0)),"")</f>
        <v/>
      </c>
      <c r="BD28" s="280" t="str">
        <f t="array" ref="BD28">_xlfn.IFNA(INDEX('DMR 001C NEW'!$A$3:$O$9999,MATCH(('001-C DMR'!$AQ$6:$AZ$6&amp;'001-C DMR'!BD$10&amp;'001-C DMR'!$B28),('DMR 001C NEW'!$E$3:$E$1112&amp;'DMR 001C NEW'!$B$3:$B$1112&amp;'DMR 001C NEW'!$A$3:$A$1112),0),MATCH('001-C DMR'!$BA$11,'DMR 001C NEW'!$A$2:$O$2,0)),"")</f>
        <v/>
      </c>
      <c r="BE28" s="280" t="str">
        <f t="array" ref="BE28">_xlfn.IFNA(INDEX('DMR 001C NEW'!$A$3:$O$9999,MATCH(('001-C DMR'!$AQ$6:$AZ$6&amp;'001-C DMR'!BE$10&amp;'001-C DMR'!$B28),('DMR 001C NEW'!$E$3:$E$1112&amp;'DMR 001C NEW'!$B$3:$B$1112&amp;'DMR 001C NEW'!$A$3:$A$1112),0),MATCH('001-C DMR'!$BA$11,'DMR 001C NEW'!$A$2:$O$2,0)),"")</f>
        <v/>
      </c>
      <c r="BF28" s="281" t="str">
        <f t="array" ref="BF28">_xlfn.IFNA(INDEX('DMR 001C NEW'!$A$3:$O$9999,MATCH(('001-C DMR'!$AQ$6:$AZ$6&amp;'001-C DMR'!BF$10&amp;'001-C DMR'!$B28),('DMR 001C NEW'!$E$3:$E$1112&amp;'DMR 001C NEW'!$B$3:$B$1112&amp;'DMR 001C NEW'!$A$3:$A$1112),0),MATCH('001-C DMR'!$BA$11,'DMR 001C NEW'!$A$2:$O$2,0)),"")</f>
        <v/>
      </c>
      <c r="BG28" s="57"/>
      <c r="BH28" s="58" t="str">
        <f t="array" ref="BH28">_xlfn.IFNA((INDEX('DMR 001C NEW'!$A$3:$O$9999,MATCH(('001-C DMR'!$BG$6&amp;'001-C DMR'!$BG$10&amp;'001-C DMR'!$B28),('DMR 001C NEW'!$E$3:$E$7246&amp;'DMR 001C NEW'!$B$3:$B$7246&amp;'DMR 001C NEW'!$A$3:$A$7246),0),MATCH('001-C DMR'!$BH$11,'DMR 001C NEW'!$A$2:$O$2,0))),"")</f>
        <v/>
      </c>
      <c r="BI28" s="58" t="str">
        <f t="array" ref="BI28">_xlfn.IFNA(INDEX('DMR 001C NEW'!$A$3:$O$9999,MATCH(('001-C DMR'!$BG$6&amp;'001-C DMR'!$BG$10&amp;'001-C DMR'!$B28),('DMR 001C NEW'!$E$3:$E$7246&amp;'DMR 001C NEW'!$B$3:$B$7246&amp;'DMR 001C NEW'!$A$3:$A$7246),0),MATCH('001-C DMR'!$BI$11,'DMR 001C NEW'!$A$2:$O$2,0)),"")</f>
        <v/>
      </c>
      <c r="BJ28" s="58" t="str">
        <f t="shared" si="7"/>
        <v/>
      </c>
      <c r="BK28" s="57" t="str">
        <f t="shared" si="8"/>
        <v/>
      </c>
      <c r="BL28" s="58" t="str">
        <f t="array" ref="BL28">_xlfn.IFNA((INDEX('DMR 001C NEW'!$A$3:$O$9999,MATCH(('001-C DMR'!$BG$6&amp;'001-C DMR'!$BK$10&amp;'001-C DMR'!$B28),('DMR 001C NEW'!$E$3:$E$7246&amp;'DMR 001C NEW'!$B$3:$B$7246&amp;'DMR 001C NEW'!$A$3:$A$7246),0),MATCH('001-C DMR'!$BH$11,'DMR 001C NEW'!$A$2:$O$2,0))),"")</f>
        <v/>
      </c>
      <c r="BM28" s="58" t="str">
        <f t="array" ref="BM28">_xlfn.IFNA(INDEX('DMR 001C NEW'!$A$3:$O$9999,MATCH(('001-C DMR'!$BG$6&amp;'001-C DMR'!$BK$10&amp;'001-C DMR'!$B28),('DMR 001C NEW'!$E$3:$E$7246&amp;'DMR 001C NEW'!$B$3:$B$7246&amp;'DMR 001C NEW'!$A$3:$A$7246),0),MATCH('001-C DMR'!$BI$11,'DMR 001C NEW'!$A$2:$O$2,0)),"")</f>
        <v/>
      </c>
      <c r="BN28" s="58" t="str">
        <f t="shared" si="9"/>
        <v/>
      </c>
      <c r="BO28" s="56" t="str">
        <f t="array" ref="BO28">IFERROR((($BJ28*$EI28)+($BN28*$EJ28))/($EK28),"")</f>
        <v/>
      </c>
      <c r="BP28" s="64" t="str">
        <f t="shared" si="32"/>
        <v/>
      </c>
      <c r="BQ28" s="280" t="str">
        <f t="array" ref="BQ28">_xlfn.IFNA(INDEX('DMR 001C NEW'!$A$3:$O$999,MATCH(('001-C DMR'!$BG$6&amp;'001-C DMR'!BQ$10&amp;'001-C DMR'!$B28),('DMR 001C NEW'!$E$3:$E$1112&amp;'DMR 001C NEW'!$B$3:$B$1112&amp;'DMR 001C NEW'!$A$3:$A$1112),0),MATCH('001-C DMR'!$BQ$11,'DMR 001C NEW'!$A$2:$O$2,0)),"")</f>
        <v/>
      </c>
      <c r="BR28" s="280" t="str">
        <f t="array" ref="BR28">_xlfn.IFNA(INDEX('DMR 001C NEW'!$A$3:$O$999,MATCH(('001-C DMR'!$BG$6&amp;'001-C DMR'!BR$10&amp;'001-C DMR'!$B28),('DMR 001C NEW'!$E$3:$E$1112&amp;'DMR 001C NEW'!$B$3:$B$1112&amp;'DMR 001C NEW'!$A$3:$A$1112),0),MATCH('001-C DMR'!$BQ$11,'DMR 001C NEW'!$A$2:$O$2,0)),"")</f>
        <v/>
      </c>
      <c r="BS28" s="280" t="str">
        <f t="array" ref="BS28">_xlfn.IFNA(INDEX('DMR 001C NEW'!$A$3:$O$999,MATCH(('001-C DMR'!$BG$6&amp;'001-C DMR'!BS$10&amp;'001-C DMR'!$B28),('DMR 001C NEW'!$E$3:$E$1112&amp;'DMR 001C NEW'!$B$3:$B$1112&amp;'DMR 001C NEW'!$A$3:$A$1112),0),MATCH('001-C DMR'!$BQ$11,'DMR 001C NEW'!$A$2:$O$2,0)),"")</f>
        <v/>
      </c>
      <c r="BT28" s="280" t="str">
        <f t="array" ref="BT28">_xlfn.IFNA(INDEX('DMR 001C NEW'!$A$3:$O$999,MATCH(('001-C DMR'!$BG$6&amp;'001-C DMR'!BT$10&amp;'001-C DMR'!$B28),('DMR 001C NEW'!$E$3:$E$1112&amp;'DMR 001C NEW'!$B$3:$B$1112&amp;'DMR 001C NEW'!$A$3:$A$1112),0),MATCH('001-C DMR'!$BQ$11,'DMR 001C NEW'!$A$2:$O$2,0)),"")</f>
        <v/>
      </c>
      <c r="BU28" s="280" t="str">
        <f t="array" ref="BU28">_xlfn.IFNA(INDEX('DMR 001C NEW'!$A$3:$O$999,MATCH(('001-C DMR'!$BG$6&amp;'001-C DMR'!BU$10&amp;'001-C DMR'!$B28),('DMR 001C NEW'!$E$3:$E$1112&amp;'DMR 001C NEW'!$B$3:$B$1112&amp;'DMR 001C NEW'!$A$3:$A$1112),0),MATCH('001-C DMR'!$BQ$11,'DMR 001C NEW'!$A$2:$O$2,0)),"")</f>
        <v/>
      </c>
      <c r="BV28" s="280" t="str">
        <f t="array" ref="BV28">_xlfn.IFNA(INDEX('DMR 001C NEW'!$A$3:$O$999,MATCH(('001-C DMR'!$BG$6&amp;'001-C DMR'!BV$10&amp;'001-C DMR'!$B28),('DMR 001C NEW'!$E$3:$E$1112&amp;'DMR 001C NEW'!$B$3:$B$1112&amp;'DMR 001C NEW'!$A$3:$A$1112),0),MATCH('001-C DMR'!$BQ$11,'DMR 001C NEW'!$A$2:$O$2,0)),"")</f>
        <v/>
      </c>
      <c r="BW28" s="65"/>
      <c r="BX28" s="65"/>
      <c r="BY28" s="57" t="str">
        <f t="shared" si="10"/>
        <v/>
      </c>
      <c r="BZ28" s="58">
        <f t="array" ref="BZ28">_xlfn.IFNA((INDEX('DMR 001C NEW'!$A$3:$O$9999,MATCH(('001-C DMR'!$BY$6&amp;'001-C DMR'!$BY$10&amp;'001-C DMR'!$B28),('DMR 001C NEW'!$E$3:$E$7246&amp;'DMR 001C NEW'!$B$3:$B$7246&amp;'DMR 001C NEW'!$A$3:$A$7246),0),MATCH('001-C DMR'!$BZ$11,'DMR 001C NEW'!$A$2:$O$2,0))),"")</f>
        <v>0.6</v>
      </c>
      <c r="CA28" s="138">
        <f t="array" ref="CA28">_xlfn.IFNA(INDEX('DMR 001C NEW'!$A$3:$O$9999,MATCH(('001-C DMR'!$BY$6&amp;'001-C DMR'!$BY$10&amp;'001-C DMR'!$B28),('DMR 001C NEW'!$E$3:$E$7246&amp;'DMR 001C NEW'!$B$3:$B$7246&amp;'DMR 001C NEW'!$A$3:$A$7246),0),MATCH('001-C DMR'!$CA$11,'DMR 001C NEW'!$A$2:$O$2,0)),"")</f>
        <v>101</v>
      </c>
      <c r="CB28" s="57" t="str">
        <f t="shared" si="11"/>
        <v/>
      </c>
      <c r="CC28" s="58">
        <f t="array" ref="CC28">_xlfn.IFNA((INDEX('DMR 001C NEW'!$A$3:$O$9999,MATCH(('001-C DMR'!$BY$6&amp;'001-C DMR'!$CB$10&amp;'001-C DMR'!$B28),('DMR 001C NEW'!$E$3:$E$7246&amp;'DMR 001C NEW'!$B$3:$B$7246&amp;'DMR 001C NEW'!$A$3:$A$7246),0),MATCH('001-C DMR'!$BZ$11,'DMR 001C NEW'!$A$2:$O$2,0))),"")</f>
        <v>0.6</v>
      </c>
      <c r="CD28" s="138">
        <f t="array" ref="CD28">_xlfn.IFNA(INDEX('DMR 001C NEW'!$A$3:$O$9999,MATCH(('001-C DMR'!$BY$6&amp;'001-C DMR'!$CB$10&amp;'001-C DMR'!$B28),('DMR 001C NEW'!$E$3:$E$7246&amp;'DMR 001C NEW'!$B$3:$B$7246&amp;'DMR 001C NEW'!$A$3:$A$7246),0),MATCH('001-C DMR'!$CA$11,'DMR 001C NEW'!$A$2:$O$2,0)),"")</f>
        <v>105</v>
      </c>
      <c r="CE28" s="138">
        <f t="array" ref="CE28">IFERROR((($CA28*$EI28)+($CD28*$EJ28))/($EK28),"")</f>
        <v>103.44116098754891</v>
      </c>
      <c r="CF28" s="64" t="str">
        <f t="shared" si="33"/>
        <v/>
      </c>
      <c r="CG28" s="280" t="str">
        <f t="array" ref="CG28">_xlfn.IFNA(INDEX('DMR 001C NEW'!$A$3:$O$999,MATCH(('001-C DMR'!$BY$6&amp;'001-C DMR'!CG$10&amp;'001-C DMR'!$B28),('DMR 001C NEW'!$E$3:$E$1112&amp;'DMR 001C NEW'!$B$3:$B$1112&amp;'DMR 001C NEW'!$A$3:$A$1112),0),MATCH('001-C DMR'!$CA$11,'DMR 001C NEW'!$A$2:$O$2,0)),"")</f>
        <v/>
      </c>
      <c r="CH28" s="280" t="str">
        <f t="array" ref="CH28">_xlfn.IFNA(INDEX('DMR 001C NEW'!$A$3:$O$999,MATCH(('001-C DMR'!$BY$6&amp;'001-C DMR'!CH$10&amp;'001-C DMR'!$B28),('DMR 001C NEW'!$E$3:$E$1112&amp;'DMR 001C NEW'!$B$3:$B$1112&amp;'DMR 001C NEW'!$A$3:$A$1112),0),MATCH('001-C DMR'!$CA$11,'DMR 001C NEW'!$A$2:$O$2,0)),"")</f>
        <v/>
      </c>
      <c r="CI28" s="280" t="str">
        <f t="array" ref="CI28">_xlfn.IFNA(INDEX('DMR 001C NEW'!$A$3:$O$999,MATCH(('001-C DMR'!$BY$6&amp;'001-C DMR'!CI$10&amp;'001-C DMR'!$B28),('DMR 001C NEW'!$E$3:$E$1112&amp;'DMR 001C NEW'!$B$3:$B$1112&amp;'DMR 001C NEW'!$A$3:$A$1112),0),MATCH('001-C DMR'!$CA$11,'DMR 001C NEW'!$A$2:$O$2,0)),"")</f>
        <v/>
      </c>
      <c r="CJ28" s="280" t="str">
        <f t="array" ref="CJ28">_xlfn.IFNA(INDEX('DMR 001C NEW'!$A$3:$O$999,MATCH(('001-C DMR'!$BY$6&amp;'001-C DMR'!CJ$10&amp;'001-C DMR'!$B28),('DMR 001C NEW'!$E$3:$E$1112&amp;'DMR 001C NEW'!$B$3:$B$1112&amp;'DMR 001C NEW'!$A$3:$A$1112),0),MATCH('001-C DMR'!$CA$11,'DMR 001C NEW'!$A$2:$O$2,0)),"")</f>
        <v/>
      </c>
      <c r="CK28" s="280" t="str">
        <f t="array" ref="CK28">_xlfn.IFNA(INDEX('DMR 001C NEW'!$A$3:$O$999,MATCH(('001-C DMR'!$BY$6&amp;'001-C DMR'!CK$10&amp;'001-C DMR'!$B28),('DMR 001C NEW'!$E$3:$E$1112&amp;'DMR 001C NEW'!$B$3:$B$1112&amp;'DMR 001C NEW'!$A$3:$A$1112),0),MATCH('001-C DMR'!$CA$11,'DMR 001C NEW'!$A$2:$O$2,0)),"")</f>
        <v/>
      </c>
      <c r="CL28" s="280" t="str">
        <f t="array" ref="CL28">_xlfn.IFNA(INDEX('DMR 001C NEW'!$A$3:$O$999,MATCH(('001-C DMR'!$BY$6&amp;'001-C DMR'!CL$10&amp;'001-C DMR'!$B28),('DMR 001C NEW'!$E$3:$E$1112&amp;'DMR 001C NEW'!$B$3:$B$1112&amp;'DMR 001C NEW'!$A$3:$A$1112),0),MATCH('001-C DMR'!$CA$11,'DMR 001C NEW'!$A$2:$O$2,0)),"")</f>
        <v/>
      </c>
      <c r="CM28" s="61" t="str">
        <f t="shared" si="12"/>
        <v/>
      </c>
      <c r="CN28" s="138">
        <f t="array" ref="CN28">_xlfn.IFNA((INDEX('DMR 001C NEW'!$A$3:$O$9999,MATCH(('001-C DMR'!$CM$6&amp;'001-C DMR'!$CM$10&amp;'001-C DMR'!$B28),('DMR 001C NEW'!$E$3:$E$9018&amp;'DMR 001C NEW'!$B$3:$B$9018&amp;'DMR 001C NEW'!$A$3:$A$9018),0),MATCH('001-C DMR'!$CN$11,'DMR 001C NEW'!$A$2:$O$2,0))*1000),"")</f>
        <v>60</v>
      </c>
      <c r="CO28" s="138">
        <f t="array" ref="CO28">_xlfn.IFNA(INDEX('DMR 001C NEW'!$A$3:$O$9999,MATCH(('001-C DMR'!$CM$6&amp;'001-C DMR'!$CM$10&amp;'001-C DMR'!$B28),('DMR 001C NEW'!$E$3:$E$9018&amp;'DMR 001C NEW'!$B$3:$B$9018&amp;'DMR 001C NEW'!$A$3:$A$9018),0),MATCH('001-C DMR'!$CO$11,'DMR 001C NEW'!$A$2:$O$2,0))*1000,"")</f>
        <v>110</v>
      </c>
      <c r="CP28" s="138">
        <f t="shared" si="13"/>
        <v>110</v>
      </c>
      <c r="CQ28" s="64" t="str">
        <f t="shared" si="34"/>
        <v/>
      </c>
      <c r="CR28" s="280" t="str">
        <f t="array" ref="CR28">_xlfn.IFNA(INDEX('DMR 001C NEW'!$A$3:$O$999,MATCH(('001-C DMR'!$CM$6&amp;'001-C DMR'!CR$10&amp;'001-C DMR'!$B28),('DMR 001C NEW'!$E$3:$E$1112&amp;'DMR 001C NEW'!$B$3:$B$1112&amp;'DMR 001C NEW'!$A$3:$A$1112),0),MATCH('001-C DMR'!$CO$11,'DMR 001C NEW'!$A$2:$O$2,0)),"")</f>
        <v/>
      </c>
      <c r="CS28" s="280" t="str">
        <f t="array" ref="CS28">_xlfn.IFNA(INDEX('DMR 001C NEW'!$A$3:$O$999,MATCH(('001-C DMR'!$CM$6&amp;'001-C DMR'!CS$10&amp;'001-C DMR'!$B28),('DMR 001C NEW'!$E$3:$E$1112&amp;'DMR 001C NEW'!$B$3:$B$1112&amp;'DMR 001C NEW'!$A$3:$A$1112),0),MATCH('001-C DMR'!$CO$11,'DMR 001C NEW'!$A$2:$O$2,0)),"")</f>
        <v/>
      </c>
      <c r="CT28" s="280" t="str">
        <f t="array" ref="CT28">_xlfn.IFNA(INDEX('DMR 001C NEW'!$A$3:$O$999,MATCH(('001-C DMR'!$CM$6&amp;'001-C DMR'!CT$10&amp;'001-C DMR'!$B28),('DMR 001C NEW'!$E$3:$E$1112&amp;'DMR 001C NEW'!$B$3:$B$1112&amp;'DMR 001C NEW'!$A$3:$A$1112),0),MATCH('001-C DMR'!$CO$11,'DMR 001C NEW'!$A$2:$O$2,0)),"")</f>
        <v/>
      </c>
      <c r="CU28" s="280" t="str">
        <f t="array" ref="CU28">_xlfn.IFNA(INDEX('DMR 001C NEW'!$A$3:$O$999,MATCH(('001-C DMR'!$CM$6&amp;'001-C DMR'!CU$10&amp;'001-C DMR'!$B28),('DMR 001C NEW'!$E$3:$E$1112&amp;'DMR 001C NEW'!$B$3:$B$1112&amp;'DMR 001C NEW'!$A$3:$A$1112),0),MATCH('001-C DMR'!$CO$11,'DMR 001C NEW'!$A$2:$O$2,0)),"")</f>
        <v/>
      </c>
      <c r="CV28" s="280" t="str">
        <f t="array" ref="CV28">_xlfn.IFNA(INDEX('DMR 001C NEW'!$A$3:$O$999,MATCH(('001-C DMR'!$CM$6&amp;'001-C DMR'!CV$10&amp;'001-C DMR'!$B28),('DMR 001C NEW'!$E$3:$E$1112&amp;'DMR 001C NEW'!$B$3:$B$1112&amp;'DMR 001C NEW'!$A$3:$A$1112),0),MATCH('001-C DMR'!$CO$11,'DMR 001C NEW'!$A$2:$O$2,0)),"")</f>
        <v/>
      </c>
      <c r="CW28" s="280" t="str">
        <f t="array" ref="CW28">_xlfn.IFNA(INDEX('DMR 001C NEW'!$A$3:$O$999,MATCH(('001-C DMR'!$CM$6&amp;'001-C DMR'!CW$10&amp;'001-C DMR'!$B28),('DMR 001C NEW'!$E$3:$E$1112&amp;'DMR 001C NEW'!$B$3:$B$1112&amp;'DMR 001C NEW'!$A$3:$A$1112),0),MATCH('001-C DMR'!$CO$11,'DMR 001C NEW'!$A$2:$O$2,0)),"")</f>
        <v/>
      </c>
      <c r="CX28" s="280" t="str">
        <f t="array" ref="CX28">_xlfn.IFNA(INDEX('DMR 001C NEW'!$A$3:$O$999,MATCH(('001-C DMR'!$CM$6&amp;'001-C DMR'!CX$10&amp;'001-C DMR'!$B28),('DMR 001C NEW'!$E$3:$E$1112&amp;'DMR 001C NEW'!$B$3:$B$1112&amp;'DMR 001C NEW'!$A$3:$A$1112),0),MATCH('001-C DMR'!$CO$11,'DMR 001C NEW'!$A$2:$O$2,0)),"")</f>
        <v/>
      </c>
      <c r="CY28" s="61" t="str">
        <f t="shared" si="14"/>
        <v/>
      </c>
      <c r="CZ28" s="138">
        <f t="array" ref="CZ28">_xlfn.IFNA((INDEX('DMR 001C NEW'!$A$3:$O$9999,MATCH(('001-C DMR'!$CY$6&amp;'001-C DMR'!$CY$10&amp;'001-C DMR'!$B28),('DMR 001C NEW'!$E$3:$E$9018&amp;'DMR 001C NEW'!$B$3:$B$9018&amp;'DMR 001C NEW'!$A$3:$A$9018),0),MATCH('001-C DMR'!$CZ$11,'DMR 001C NEW'!$A$2:$O$2,0))*1000),"")</f>
        <v>21</v>
      </c>
      <c r="DA28" s="138">
        <f t="array" ref="DA28">_xlfn.IFNA(INDEX('DMR 001C NEW'!$A$3:$O$9999,MATCH(('001-C DMR'!$CY$6&amp;'001-C DMR'!$CY$10&amp;'001-C DMR'!$B28),('DMR 001C NEW'!$E$3:$E$9018&amp;'DMR 001C NEW'!$B$3:$B$9018&amp;'DMR 001C NEW'!$A$3:$A$9018),0),MATCH('001-C DMR'!$DA$11,'DMR 001C NEW'!$A$2:$O$2,0))*1000,"")</f>
        <v>62</v>
      </c>
      <c r="DB28" s="138">
        <f t="shared" si="15"/>
        <v>62</v>
      </c>
      <c r="DC28" s="64" t="str">
        <f t="shared" si="35"/>
        <v/>
      </c>
      <c r="DD28" s="280" t="str">
        <f t="array" ref="DD28">_xlfn.IFNA(INDEX('DMR 001C NEW'!$A$3:$O$999,MATCH(('001-C DMR'!$CY$6&amp;'001-C DMR'!DD$10&amp;'001-C DMR'!$B28),('DMR 001C NEW'!$E$3:$E$1112&amp;'DMR 001C NEW'!$B$3:$B$1112&amp;'DMR 001C NEW'!$A$3:$A$1112),0),MATCH('001-C DMR'!$DA$11,'DMR 001C NEW'!$A$2:$O$2,0)),"")</f>
        <v/>
      </c>
      <c r="DE28" s="280" t="str">
        <f t="array" ref="DE28">_xlfn.IFNA(INDEX('DMR 001C NEW'!$A$3:$O$999,MATCH(('001-C DMR'!$CY$6&amp;'001-C DMR'!DE$10&amp;'001-C DMR'!$B28),('DMR 001C NEW'!$E$3:$E$1112&amp;'DMR 001C NEW'!$B$3:$B$1112&amp;'DMR 001C NEW'!$A$3:$A$1112),0),MATCH('001-C DMR'!$DA$11,'DMR 001C NEW'!$A$2:$O$2,0)),"")</f>
        <v/>
      </c>
      <c r="DF28" s="280" t="str">
        <f t="array" ref="DF28">_xlfn.IFNA(INDEX('DMR 001C NEW'!$A$3:$O$999,MATCH(('001-C DMR'!$CY$6&amp;'001-C DMR'!DF$10&amp;'001-C DMR'!$B28),('DMR 001C NEW'!$E$3:$E$1112&amp;'DMR 001C NEW'!$B$3:$B$1112&amp;'DMR 001C NEW'!$A$3:$A$1112),0),MATCH('001-C DMR'!$DA$11,'DMR 001C NEW'!$A$2:$O$2,0)),"")</f>
        <v/>
      </c>
      <c r="DG28" s="280" t="str">
        <f t="array" ref="DG28">_xlfn.IFNA(INDEX('DMR 001C NEW'!$A$3:$O$999,MATCH(('001-C DMR'!$CY$6&amp;'001-C DMR'!DG$10&amp;'001-C DMR'!$B28),('DMR 001C NEW'!$E$3:$E$1112&amp;'DMR 001C NEW'!$B$3:$B$1112&amp;'DMR 001C NEW'!$A$3:$A$1112),0),MATCH('001-C DMR'!$DA$11,'DMR 001C NEW'!$A$2:$O$2,0)),"")</f>
        <v/>
      </c>
      <c r="DH28" s="280" t="str">
        <f t="array" ref="DH28">_xlfn.IFNA(INDEX('DMR 001C NEW'!$A$3:$O$999,MATCH(('001-C DMR'!$CY$6&amp;'001-C DMR'!DH$10&amp;'001-C DMR'!$B28),('DMR 001C NEW'!$E$3:$E$1112&amp;'DMR 001C NEW'!$B$3:$B$1112&amp;'DMR 001C NEW'!$A$3:$A$1112),0),MATCH('001-C DMR'!$DA$11,'DMR 001C NEW'!$A$2:$O$2,0)),"")</f>
        <v/>
      </c>
      <c r="DI28" s="280" t="str">
        <f t="array" ref="DI28">_xlfn.IFNA(INDEX('DMR 001C NEW'!$A$3:$O$999,MATCH(('001-C DMR'!$CY$6&amp;'001-C DMR'!DI$10&amp;'001-C DMR'!$B28),('DMR 001C NEW'!$E$3:$E$1112&amp;'DMR 001C NEW'!$B$3:$B$1112&amp;'DMR 001C NEW'!$A$3:$A$1112),0),MATCH('001-C DMR'!$DA$11,'DMR 001C NEW'!$A$2:$O$2,0)),"")</f>
        <v/>
      </c>
      <c r="DJ28" s="280" t="str">
        <f t="array" ref="DJ28">_xlfn.IFNA(INDEX('DMR 001C NEW'!$A$3:$O$999,MATCH(('001-C DMR'!$CY$6&amp;'001-C DMR'!DJ$10&amp;'001-C DMR'!$B28),('DMR 001C NEW'!$E$3:$E$1112&amp;'DMR 001C NEW'!$B$3:$B$1112&amp;'DMR 001C NEW'!$A$3:$A$1112),0),MATCH('001-C DMR'!$DA$11,'DMR 001C NEW'!$A$2:$O$2,0)),"")</f>
        <v/>
      </c>
      <c r="DK28" s="61" t="str">
        <f t="shared" si="16"/>
        <v/>
      </c>
      <c r="DL28" s="58">
        <f t="array" ref="DL28">_xlfn.IFNA((INDEX('DMR 001C NEW'!$A$3:$O$9999,MATCH(('001-C DMR'!$DK$6&amp;'001-C DMR'!$DK$10&amp;'001-C DMR'!$B28),('DMR 001C NEW'!$E$3:$E$9018&amp;'DMR 001C NEW'!$B$3:$B$9018&amp;'DMR 001C NEW'!$A$3:$A$9018),0),MATCH('001-C DMR'!$DL$11,'DMR 001C NEW'!$A$2:$O$2,0))),"")</f>
        <v>0.05</v>
      </c>
      <c r="DM28" s="58">
        <f t="array" ref="DM28">_xlfn.IFNA(INDEX('DMR 001C NEW'!$A$3:$O$9999,MATCH(('001-C DMR'!$DK$6&amp;'001-C DMR'!$DK$10&amp;'001-C DMR'!$B28),('DMR 001C NEW'!$E$3:$E$9018&amp;'DMR 001C NEW'!$B$3:$B$9018&amp;'DMR 001C NEW'!$A$3:$A$9018),0),MATCH('001-C DMR'!$DM$11,'DMR 001C NEW'!$A$2:$O$2,0)),"")</f>
        <v>0.13</v>
      </c>
      <c r="DN28" s="58">
        <f t="shared" si="17"/>
        <v>0.13</v>
      </c>
      <c r="DO28" s="223"/>
      <c r="DP28" s="224"/>
      <c r="DQ28" s="64" t="str">
        <f t="shared" si="18"/>
        <v/>
      </c>
      <c r="DR28" s="280" t="str">
        <f t="array" ref="DR28">_xlfn.IFNA(INDEX('DMR 001C NEW'!$A$3:$O$999,MATCH(('001-C DMR'!$DK$6&amp;'001-C DMR'!DR$10&amp;'001-C DMR'!$B28),('DMR 001C NEW'!$E$3:$E$1112&amp;'DMR 001C NEW'!$B$3:$B$1112&amp;'DMR 001C NEW'!$A$3:$A$1112),0),MATCH('001-C DMR'!$DR$11,'DMR 001C NEW'!$A$2:$O$2,0)),"")</f>
        <v/>
      </c>
      <c r="DS28" s="280" t="str">
        <f t="array" ref="DS28">_xlfn.IFNA(INDEX('DMR 001C NEW'!$A$3:$O$999,MATCH(('001-C DMR'!$DK$6&amp;'001-C DMR'!DS$10&amp;'001-C DMR'!$B28),('DMR 001C NEW'!$E$3:$E$1112&amp;'DMR 001C NEW'!$B$3:$B$1112&amp;'DMR 001C NEW'!$A$3:$A$1112),0),MATCH('001-C DMR'!$DR$11,'DMR 001C NEW'!$A$2:$O$2,0)),"")</f>
        <v/>
      </c>
      <c r="DT28" s="280" t="str">
        <f t="array" ref="DT28">_xlfn.IFNA(INDEX('DMR 001C NEW'!$A$3:$O$999,MATCH(('001-C DMR'!$DK$6&amp;'001-C DMR'!DT$10&amp;'001-C DMR'!$B28),('DMR 001C NEW'!$E$3:$E$1112&amp;'DMR 001C NEW'!$B$3:$B$1112&amp;'DMR 001C NEW'!$A$3:$A$1112),0),MATCH('001-C DMR'!$DR$11,'DMR 001C NEW'!$A$2:$O$2,0)),"")</f>
        <v/>
      </c>
      <c r="DU28" s="280" t="str">
        <f t="array" ref="DU28">_xlfn.IFNA(INDEX('DMR 001C NEW'!$A$3:$O$999,MATCH(('001-C DMR'!$DK$6&amp;'001-C DMR'!DU$10&amp;'001-C DMR'!$B28),('DMR 001C NEW'!$E$3:$E$1112&amp;'DMR 001C NEW'!$B$3:$B$1112&amp;'DMR 001C NEW'!$A$3:$A$1112),0),MATCH('001-C DMR'!$DR$11,'DMR 001C NEW'!$A$2:$O$2,0)),"")</f>
        <v/>
      </c>
      <c r="DV28" s="280" t="str">
        <f t="array" ref="DV28">_xlfn.IFNA(INDEX('DMR 001C NEW'!$A$3:$O$999,MATCH(('001-C DMR'!$DK$6&amp;'001-C DMR'!DV$10&amp;'001-C DMR'!$B28),('DMR 001C NEW'!$E$3:$E$1112&amp;'DMR 001C NEW'!$B$3:$B$1112&amp;'DMR 001C NEW'!$A$3:$A$1112),0),MATCH('001-C DMR'!$DR$11,'DMR 001C NEW'!$A$2:$O$2,0)),"")</f>
        <v/>
      </c>
      <c r="DW28" s="280" t="str">
        <f t="array" ref="DW28">_xlfn.IFNA(INDEX('DMR 001C NEW'!$A$3:$O$999,MATCH(('001-C DMR'!$DK$6&amp;'001-C DMR'!DW$10&amp;'001-C DMR'!$B28),('DMR 001C NEW'!$E$3:$E$1112&amp;'DMR 001C NEW'!$B$3:$B$1112&amp;'DMR 001C NEW'!$A$3:$A$1112),0),MATCH('001-C DMR'!$DR$11,'DMR 001C NEW'!$A$2:$O$2,0)),"")</f>
        <v/>
      </c>
      <c r="DX28" s="280" t="str">
        <f t="array" ref="DX28">_xlfn.IFNA(INDEX('DMR 001C NEW'!$A$3:$O$999,MATCH(('001-C DMR'!$DK$6&amp;'001-C DMR'!DX$10&amp;'001-C DMR'!$B28),('DMR 001C NEW'!$E$3:$E$1112&amp;'DMR 001C NEW'!$B$3:$B$1112&amp;'DMR 001C NEW'!$A$3:$A$1112),0),MATCH('001-C DMR'!$DR$11,'DMR 001C NEW'!$A$2:$O$2,0)),"")</f>
        <v/>
      </c>
      <c r="DY28" s="61" t="str">
        <f t="shared" si="28"/>
        <v/>
      </c>
      <c r="DZ28" s="249" t="str">
        <f t="array" ref="DZ28">_xlfn.IFNA((INDEX('DMR 001C NEW'!$A$3:$O$9999,MATCH(('001-C DMR'!$DY$6&amp;'001-C DMR'!$DY$10&amp;'001-C DMR'!$B28),('DMR 001C NEW'!$E$3:$E$9018&amp;'DMR 001C NEW'!$B$3:$B$9018&amp;'DMR 001C NEW'!$A$3:$A$9018),0),MATCH('001-C DMR'!$DZ$11,'DMR 001C NEW'!$A$2:$O$2,0))),"")</f>
        <v/>
      </c>
      <c r="EA28" s="249" t="str">
        <f t="array" ref="EA28">_xlfn.IFNA((INDEX('DMR 001C NEW'!$A$3:$O$9999,MATCH(('001-C DMR'!$DY$6&amp;'001-C DMR'!$DY$10&amp;'001-C DMR'!$B28),('DMR 001C NEW'!$E$3:$E$9018&amp;'DMR 001C NEW'!$B$3:$B$9018&amp;'DMR 001C NEW'!$A$3:$A$9018),0),MATCH('001-C DMR'!$EA$11,'DMR 001C NEW'!$A$2:$O$2,0))),"")</f>
        <v/>
      </c>
      <c r="EB28" s="249" t="str">
        <f t="array" ref="EB28">IF(EA28="SCRATCHED","",IF(EA28&lt;DZ28,0,EA28))</f>
        <v/>
      </c>
      <c r="EC28" s="249" t="str">
        <f t="shared" si="29"/>
        <v/>
      </c>
      <c r="ED28" s="249" t="str">
        <f t="array" ref="ED28">_xlfn.IFNA((INDEX('DMR 001C NEW'!$A$3:$O$9999,MATCH(('001-C DMR'!$DY$6&amp;'001-C DMR'!$EC$10&amp;'001-C DMR'!$B28),('DMR 001C NEW'!$E$3:$E$9018&amp;'DMR 001C NEW'!$B$3:$B$9018&amp;'DMR 001C NEW'!$A$3:$A$9018),0),MATCH('001-C DMR'!$DZ$11,'DMR 001C NEW'!$A$2:$O$2,0))),"")</f>
        <v/>
      </c>
      <c r="EE28" s="249" t="str">
        <f t="array" ref="EE28">_xlfn.IFNA((INDEX('DMR 001C NEW'!$A$3:$O$9999,MATCH(('001-C DMR'!$DY$6&amp;'001-C DMR'!$EC$10&amp;'001-C DMR'!$B28),('DMR 001C NEW'!$E$3:$E$9018&amp;'DMR 001C NEW'!$B$3:$B$9018&amp;'DMR 001C NEW'!$A$3:$A$9018),0),MATCH('001-C DMR'!$EE$11,'DMR 001C NEW'!$A$2:$O$2,0))),"")</f>
        <v/>
      </c>
      <c r="EF28" s="249" t="str">
        <f t="array" ref="EF28">IF(EE28="SCRATCHED","",IF(EE28&lt;ED28,0,EE28))</f>
        <v/>
      </c>
      <c r="EG28" s="249"/>
      <c r="EH28" s="195"/>
      <c r="EI28" s="194">
        <f t="array" ref="EI28">_xlfn.IFNA(INDEX('DMR Flows-Effluent'!$A$3:$F$186,MATCH(($EI$10&amp;$B28),('DMR Flows-Effluent'!$B$3:$B$186&amp;'DMR Flows-Effluent'!$A$3:$A$186),0),MATCH($EI$8,'DMR Flows-Effluent'!$A$2:$F$2,0)),"")</f>
        <v>51.302599999999998</v>
      </c>
      <c r="EJ28" s="56">
        <f t="array" ref="EJ28">_xlfn.IFNA(INDEX('DMR Flows-Effluent'!$A$3:$F$186,MATCH(($EJ$10&amp;$B28),('DMR Flows-Effluent'!$B$3:$B$186&amp;'DMR Flows-Effluent'!$A$3:$A$186),0),MATCH($EI$8,'DMR Flows-Effluent'!$A$2:$F$2,0)),"")</f>
        <v>80.340500000000006</v>
      </c>
      <c r="EK28" s="168">
        <f t="shared" si="19"/>
        <v>131.6431</v>
      </c>
      <c r="EL28" s="63"/>
      <c r="EM28" s="63"/>
      <c r="EN28" s="63"/>
      <c r="EO28" s="63"/>
      <c r="EP28" s="62"/>
      <c r="EQ28" s="157">
        <f>'E.Coli Calculations'!R22</f>
        <v>140.7128259919177</v>
      </c>
      <c r="ER28" s="56"/>
      <c r="ES28" s="64" t="str">
        <f t="shared" si="36"/>
        <v/>
      </c>
      <c r="ET28" s="61" t="str">
        <f t="shared" si="20"/>
        <v/>
      </c>
      <c r="EU28" s="58" t="str">
        <f t="array" ref="EU28">_xlfn.IFNA((INDEX('DMR 001C NEW'!$A$3:$O$9999,MATCH(('001-C DMR'!$ET$6&amp;'001-C DMR'!$ET$10&amp;'001-C DMR'!$B28),('DMR 001C NEW'!$E$3:$E$9018&amp;'DMR 001C NEW'!$B$3:$B$9018&amp;'DMR 001C NEW'!$A$3:$A$9018),0),MATCH('001-C DMR'!$EU$11,'DMR 001C NEW'!$A$2:$O$2,0))),"")</f>
        <v/>
      </c>
      <c r="EV28" s="58" t="str">
        <f t="array" ref="EV28">_xlfn.IFNA(INDEX('DMR 001C NEW'!$A$3:$O$9999,MATCH(('001-C DMR'!$ET$6&amp;'001-C DMR'!$ET$10&amp;'001-C DMR'!$B28),('DMR 001C NEW'!$E$3:$E$9018&amp;'DMR 001C NEW'!$B$3:$B$9018&amp;'DMR 001C NEW'!$A$3:$A$9018),0),MATCH('001-C DMR'!$EV$11,'DMR 001C NEW'!$A$2:$O$2,0)),"")</f>
        <v/>
      </c>
      <c r="EW28" s="56" t="str">
        <f t="shared" si="21"/>
        <v/>
      </c>
      <c r="EX28" s="64"/>
      <c r="EY28" s="279" t="str">
        <f t="array" ref="EY28">_xlfn.IFNA(INDEX('DMR 001C NEW'!$A$3:$O$999,MATCH(('001-C DMR'!$ET$6&amp;'001-C DMR'!EY$10&amp;'001-C DMR'!$B28),('DMR 001C NEW'!$E$3:$E$1112&amp;'DMR 001C NEW'!$B$3:$B$1112&amp;'DMR 001C NEW'!$A$3:$A$1112),0),MATCH('001-C DMR'!$EY$11,'DMR 001C NEW'!$A$2:$O$2,0)),"")</f>
        <v/>
      </c>
      <c r="EZ28" s="280" t="str">
        <f t="array" ref="EZ28">_xlfn.IFNA(INDEX('DMR 001C NEW'!$A$3:$O$999,MATCH(('001-C DMR'!$ET$6&amp;'001-C DMR'!EZ$10&amp;'001-C DMR'!$B28),('DMR 001C NEW'!$E$3:$E$1112&amp;'DMR 001C NEW'!$B$3:$B$1112&amp;'DMR 001C NEW'!$A$3:$A$1112),0),MATCH('001-C DMR'!$EY$11,'DMR 001C NEW'!$A$2:$O$2,0)),"")</f>
        <v/>
      </c>
      <c r="FA28" s="280" t="str">
        <f t="array" ref="FA28">_xlfn.IFNA(INDEX('DMR 001C NEW'!$A$3:$O$999,MATCH(('001-C DMR'!$ET$6&amp;'001-C DMR'!FA$10&amp;'001-C DMR'!$B28),('DMR 001C NEW'!$E$3:$E$1112&amp;'DMR 001C NEW'!$B$3:$B$1112&amp;'DMR 001C NEW'!$A$3:$A$1112),0),MATCH('001-C DMR'!$EY$11,'DMR 001C NEW'!$A$2:$O$2,0)),"")</f>
        <v/>
      </c>
      <c r="FB28" s="280" t="str">
        <f t="array" ref="FB28">_xlfn.IFNA(INDEX('DMR 001C NEW'!$A$3:$O$999,MATCH(('001-C DMR'!$ET$6&amp;'001-C DMR'!FB$10&amp;'001-C DMR'!$B28),('DMR 001C NEW'!$E$3:$E$1112&amp;'DMR 001C NEW'!$B$3:$B$1112&amp;'DMR 001C NEW'!$A$3:$A$1112),0),MATCH('001-C DMR'!$EY$11,'DMR 001C NEW'!$A$2:$O$2,0)),"")</f>
        <v/>
      </c>
      <c r="FC28" s="280" t="str">
        <f t="array" ref="FC28">_xlfn.IFNA(INDEX('DMR 001C NEW'!$A$3:$O$999,MATCH(('001-C DMR'!$ET$6&amp;'001-C DMR'!FC$10&amp;'001-C DMR'!$B28),('DMR 001C NEW'!$E$3:$E$1112&amp;'DMR 001C NEW'!$B$3:$B$1112&amp;'DMR 001C NEW'!$A$3:$A$1112),0),MATCH('001-C DMR'!$EY$11,'DMR 001C NEW'!$A$2:$O$2,0)),"")</f>
        <v/>
      </c>
      <c r="FD28" s="280" t="str">
        <f t="array" ref="FD28">_xlfn.IFNA(INDEX('DMR 001C NEW'!$A$3:$O$999,MATCH(('001-C DMR'!$ET$6&amp;'001-C DMR'!FD$10&amp;'001-C DMR'!$B28),('DMR 001C NEW'!$E$3:$E$1112&amp;'DMR 001C NEW'!$B$3:$B$1112&amp;'DMR 001C NEW'!$A$3:$A$1112),0),MATCH('001-C DMR'!$EY$11,'DMR 001C NEW'!$A$2:$O$2,0)),"")</f>
        <v/>
      </c>
      <c r="FE28" s="281" t="str">
        <f t="array" ref="FE28">_xlfn.IFNA(INDEX('DMR 001C NEW'!$A$3:$O$999,MATCH(('001-C DMR'!$ET$6&amp;'001-C DMR'!FE$10&amp;'001-C DMR'!$B28),('DMR 001C NEW'!$E$3:$E$1112&amp;'DMR 001C NEW'!$B$3:$B$1112&amp;'DMR 001C NEW'!$A$3:$A$1112),0),MATCH('001-C DMR'!$EY$11,'DMR 001C NEW'!$A$2:$O$2,0)),"")</f>
        <v/>
      </c>
      <c r="FF28" s="57" t="str">
        <f t="shared" si="22"/>
        <v/>
      </c>
      <c r="FG28" s="56">
        <f t="array" ref="FG28">_xlfn.IFNA(INDEX('DMR 001C NEW'!$A$3:$O$9999,MATCH(('001-C DMR'!$FF$6&amp;'001-C DMR'!$FF$10&amp;'001-C DMR'!$B28),('DMR 001C NEW'!$E$3:$E$7246&amp;'DMR 001C NEW'!$B$3:$B$7246&amp;'DMR 001C NEW'!$A$3:$A$7246),0),MATCH('001-C DMR'!$FG$11,'DMR 001C NEW'!$A$2:$O$2,0)),"")</f>
        <v>0</v>
      </c>
      <c r="FH28" s="56">
        <f t="array" ref="FH28">_xlfn.IFNA(INDEX('DMR 001C NEW'!$A$3:$O$9999,MATCH(('001-C DMR'!$FF$6&amp;'001-C DMR'!$FF$10&amp;'001-C DMR'!$B28),('DMR 001C NEW'!$E$3:$E$7246&amp;'DMR 001C NEW'!$B$3:$B$7246&amp;'DMR 001C NEW'!$A$3:$A$7246),0),MATCH('001-C DMR'!$FH$11,'DMR 001C NEW'!$A$2:$O$2,0)),"")</f>
        <v>3</v>
      </c>
      <c r="FI28" s="57" t="str">
        <f t="shared" si="23"/>
        <v/>
      </c>
      <c r="FJ28" s="56">
        <f t="array" ref="FJ28">_xlfn.IFNA(INDEX('DMR 001C NEW'!$A$3:$O$9999,MATCH(('001-C DMR'!$FF$6&amp;'001-C DMR'!$FI$10&amp;'001-C DMR'!$B28),('DMR 001C NEW'!$E$3:$E$7246&amp;'DMR 001C NEW'!$B$3:$B$7246&amp;'DMR 001C NEW'!$A$3:$A$7246),0),MATCH('001-C DMR'!$FG$11,'DMR 001C NEW'!$A$2:$O$2,0)),"")</f>
        <v>0</v>
      </c>
      <c r="FK28" s="56">
        <f t="array" ref="FK28">_xlfn.IFNA(INDEX('DMR 001C NEW'!$A$3:$O$9999,MATCH(('001-C DMR'!$FF$6&amp;'001-C DMR'!$FI$10&amp;'001-C DMR'!$B28),('DMR 001C NEW'!$E$3:$E$7246&amp;'DMR 001C NEW'!$B$3:$B$7246&amp;'DMR 001C NEW'!$A$3:$A$7246),0),MATCH('001-C DMR'!$FH$11,'DMR 001C NEW'!$A$2:$O$2,0)),"")</f>
        <v>4</v>
      </c>
      <c r="FL28" s="56">
        <f t="array" ref="FL28">IFERROR((($FH28*$EI28)+($FK28*$EJ28))/($EK28),"")</f>
        <v>3.610290246887228</v>
      </c>
      <c r="FM28" s="56" t="str">
        <f t="shared" si="43"/>
        <v/>
      </c>
      <c r="FN28" s="64" t="str">
        <f t="shared" si="37"/>
        <v/>
      </c>
      <c r="FO28" s="66"/>
      <c r="FP28" s="280" t="str">
        <f t="array" ref="FP28">_xlfn.IFNA(INDEX('DMR 001C NEW'!$A$3:$O$999,MATCH(('001-C DMR'!$FF$6&amp;'001-C DMR'!FP$10&amp;'001-C DMR'!$B28),('DMR 001C NEW'!$E$3:$E$1112&amp;'DMR 001C NEW'!$B$3:$B$1112&amp;'DMR 001C NEW'!$A$3:$A$1112),0),MATCH('001-C DMR'!$FH$11,'DMR 001C NEW'!$A$2:$O$2,0)),"")</f>
        <v/>
      </c>
      <c r="FQ28" s="280" t="str">
        <f t="array" ref="FQ28">_xlfn.IFNA(INDEX('DMR 001C NEW'!$A$3:$O$999,MATCH(('001-C DMR'!$FF$6&amp;'001-C DMR'!FQ$10&amp;'001-C DMR'!$B28),('DMR 001C NEW'!$E$3:$E$1112&amp;'DMR 001C NEW'!$B$3:$B$1112&amp;'DMR 001C NEW'!$A$3:$A$1112),0),MATCH('001-C DMR'!$FH$11,'DMR 001C NEW'!$A$2:$O$2,0)),"")</f>
        <v/>
      </c>
      <c r="FR28" s="280" t="str">
        <f t="array" ref="FR28">_xlfn.IFNA(INDEX('DMR 001C NEW'!$A$3:$O$999,MATCH(('001-C DMR'!$FF$6&amp;'001-C DMR'!FR$10&amp;'001-C DMR'!$B28),('DMR 001C NEW'!$E$3:$E$1112&amp;'DMR 001C NEW'!$B$3:$B$1112&amp;'DMR 001C NEW'!$A$3:$A$1112),0),MATCH('001-C DMR'!$FH$11,'DMR 001C NEW'!$A$2:$O$2,0)),"")</f>
        <v/>
      </c>
      <c r="FS28" s="280" t="str">
        <f t="array" ref="FS28">_xlfn.IFNA(INDEX('DMR 001C NEW'!$A$3:$O$999,MATCH(('001-C DMR'!$FF$6&amp;'001-C DMR'!FS$10&amp;'001-C DMR'!$B28),('DMR 001C NEW'!$E$3:$E$1112&amp;'DMR 001C NEW'!$B$3:$B$1112&amp;'DMR 001C NEW'!$A$3:$A$1112),0),MATCH('001-C DMR'!$FH$11,'DMR 001C NEW'!$A$2:$O$2,0)),"")</f>
        <v/>
      </c>
      <c r="FT28" s="280" t="str">
        <f t="array" ref="FT28">_xlfn.IFNA(INDEX('DMR 001C NEW'!$A$3:$O$999,MATCH(('001-C DMR'!$FF$6&amp;'001-C DMR'!FT$10&amp;'001-C DMR'!$B28),('DMR 001C NEW'!$E$3:$E$1112&amp;'DMR 001C NEW'!$B$3:$B$1112&amp;'DMR 001C NEW'!$A$3:$A$1112),0),MATCH('001-C DMR'!$FH$11,'DMR 001C NEW'!$A$2:$O$2,0)),"")</f>
        <v/>
      </c>
      <c r="FU28" s="280" t="str">
        <f t="array" ref="FU28">_xlfn.IFNA(INDEX('DMR 001C NEW'!$A$3:$O$999,MATCH(('001-C DMR'!$FF$6&amp;'001-C DMR'!FU$10&amp;'001-C DMR'!$B28),('DMR 001C NEW'!$E$3:$E$1112&amp;'DMR 001C NEW'!$B$3:$B$1112&amp;'DMR 001C NEW'!$A$3:$A$1112),0),MATCH('001-C DMR'!$FH$11,'DMR 001C NEW'!$A$2:$O$2,0)),"")</f>
        <v/>
      </c>
      <c r="FV28" s="66"/>
      <c r="FW28" s="61" t="str">
        <f t="shared" si="24"/>
        <v/>
      </c>
      <c r="FX28" s="58">
        <f t="array" ref="FX28">_xlfn.IFNA(INDEX('DMR 001C NEW'!$A$3:$O$9999,MATCH(('001-C DMR'!$FW$6&amp;'001-C DMR'!$FW$10&amp;'001-C DMR'!$B28),('DMR 001C NEW'!$E$3:$E$7246&amp;'DMR 001C NEW'!$B$3:$B$7246&amp;'DMR 001C NEW'!$A$3:$A$7246),0),MATCH('001-C DMR'!$FX$11,'DMR 001C NEW'!$A$2:$O$2,0)),"")</f>
        <v>0.6</v>
      </c>
      <c r="FY28" s="58">
        <f t="array" ref="FY28">_xlfn.IFNA(INDEX('DMR 001C NEW'!$A$3:$O$9999,MATCH(('001-C DMR'!$FW$6&amp;'001-C DMR'!$FW$10&amp;'001-C DMR'!$B28),('DMR 001C NEW'!$E$3:$E$7246&amp;'DMR 001C NEW'!$B$3:$B$7246&amp;'DMR 001C NEW'!$A$3:$A$7246),0),MATCH('001-C DMR'!$FY$11,'DMR 001C NEW'!$A$2:$O$2,0)),"")</f>
        <v>110</v>
      </c>
      <c r="FZ28" s="57" t="str">
        <f t="shared" si="25"/>
        <v/>
      </c>
      <c r="GA28" s="58">
        <f t="array" ref="GA28">_xlfn.IFNA(INDEX('DMR 001C NEW'!$A$3:$O$9999,MATCH(('001-C DMR'!$FW$6&amp;'001-C DMR'!$FZ$10&amp;'001-C DMR'!$B28),('DMR 001C NEW'!$E$3:$E$7246&amp;'DMR 001C NEW'!$B$3:$B$7246&amp;'DMR 001C NEW'!$A$3:$A$7246),0),MATCH('001-C DMR'!$FX$11,'DMR 001C NEW'!$A$2:$O$2,0)),"")</f>
        <v>0.6</v>
      </c>
      <c r="GB28" s="58">
        <f t="array" ref="GB28">_xlfn.IFNA(INDEX('DMR 001C NEW'!$A$3:$O$9999,MATCH(('001-C DMR'!$FW$6&amp;'001-C DMR'!$FZ$10&amp;'001-C DMR'!$B28),('DMR 001C NEW'!$E$3:$E$7246&amp;'DMR 001C NEW'!$B$3:$B$7246&amp;'DMR 001C NEW'!$A$3:$A$7246),0),MATCH('001-C DMR'!$GB$11,'DMR 001C NEW'!$A$2:$O$2,0)),"")</f>
        <v>127</v>
      </c>
      <c r="GC28" s="56">
        <f t="shared" si="4"/>
        <v>120.37493419708287</v>
      </c>
      <c r="GD28" s="64" t="str">
        <f t="shared" si="38"/>
        <v/>
      </c>
      <c r="GE28" s="279" t="str">
        <f t="array" ref="GE28">_xlfn.IFNA(INDEX('DMR 001C NEW'!$A$3:$O$999,MATCH(('001-C DMR'!$FW$6&amp;'001-C DMR'!GE$10&amp;'001-C DMR'!$B28),('DMR 001C NEW'!$E$3:$E$1112&amp;'DMR 001C NEW'!$B$3:$B$1112&amp;'DMR 001C NEW'!$A$3:$A$1112),0),MATCH('001-C DMR'!$FY$11,'DMR 001C NEW'!$A$2:$O$2,0)),"")</f>
        <v/>
      </c>
      <c r="GF28" s="280" t="str">
        <f t="array" ref="GF28">_xlfn.IFNA(INDEX('DMR 001C NEW'!$A$3:$O$999,MATCH(('001-C DMR'!$FW$6&amp;'001-C DMR'!GF$10&amp;'001-C DMR'!$B28),('DMR 001C NEW'!$E$3:$E$1112&amp;'DMR 001C NEW'!$B$3:$B$1112&amp;'DMR 001C NEW'!$A$3:$A$1112),0),MATCH('001-C DMR'!$FY$11,'DMR 001C NEW'!$A$2:$O$2,0)),"")</f>
        <v/>
      </c>
      <c r="GG28" s="280" t="str">
        <f t="array" ref="GG28">_xlfn.IFNA(INDEX('DMR 001C NEW'!$A$3:$O$999,MATCH(('001-C DMR'!$FW$6&amp;'001-C DMR'!GG$10&amp;'001-C DMR'!$B28),('DMR 001C NEW'!$E$3:$E$1112&amp;'DMR 001C NEW'!$B$3:$B$1112&amp;'DMR 001C NEW'!$A$3:$A$1112),0),MATCH('001-C DMR'!$FY$11,'DMR 001C NEW'!$A$2:$O$2,0)),"")</f>
        <v/>
      </c>
      <c r="GH28" s="280" t="str">
        <f t="array" ref="GH28">_xlfn.IFNA(INDEX('DMR 001C NEW'!$A$3:$O$999,MATCH(('001-C DMR'!$FW$6&amp;'001-C DMR'!GH$10&amp;'001-C DMR'!$B28),('DMR 001C NEW'!$E$3:$E$1112&amp;'DMR 001C NEW'!$B$3:$B$1112&amp;'DMR 001C NEW'!$A$3:$A$1112),0),MATCH('001-C DMR'!$FY$11,'DMR 001C NEW'!$A$2:$O$2,0)),"")</f>
        <v/>
      </c>
      <c r="GI28" s="280" t="str">
        <f t="array" ref="GI28">_xlfn.IFNA(INDEX('DMR 001C NEW'!$A$3:$O$999,MATCH(('001-C DMR'!$FW$6&amp;'001-C DMR'!GI$10&amp;'001-C DMR'!$B28),('DMR 001C NEW'!$E$3:$E$1112&amp;'DMR 001C NEW'!$B$3:$B$1112&amp;'DMR 001C NEW'!$A$3:$A$1112),0),MATCH('001-C DMR'!$FY$11,'DMR 001C NEW'!$A$2:$O$2,0)),"")</f>
        <v/>
      </c>
      <c r="GJ28" s="281" t="str">
        <f t="array" ref="GJ28">_xlfn.IFNA(INDEX('DMR 001C NEW'!$A$3:$O$999,MATCH(('001-C DMR'!$FW$6&amp;'001-C DMR'!GJ$10&amp;'001-C DMR'!$B28),('DMR 001C NEW'!$E$3:$E$1112&amp;'DMR 001C NEW'!$B$3:$B$1112&amp;'DMR 001C NEW'!$A$3:$A$1112),0),MATCH('001-C DMR'!$FY$11,'DMR 001C NEW'!$A$2:$O$2,0)),"")</f>
        <v/>
      </c>
      <c r="GK28" s="58" t="str">
        <f t="array" ref="GK28">_xlfn.IFNA(INDEX('DMR 001C NEW'!$A$3:$O$9999,MATCH(('001-C DMR'!$GK$6&amp;'001-C DMR'!$GK$10&amp;'001-C DMR'!$B28),('DMR 001C NEW'!$E$3:$E$9018&amp;'DMR 001C NEW'!$B$3:$B$9018&amp;'DMR 001C NEW'!$A$3:$A$9018),0),MATCH('001-C DMR'!$GK$11,'DMR 001C NEW'!$A$2:$O$2,0)),"")</f>
        <v>n</v>
      </c>
      <c r="GL28" s="58" t="str">
        <f t="array" ref="GL28">_xlfn.IFNA(INDEX('DMR 001C NEW'!$A$3:$O$9999,MATCH(('001-C DMR'!$GK$6&amp;'001-C DMR'!$GL$10&amp;'001-C DMR'!$B28),('DMR 001C NEW'!$E$3:$E$9018&amp;'DMR 001C NEW'!$B$3:$B$9018&amp;'DMR 001C NEW'!$A$3:$A$9018),0),MATCH('001-C DMR'!$GK$11,'DMR 001C NEW'!$A$2:$O$2,0)),"")</f>
        <v>n</v>
      </c>
      <c r="GM28" s="134"/>
      <c r="GN28" s="64" t="str">
        <f t="shared" si="44"/>
        <v/>
      </c>
    </row>
    <row r="29" spans="1:282" s="51" customFormat="1" x14ac:dyDescent="0.25">
      <c r="A29" s="67" t="str">
        <f t="shared" si="5"/>
        <v>Wed</v>
      </c>
      <c r="B29" s="216">
        <f t="shared" si="26"/>
        <v>43691</v>
      </c>
      <c r="C29" s="93">
        <f t="array" ref="C29">INDEX('DMR 001C NEW'!$A$3:$N$10020,MATCH(('001-C DMR'!$C$6:$K$6&amp;'001-C DMR'!$C$10:$E$10&amp;'001-C DMR'!$B29),('DMR 001C NEW'!$E$3:$E$7246&amp;'DMR 001C NEW'!$B$3:$B$7246&amp;'DMR 001C NEW'!$A$3:$A$7246),0),MATCH('001-C DMR'!$C$11,'DMR 001C NEW'!$A$2:$O$2,0))</f>
        <v>5.7</v>
      </c>
      <c r="D29" s="56" t="str">
        <f t="array" ref="D29">INDEX('DMR 001C NEW'!$A$3:$N$11771,MATCH(('001-C DMR'!$C$6:$K$6&amp;'001-C DMR'!$C$10:$E$10&amp;'001-C DMR'!$B29),('DMR 001C NEW'!$E$3:$E$9018&amp;'DMR 001C NEW'!$B$3:$B$9018&amp;'DMR 001C NEW'!$A$3:$A$9018),0),MATCH('001-C DMR'!$D$11,'DMR 001C NEW'!$A$2:$O$2,0))</f>
        <v>AE69235</v>
      </c>
      <c r="E29" s="56">
        <f t="array" ref="E29">INDEX('DMR 001C NEW'!$A$3:$N$9999,MATCH(('001-C DMR'!$E$11&amp;'001-C DMR'!$C$10:$E$10&amp;'001-C DMR'!$B29&amp;$D29),('DMR 001C NEW'!$E$3:$E$7246&amp;'DMR 001C NEW'!$B$3:$B$7246&amp;'DMR 001C NEW'!$A$3:$A$7246&amp;'DMR 001C NEW'!$M$3:$M$7188),0),MATCH($C$11,'DMR 001C NEW'!$A$2:$O$2,0))</f>
        <v>66.33</v>
      </c>
      <c r="F29" s="56">
        <f t="array" ref="F29">INDEX('DMR 001C NEW'!$A$3:$N$9999,MATCH('001-C DMR'!$C$6:$K$6&amp;'001-C DMR'!$F$10&amp;'001-C DMR'!$B29,('DMR 001C NEW'!$E$3:$E$7246&amp;'DMR 001C NEW'!$B$3:$B$7246&amp;'DMR 001C NEW'!$A$3:$A$7246),0),MATCH('001-C DMR'!$C$11,'DMR 001C NEW'!$A$2:$O$2,0))</f>
        <v>6.5</v>
      </c>
      <c r="G29" s="56" t="str">
        <f t="array" ref="G29">INDEX('DMR 001C NEW'!$A$3:$N$3865,MATCH(('001-C DMR'!$C$6:$K$6&amp;'001-C DMR'!$F$10&amp;'001-C DMR'!$B29),('DMR 001C NEW'!$E$3:$E$1112&amp;'DMR 001C NEW'!$B$3:$B$1112&amp;'DMR 001C NEW'!$A$3:$A$1112),0),MATCH('001-C DMR'!$D$11,'DMR 001C NEW'!$A$2:$O$2,0))</f>
        <v>AE69236</v>
      </c>
      <c r="H29" s="56">
        <f t="array" ref="H29">INDEX('DMR 001C NEW'!$A$3:$N$9999,MATCH(('001-C DMR'!$E$11&amp;'001-C DMR'!$F$10&amp;'001-C DMR'!$B29&amp;$G29),('DMR 001C NEW'!$E$3:$E$7246&amp;'DMR 001C NEW'!$B$3:$B$7246&amp;'DMR 001C NEW'!$A$3:$A$7246&amp;'DMR 001C NEW'!$M$3:$M$7188),0),MATCH($C$11,'DMR 001C NEW'!$A$2:$O$2,0))</f>
        <v>101.68</v>
      </c>
      <c r="I29" s="56">
        <f t="shared" si="0"/>
        <v>6.1841616570442248</v>
      </c>
      <c r="J29" s="58" t="str">
        <f t="shared" si="39"/>
        <v/>
      </c>
      <c r="K29" s="64" t="str">
        <f t="shared" si="40"/>
        <v/>
      </c>
      <c r="L29" s="262" t="str">
        <f t="array" ref="L29">_xlfn.IFNA(INDEX('DMR 001C NEW'!$A$3:$N$3865,MATCH(('001-C DMR'!$C$6:$K$6&amp;'001-C DMR'!L$10&amp;'001-C DMR'!$B29),('DMR 001C NEW'!$E$3:$E$1112&amp;'DMR 001C NEW'!$B$3:$B$1112&amp;'DMR 001C NEW'!$A$3:$A$1112),0),MATCH('001-C DMR'!$C$11,'DMR 001C NEW'!$A$2:$O$2,0)),"")</f>
        <v/>
      </c>
      <c r="M29" s="262" t="str">
        <f t="array" ref="M29">_xlfn.IFNA(INDEX('DMR 001C NEW'!$A$3:$N$3865,MATCH(('001-C DMR'!$C$6:$K$6&amp;'001-C DMR'!M$10&amp;'001-C DMR'!$B29),('DMR 001C NEW'!$E$3:$E$1112&amp;'DMR 001C NEW'!$B$3:$B$1112&amp;'DMR 001C NEW'!$A$3:$A$1112),0),MATCH('001-C DMR'!$C$11,'DMR 001C NEW'!$A$2:$O$2,0)),"")</f>
        <v/>
      </c>
      <c r="N29" s="262" t="str">
        <f t="array" ref="N29">_xlfn.IFNA(INDEX('DMR 001C NEW'!$A$3:$N$3865,MATCH(('001-C DMR'!$C$6:$K$6&amp;'001-C DMR'!N$10&amp;'001-C DMR'!$B29),('DMR 001C NEW'!$E$3:$E$1112&amp;'DMR 001C NEW'!$B$3:$B$1112&amp;'DMR 001C NEW'!$A$3:$A$1112),0),MATCH('001-C DMR'!$C$11,'DMR 001C NEW'!$A$2:$O$2,0)),"")</f>
        <v/>
      </c>
      <c r="O29" s="262" t="str">
        <f t="array" ref="O29">_xlfn.IFNA(INDEX('DMR 001C NEW'!$A$3:$N$3865,MATCH(('001-C DMR'!$C$6:$K$6&amp;'001-C DMR'!O$10&amp;'001-C DMR'!$B29),('DMR 001C NEW'!$E$3:$E$1112&amp;'DMR 001C NEW'!$B$3:$B$1112&amp;'DMR 001C NEW'!$A$3:$A$1112),0),MATCH('001-C DMR'!$C$11,'DMR 001C NEW'!$A$2:$O$2,0)),"")</f>
        <v/>
      </c>
      <c r="P29" s="262" t="str">
        <f t="array" ref="P29">_xlfn.IFNA(INDEX('DMR 001C NEW'!$A$3:$N$3865,MATCH(('001-C DMR'!$C$6:$K$6&amp;'001-C DMR'!P$10&amp;'001-C DMR'!$B29),('DMR 001C NEW'!$E$3:$E$1112&amp;'DMR 001C NEW'!$B$3:$B$1112&amp;'DMR 001C NEW'!$A$3:$A$1112),0),MATCH('001-C DMR'!$C$11,'DMR 001C NEW'!$A$2:$O$2,0)),"")</f>
        <v/>
      </c>
      <c r="Q29" s="120" t="e">
        <f t="array" ref="Q29">INDEX('DMR 001C NEW'!$A$3:$N$3865,MATCH(('001-C DMR'!$C$6:$K$6&amp;'001-C DMR'!Q$10&amp;'001-C DMR'!$B29),('DMR 001C NEW'!$E$3:$E$1112&amp;'DMR 001C NEW'!$B$3:$B$1112&amp;'DMR 001C NEW'!$A$3:$A$1112),0),MATCH('001-C DMR'!$C$11,'DMR 001C NEW'!$A$2:$O$2,0))</f>
        <v>#N/A</v>
      </c>
      <c r="R29" s="61"/>
      <c r="S29" s="56">
        <f t="array" ref="S29">_xlfn.IFNA(INDEX('DMR 001C NEW'!$A$3:$N$11771,MATCH(('001-C DMR'!$R$6:$T$6&amp;'001-C DMR'!$R$10&amp;'001-C DMR'!$B29),('DMR 001C NEW'!$E$3:$E$9018&amp;'DMR 001C NEW'!$B$3:$B$9018&amp;'DMR 001C NEW'!$A$3:$A$9018),0),MATCH('001-C DMR'!$S$11,'DMR 001C NEW'!$A$2:$O$2,0)),"")</f>
        <v>7.1</v>
      </c>
      <c r="T29" s="64" t="str">
        <f t="shared" si="41"/>
        <v/>
      </c>
      <c r="U29" s="262" t="str">
        <f t="array" ref="U29">_xlfn.IFNA(INDEX('DMR 001C NEW'!$A$3:$O$591,MATCH('001-C DMR'!$R$6:$T$6&amp;'001-C DMR'!U$10&amp;'001-C DMR'!$B29,('DMR 001C NEW'!$E$3:$E$704&amp;'DMR 001C NEW'!$B$3:$B$704&amp;'DMR 001C NEW'!$A$3:$A$704),0),MATCH('001-C DMR'!$U$11,'DMR 001C NEW'!$A$2:$O$2,0)),"")</f>
        <v/>
      </c>
      <c r="V29" s="262" t="str">
        <f t="array" ref="V29">_xlfn.IFNA(INDEX('DMR 001C NEW'!$A$3:$O$591,MATCH('001-C DMR'!$R$6:$T$6&amp;'001-C DMR'!V$10&amp;'001-C DMR'!$B29,('DMR 001C NEW'!$E$3:$E$704&amp;'DMR 001C NEW'!$B$3:$B$704&amp;'DMR 001C NEW'!$A$3:$A$704),0),MATCH('001-C DMR'!$U$11,'DMR 001C NEW'!$A$2:$O$2,0)),"")</f>
        <v/>
      </c>
      <c r="W29" s="262" t="str">
        <f t="array" ref="W29">_xlfn.IFNA(INDEX('DMR 001C NEW'!$A$3:$O$591,MATCH('001-C DMR'!$R$6:$T$6&amp;'001-C DMR'!W$10&amp;'001-C DMR'!$B29,('DMR 001C NEW'!$E$3:$E$704&amp;'DMR 001C NEW'!$B$3:$B$704&amp;'DMR 001C NEW'!$A$3:$A$704),0),MATCH('001-C DMR'!$U$11,'DMR 001C NEW'!$A$2:$O$2,0)),"")</f>
        <v/>
      </c>
      <c r="X29" s="262" t="str">
        <f t="array" ref="X29">_xlfn.IFNA(INDEX('DMR 001C NEW'!$A$3:$O$591,MATCH('001-C DMR'!$R$6:$T$6&amp;'001-C DMR'!X$10&amp;'001-C DMR'!$B29,('DMR 001C NEW'!$E$3:$E$704&amp;'DMR 001C NEW'!$B$3:$B$704&amp;'DMR 001C NEW'!$A$3:$A$704),0),MATCH('001-C DMR'!$U$11,'DMR 001C NEW'!$A$2:$O$2,0)),"")</f>
        <v/>
      </c>
      <c r="Y29" s="262" t="str">
        <f t="array" ref="Y29">_xlfn.IFNA(INDEX('DMR 001C NEW'!$A$3:$O$591,MATCH('001-C DMR'!$R$6:$T$6&amp;'001-C DMR'!Y$10&amp;'001-C DMR'!$B29,('DMR 001C NEW'!$E$3:$E$704&amp;'DMR 001C NEW'!$B$3:$B$704&amp;'DMR 001C NEW'!$A$3:$A$704),0),MATCH('001-C DMR'!$U$11,'DMR 001C NEW'!$A$2:$O$2,0)),"")</f>
        <v/>
      </c>
      <c r="Z29" s="262" t="str">
        <f t="array" ref="Z29">_xlfn.IFNA(INDEX('DMR 001C NEW'!$A$3:$O$591,MATCH('001-C DMR'!$R$6:$T$6&amp;'001-C DMR'!Z$10&amp;'001-C DMR'!$B29,('DMR 001C NEW'!$E$3:$E$704&amp;'DMR 001C NEW'!$B$3:$B$704&amp;'DMR 001C NEW'!$A$3:$A$704),0),MATCH('001-C DMR'!$U$11,'DMR 001C NEW'!$A$2:$O$2,0)),"")</f>
        <v/>
      </c>
      <c r="AA29" s="262" t="str">
        <f t="array" ref="AA29">_xlfn.IFNA(INDEX('DMR 001C NEW'!$A$3:$O$591,MATCH('001-C DMR'!$R$6:$T$6&amp;'001-C DMR'!AA$10&amp;'001-C DMR'!$B29,('DMR 001C NEW'!$E$3:$E$704&amp;'DMR 001C NEW'!$B$3:$B$704&amp;'DMR 001C NEW'!$A$3:$A$704),0),MATCH('001-C DMR'!$U$11,'DMR 001C NEW'!$A$2:$O$2,0)),"")</f>
        <v/>
      </c>
      <c r="AB29" s="61" t="str">
        <f t="array" ref="AB29">IF(AD29&lt;AC29,"&lt;","")</f>
        <v/>
      </c>
      <c r="AC29" s="56">
        <f t="array" ref="AC29">_xlfn.IFNA(INDEX('DMR 001C NEW'!$A$3:$O$9999,MATCH(('001-C DMR'!$AB$6:$AJ$6&amp;'001-C DMR'!$AB$10:$AD$10&amp;'001-C DMR'!$B29),('DMR 001C NEW'!$E$3:$E$7246&amp;'DMR 001C NEW'!$B$3:$B$7246&amp;'DMR 001C NEW'!$A$3:$A$7246),0),MATCH('001-C DMR'!$AC$11,'DMR 001C NEW'!$A$2:$O$2,0)),"")</f>
        <v>3</v>
      </c>
      <c r="AD29" s="56">
        <f t="array" ref="AD29">_xlfn.IFNA(INDEX('DMR 001C NEW'!$A$3:$O$9999,MATCH(('001-C DMR'!$AB$6:$AJ$6&amp;'001-C DMR'!$AB$10:$AD$10&amp;'001-C DMR'!$B29),('DMR 001C NEW'!$E$3:$E$7246&amp;'DMR 001C NEW'!$B$3:$B$7246&amp;'DMR 001C NEW'!$A$3:$A$7246),0),MATCH('001-C DMR'!$AD$11,'DMR 001C NEW'!$A$2:$O$2,0)),"")</f>
        <v>10</v>
      </c>
      <c r="AE29" s="57" t="str">
        <f t="array" ref="AE29">IF(AG29&lt;AF29,"&lt;","")</f>
        <v/>
      </c>
      <c r="AF29" s="56">
        <f t="array" ref="AF29">_xlfn.IFNA(INDEX('DMR 001C NEW'!$A$3:$O$9999,MATCH(('001-C DMR'!$AB$6:$AJ$6&amp;'001-C DMR'!$AE$10&amp;'001-C DMR'!$B29),('DMR 001C NEW'!$E$3:$E$9018&amp;'DMR 001C NEW'!$B$3:$B$9018&amp;'DMR 001C NEW'!$A$3:$A$9018),0),MATCH('001-C DMR'!$AF$11,'DMR 001C NEW'!$A$2:$O$2,0)),"")</f>
        <v>3</v>
      </c>
      <c r="AG29" s="56">
        <f t="array" ref="AG29">_xlfn.IFNA(INDEX('DMR 001C NEW'!$A$3:$O$9999,MATCH(('001-C DMR'!$AB$6:$AJ$6&amp;'001-C DMR'!$AE$10&amp;'001-C DMR'!$B29),('DMR 001C NEW'!$E$3:$E$9018&amp;'DMR 001C NEW'!$B$3:$B$9018&amp;'DMR 001C NEW'!$A$3:$A$9018),0),MATCH('001-C DMR'!$AG$11,'DMR 001C NEW'!$A$2:$O$2,0)),"")</f>
        <v>12</v>
      </c>
      <c r="AH29" s="56">
        <f t="array" ref="AH29">IFERROR((($AD29*$EI29)+($AG29*$EJ29))/($EK29),"")</f>
        <v>11.251062831366108</v>
      </c>
      <c r="AI29" s="56" t="str">
        <f t="shared" si="42"/>
        <v/>
      </c>
      <c r="AJ29" s="64" t="str">
        <f t="shared" si="30"/>
        <v/>
      </c>
      <c r="AK29" s="262" t="str">
        <f t="array" ref="AK29">_xlfn.IFNA(INDEX('DMR 001C NEW'!$A$3:$O$999,MATCH(('001-C DMR'!$AB$6:$AJ$6&amp;'001-C DMR'!AK$10&amp;'001-C DMR'!$B29),('DMR 001C NEW'!$E$3:$E$1112&amp;'DMR 001C NEW'!$B$3:$B$1112&amp;'DMR 001C NEW'!$A$3:$A$1112),0),MATCH('001-C DMR'!$AD$11,'DMR 001C NEW'!$A$2:$O$2,0)),"")</f>
        <v/>
      </c>
      <c r="AL29" s="262" t="str">
        <f t="array" ref="AL29">_xlfn.IFNA(INDEX('DMR 001C NEW'!$A$3:$O$999,MATCH(('001-C DMR'!$AB$6:$AJ$6&amp;'001-C DMR'!AL$10&amp;'001-C DMR'!$B29),('DMR 001C NEW'!$E$3:$E$1112&amp;'DMR 001C NEW'!$B$3:$B$1112&amp;'DMR 001C NEW'!$A$3:$A$1112),0),MATCH('001-C DMR'!$AD$11,'DMR 001C NEW'!$A$2:$O$2,0)),"")</f>
        <v/>
      </c>
      <c r="AM29" s="262" t="str">
        <f t="array" ref="AM29">_xlfn.IFNA(INDEX('DMR 001C NEW'!$A$3:$O$999,MATCH(('001-C DMR'!$AB$6:$AJ$6&amp;'001-C DMR'!AM$10&amp;'001-C DMR'!$B29),('DMR 001C NEW'!$E$3:$E$1112&amp;'DMR 001C NEW'!$B$3:$B$1112&amp;'DMR 001C NEW'!$A$3:$A$1112),0),MATCH('001-C DMR'!$AD$11,'DMR 001C NEW'!$A$2:$O$2,0)),"")</f>
        <v/>
      </c>
      <c r="AN29" s="262" t="str">
        <f t="array" ref="AN29">_xlfn.IFNA(INDEX('DMR 001C NEW'!$A$3:$O$999,MATCH(('001-C DMR'!$AB$6:$AJ$6&amp;'001-C DMR'!AN$10&amp;'001-C DMR'!$B29),('DMR 001C NEW'!$E$3:$E$1112&amp;'DMR 001C NEW'!$B$3:$B$1112&amp;'DMR 001C NEW'!$A$3:$A$1112),0),MATCH('001-C DMR'!$AD$11,'DMR 001C NEW'!$A$2:$O$2,0)),"")</f>
        <v/>
      </c>
      <c r="AO29" s="262" t="str">
        <f t="array" ref="AO29">_xlfn.IFNA(INDEX('DMR 001C NEW'!$A$3:$O$999,MATCH(('001-C DMR'!$AB$6:$AJ$6&amp;'001-C DMR'!AO$10&amp;'001-C DMR'!$B29),('DMR 001C NEW'!$E$3:$E$1112&amp;'DMR 001C NEW'!$B$3:$B$1112&amp;'DMR 001C NEW'!$A$3:$A$1112),0),MATCH('001-C DMR'!$AD$11,'DMR 001C NEW'!$A$2:$O$2,0)),"")</f>
        <v/>
      </c>
      <c r="AP29" s="262" t="str">
        <f t="array" ref="AP29">_xlfn.IFNA(INDEX('DMR 001C NEW'!$A$3:$O$999,MATCH(('001-C DMR'!$AB$6:$AJ$6&amp;'001-C DMR'!AP$10&amp;'001-C DMR'!$B29),('DMR 001C NEW'!$E$3:$E$1112&amp;'DMR 001C NEW'!$B$3:$B$1112&amp;'DMR 001C NEW'!$A$3:$A$1112),0),MATCH('001-C DMR'!$AD$11,'DMR 001C NEW'!$A$2:$O$2,0)),"")</f>
        <v/>
      </c>
      <c r="AQ29" s="61" t="str">
        <f t="array" ref="AQ29">IF(AS29&lt;AR29,"&lt;","")</f>
        <v/>
      </c>
      <c r="AR29" s="58" t="str">
        <f t="array" ref="AR29">_xlfn.IFNA((INDEX('DMR 001C NEW'!$A$3:$O$9999,MATCH(('001-C DMR'!$AQ$6:$AZ$6&amp;'001-C DMR'!$AQ$10:$AS$10&amp;'001-C DMR'!$B29),('DMR 001C NEW'!$E$3:$E$7246&amp;'DMR 001C NEW'!$B$3:$B$7246&amp;'DMR 001C NEW'!$A$3:$A$7246),0),MATCH('001-C DMR'!$AR$11,'DMR 001C NEW'!$A$2:$O$2,0))),"")</f>
        <v/>
      </c>
      <c r="AS29" s="58" t="str">
        <f t="array" ref="AS29">_xlfn.IFNA(INDEX('DMR 001C NEW'!$A$3:$O$9999,MATCH(('001-C DMR'!$AQ$6:$AZ$6&amp;'001-C DMR'!$AQ$10:$AS$10&amp;'001-C DMR'!$B29),('DMR 001C NEW'!$E$3:$E$7246&amp;'DMR 001C NEW'!$B$3:$B$7246&amp;'DMR 001C NEW'!$A$3:$A$7246),0),MATCH('001-C DMR'!$AS$11,'DMR 001C NEW'!$A$2:$O$2,0)),"")</f>
        <v/>
      </c>
      <c r="AT29" s="58" t="str">
        <f t="shared" si="27"/>
        <v/>
      </c>
      <c r="AU29" s="57" t="str">
        <f t="array" ref="AU29">IF(AW29&lt;AV29,"&lt;","")</f>
        <v/>
      </c>
      <c r="AV29" s="58" t="str">
        <f t="array" ref="AV29">_xlfn.IFNA((INDEX('DMR 001C NEW'!$A$3:$O$9999,MATCH(('001-C DMR'!$AQ$6:$AZ$6&amp;'001-C DMR'!$AU$10&amp;'001-C DMR'!$B29),('DMR 001C NEW'!$E$3:$E$7246&amp;'DMR 001C NEW'!$B$3:$B$7246&amp;'DMR 001C NEW'!$A$3:$A$7246),0),MATCH('001-C DMR'!$AR$11,'DMR 001C NEW'!$A$2:$O$2,0))),"")</f>
        <v/>
      </c>
      <c r="AW29" s="58" t="str">
        <f t="array" ref="AW29">_xlfn.IFNA(INDEX('DMR 001C NEW'!$A$3:$O$9999,MATCH(('001-C DMR'!$AQ$6:$AZ$6&amp;'001-C DMR'!$AU$10&amp;'001-C DMR'!$B29),('DMR 001C NEW'!$E$3:$E$7246&amp;'DMR 001C NEW'!$B$3:$B$7246&amp;'DMR 001C NEW'!$A$3:$A$7246),0),MATCH('001-C DMR'!$AW$11,'DMR 001C NEW'!$A$2:$O$2,0)),"")</f>
        <v/>
      </c>
      <c r="AX29" s="58" t="str">
        <f t="shared" si="6"/>
        <v/>
      </c>
      <c r="AY29" s="56" t="str">
        <f t="array" ref="AY29">IFERROR((($AT29*$EI29)+($AX29*$EJ29))/($EK29),"")</f>
        <v/>
      </c>
      <c r="AZ29" s="64" t="str">
        <f t="shared" si="31"/>
        <v/>
      </c>
      <c r="BA29" s="279" t="str">
        <f t="array" ref="BA29">_xlfn.IFNA(INDEX('DMR 001C NEW'!$A$3:$O$9999,MATCH(('001-C DMR'!$AQ$6:$AZ$6&amp;'001-C DMR'!BA$10&amp;'001-C DMR'!$B29),('DMR 001C NEW'!$E$3:$E$1112&amp;'DMR 001C NEW'!$B$3:$B$1112&amp;'DMR 001C NEW'!$A$3:$A$1112),0),MATCH('001-C DMR'!$BA$11,'DMR 001C NEW'!$A$2:$O$2,0)),"")</f>
        <v/>
      </c>
      <c r="BB29" s="280" t="str">
        <f t="array" ref="BB29">_xlfn.IFNA(INDEX('DMR 001C NEW'!$A$3:$O$9999,MATCH(('001-C DMR'!$AQ$6:$AZ$6&amp;'001-C DMR'!BB$10&amp;'001-C DMR'!$B29),('DMR 001C NEW'!$E$3:$E$1112&amp;'DMR 001C NEW'!$B$3:$B$1112&amp;'DMR 001C NEW'!$A$3:$A$1112),0),MATCH('001-C DMR'!$BA$11,'DMR 001C NEW'!$A$2:$O$2,0)),"")</f>
        <v/>
      </c>
      <c r="BC29" s="280" t="str">
        <f t="array" ref="BC29">_xlfn.IFNA(INDEX('DMR 001C NEW'!$A$3:$O$9999,MATCH(('001-C DMR'!$AQ$6:$AZ$6&amp;'001-C DMR'!BC$10&amp;'001-C DMR'!$B29),('DMR 001C NEW'!$E$3:$E$1112&amp;'DMR 001C NEW'!$B$3:$B$1112&amp;'DMR 001C NEW'!$A$3:$A$1112),0),MATCH('001-C DMR'!$BA$11,'DMR 001C NEW'!$A$2:$O$2,0)),"")</f>
        <v/>
      </c>
      <c r="BD29" s="280" t="str">
        <f t="array" ref="BD29">_xlfn.IFNA(INDEX('DMR 001C NEW'!$A$3:$O$9999,MATCH(('001-C DMR'!$AQ$6:$AZ$6&amp;'001-C DMR'!BD$10&amp;'001-C DMR'!$B29),('DMR 001C NEW'!$E$3:$E$1112&amp;'DMR 001C NEW'!$B$3:$B$1112&amp;'DMR 001C NEW'!$A$3:$A$1112),0),MATCH('001-C DMR'!$BA$11,'DMR 001C NEW'!$A$2:$O$2,0)),"")</f>
        <v/>
      </c>
      <c r="BE29" s="280" t="str">
        <f t="array" ref="BE29">_xlfn.IFNA(INDEX('DMR 001C NEW'!$A$3:$O$9999,MATCH(('001-C DMR'!$AQ$6:$AZ$6&amp;'001-C DMR'!BE$10&amp;'001-C DMR'!$B29),('DMR 001C NEW'!$E$3:$E$1112&amp;'DMR 001C NEW'!$B$3:$B$1112&amp;'DMR 001C NEW'!$A$3:$A$1112),0),MATCH('001-C DMR'!$BA$11,'DMR 001C NEW'!$A$2:$O$2,0)),"")</f>
        <v/>
      </c>
      <c r="BF29" s="281" t="str">
        <f t="array" ref="BF29">_xlfn.IFNA(INDEX('DMR 001C NEW'!$A$3:$O$9999,MATCH(('001-C DMR'!$AQ$6:$AZ$6&amp;'001-C DMR'!BF$10&amp;'001-C DMR'!$B29),('DMR 001C NEW'!$E$3:$E$1112&amp;'DMR 001C NEW'!$B$3:$B$1112&amp;'DMR 001C NEW'!$A$3:$A$1112),0),MATCH('001-C DMR'!$BA$11,'DMR 001C NEW'!$A$2:$O$2,0)),"")</f>
        <v/>
      </c>
      <c r="BG29" s="57"/>
      <c r="BH29" s="58" t="str">
        <f t="array" ref="BH29">_xlfn.IFNA((INDEX('DMR 001C NEW'!$A$3:$O$9999,MATCH(('001-C DMR'!$BG$6&amp;'001-C DMR'!$BG$10&amp;'001-C DMR'!$B29),('DMR 001C NEW'!$E$3:$E$7246&amp;'DMR 001C NEW'!$B$3:$B$7246&amp;'DMR 001C NEW'!$A$3:$A$7246),0),MATCH('001-C DMR'!$BH$11,'DMR 001C NEW'!$A$2:$O$2,0))),"")</f>
        <v/>
      </c>
      <c r="BI29" s="58" t="str">
        <f t="array" ref="BI29">_xlfn.IFNA(INDEX('DMR 001C NEW'!$A$3:$O$9999,MATCH(('001-C DMR'!$BG$6&amp;'001-C DMR'!$BG$10&amp;'001-C DMR'!$B29),('DMR 001C NEW'!$E$3:$E$7246&amp;'DMR 001C NEW'!$B$3:$B$7246&amp;'DMR 001C NEW'!$A$3:$A$7246),0),MATCH('001-C DMR'!$BI$11,'DMR 001C NEW'!$A$2:$O$2,0)),"")</f>
        <v/>
      </c>
      <c r="BJ29" s="58" t="str">
        <f t="shared" si="7"/>
        <v/>
      </c>
      <c r="BK29" s="57" t="str">
        <f t="shared" si="8"/>
        <v/>
      </c>
      <c r="BL29" s="58" t="str">
        <f t="array" ref="BL29">_xlfn.IFNA((INDEX('DMR 001C NEW'!$A$3:$O$9999,MATCH(('001-C DMR'!$BG$6&amp;'001-C DMR'!$BK$10&amp;'001-C DMR'!$B29),('DMR 001C NEW'!$E$3:$E$7246&amp;'DMR 001C NEW'!$B$3:$B$7246&amp;'DMR 001C NEW'!$A$3:$A$7246),0),MATCH('001-C DMR'!$BH$11,'DMR 001C NEW'!$A$2:$O$2,0))),"")</f>
        <v/>
      </c>
      <c r="BM29" s="58" t="str">
        <f t="array" ref="BM29">_xlfn.IFNA(INDEX('DMR 001C NEW'!$A$3:$O$9999,MATCH(('001-C DMR'!$BG$6&amp;'001-C DMR'!$BK$10&amp;'001-C DMR'!$B29),('DMR 001C NEW'!$E$3:$E$7246&amp;'DMR 001C NEW'!$B$3:$B$7246&amp;'DMR 001C NEW'!$A$3:$A$7246),0),MATCH('001-C DMR'!$BI$11,'DMR 001C NEW'!$A$2:$O$2,0)),"")</f>
        <v/>
      </c>
      <c r="BN29" s="58" t="str">
        <f t="shared" si="9"/>
        <v/>
      </c>
      <c r="BO29" s="56" t="str">
        <f t="array" ref="BO29">IFERROR((($BJ29*$EI29)+($BN29*$EJ29))/($EK29),"")</f>
        <v/>
      </c>
      <c r="BP29" s="64" t="str">
        <f t="shared" si="32"/>
        <v/>
      </c>
      <c r="BQ29" s="280" t="str">
        <f t="array" ref="BQ29">_xlfn.IFNA(INDEX('DMR 001C NEW'!$A$3:$O$999,MATCH(('001-C DMR'!$BG$6&amp;'001-C DMR'!BQ$10&amp;'001-C DMR'!$B29),('DMR 001C NEW'!$E$3:$E$1112&amp;'DMR 001C NEW'!$B$3:$B$1112&amp;'DMR 001C NEW'!$A$3:$A$1112),0),MATCH('001-C DMR'!$BQ$11,'DMR 001C NEW'!$A$2:$O$2,0)),"")</f>
        <v/>
      </c>
      <c r="BR29" s="280" t="str">
        <f t="array" ref="BR29">_xlfn.IFNA(INDEX('DMR 001C NEW'!$A$3:$O$999,MATCH(('001-C DMR'!$BG$6&amp;'001-C DMR'!BR$10&amp;'001-C DMR'!$B29),('DMR 001C NEW'!$E$3:$E$1112&amp;'DMR 001C NEW'!$B$3:$B$1112&amp;'DMR 001C NEW'!$A$3:$A$1112),0),MATCH('001-C DMR'!$BQ$11,'DMR 001C NEW'!$A$2:$O$2,0)),"")</f>
        <v/>
      </c>
      <c r="BS29" s="280" t="str">
        <f t="array" ref="BS29">_xlfn.IFNA(INDEX('DMR 001C NEW'!$A$3:$O$999,MATCH(('001-C DMR'!$BG$6&amp;'001-C DMR'!BS$10&amp;'001-C DMR'!$B29),('DMR 001C NEW'!$E$3:$E$1112&amp;'DMR 001C NEW'!$B$3:$B$1112&amp;'DMR 001C NEW'!$A$3:$A$1112),0),MATCH('001-C DMR'!$BQ$11,'DMR 001C NEW'!$A$2:$O$2,0)),"")</f>
        <v/>
      </c>
      <c r="BT29" s="280" t="str">
        <f t="array" ref="BT29">_xlfn.IFNA(INDEX('DMR 001C NEW'!$A$3:$O$999,MATCH(('001-C DMR'!$BG$6&amp;'001-C DMR'!BT$10&amp;'001-C DMR'!$B29),('DMR 001C NEW'!$E$3:$E$1112&amp;'DMR 001C NEW'!$B$3:$B$1112&amp;'DMR 001C NEW'!$A$3:$A$1112),0),MATCH('001-C DMR'!$BQ$11,'DMR 001C NEW'!$A$2:$O$2,0)),"")</f>
        <v/>
      </c>
      <c r="BU29" s="280" t="str">
        <f t="array" ref="BU29">_xlfn.IFNA(INDEX('DMR 001C NEW'!$A$3:$O$999,MATCH(('001-C DMR'!$BG$6&amp;'001-C DMR'!BU$10&amp;'001-C DMR'!$B29),('DMR 001C NEW'!$E$3:$E$1112&amp;'DMR 001C NEW'!$B$3:$B$1112&amp;'DMR 001C NEW'!$A$3:$A$1112),0),MATCH('001-C DMR'!$BQ$11,'DMR 001C NEW'!$A$2:$O$2,0)),"")</f>
        <v/>
      </c>
      <c r="BV29" s="280" t="str">
        <f t="array" ref="BV29">_xlfn.IFNA(INDEX('DMR 001C NEW'!$A$3:$O$999,MATCH(('001-C DMR'!$BG$6&amp;'001-C DMR'!BV$10&amp;'001-C DMR'!$B29),('DMR 001C NEW'!$E$3:$E$1112&amp;'DMR 001C NEW'!$B$3:$B$1112&amp;'DMR 001C NEW'!$A$3:$A$1112),0),MATCH('001-C DMR'!$BQ$11,'DMR 001C NEW'!$A$2:$O$2,0)),"")</f>
        <v/>
      </c>
      <c r="BW29" s="65"/>
      <c r="BX29" s="65"/>
      <c r="BY29" s="57" t="str">
        <f t="shared" si="10"/>
        <v/>
      </c>
      <c r="BZ29" s="58" t="str">
        <f t="array" ref="BZ29">_xlfn.IFNA((INDEX('DMR 001C NEW'!$A$3:$O$9999,MATCH(('001-C DMR'!$BY$6&amp;'001-C DMR'!$BY$10&amp;'001-C DMR'!$B29),('DMR 001C NEW'!$E$3:$E$7246&amp;'DMR 001C NEW'!$B$3:$B$7246&amp;'DMR 001C NEW'!$A$3:$A$7246),0),MATCH('001-C DMR'!$BZ$11,'DMR 001C NEW'!$A$2:$O$2,0))),"")</f>
        <v/>
      </c>
      <c r="CA29" s="138" t="str">
        <f t="array" ref="CA29">_xlfn.IFNA(INDEX('DMR 001C NEW'!$A$3:$O$9999,MATCH(('001-C DMR'!$BY$6&amp;'001-C DMR'!$BY$10&amp;'001-C DMR'!$B29),('DMR 001C NEW'!$E$3:$E$7246&amp;'DMR 001C NEW'!$B$3:$B$7246&amp;'DMR 001C NEW'!$A$3:$A$7246),0),MATCH('001-C DMR'!$CA$11,'DMR 001C NEW'!$A$2:$O$2,0)),"")</f>
        <v/>
      </c>
      <c r="CB29" s="57" t="str">
        <f t="shared" si="11"/>
        <v/>
      </c>
      <c r="CC29" s="58" t="str">
        <f t="array" ref="CC29">_xlfn.IFNA((INDEX('DMR 001C NEW'!$A$3:$O$9999,MATCH(('001-C DMR'!$BY$6&amp;'001-C DMR'!$CB$10&amp;'001-C DMR'!$B29),('DMR 001C NEW'!$E$3:$E$7246&amp;'DMR 001C NEW'!$B$3:$B$7246&amp;'DMR 001C NEW'!$A$3:$A$7246),0),MATCH('001-C DMR'!$BZ$11,'DMR 001C NEW'!$A$2:$O$2,0))),"")</f>
        <v/>
      </c>
      <c r="CD29" s="138" t="str">
        <f t="array" ref="CD29">_xlfn.IFNA(INDEX('DMR 001C NEW'!$A$3:$O$9999,MATCH(('001-C DMR'!$BY$6&amp;'001-C DMR'!$CB$10&amp;'001-C DMR'!$B29),('DMR 001C NEW'!$E$3:$E$7246&amp;'DMR 001C NEW'!$B$3:$B$7246&amp;'DMR 001C NEW'!$A$3:$A$7246),0),MATCH('001-C DMR'!$CA$11,'DMR 001C NEW'!$A$2:$O$2,0)),"")</f>
        <v/>
      </c>
      <c r="CE29" s="138" t="str">
        <f t="array" ref="CE29">IFERROR((($CA29*$EI29)+($CD29*$EJ29))/($EK29),"")</f>
        <v/>
      </c>
      <c r="CF29" s="64" t="str">
        <f t="shared" si="33"/>
        <v/>
      </c>
      <c r="CG29" s="280" t="str">
        <f t="array" ref="CG29">_xlfn.IFNA(INDEX('DMR 001C NEW'!$A$3:$O$999,MATCH(('001-C DMR'!$BY$6&amp;'001-C DMR'!CG$10&amp;'001-C DMR'!$B29),('DMR 001C NEW'!$E$3:$E$1112&amp;'DMR 001C NEW'!$B$3:$B$1112&amp;'DMR 001C NEW'!$A$3:$A$1112),0),MATCH('001-C DMR'!$CA$11,'DMR 001C NEW'!$A$2:$O$2,0)),"")</f>
        <v/>
      </c>
      <c r="CH29" s="280" t="str">
        <f t="array" ref="CH29">_xlfn.IFNA(INDEX('DMR 001C NEW'!$A$3:$O$999,MATCH(('001-C DMR'!$BY$6&amp;'001-C DMR'!CH$10&amp;'001-C DMR'!$B29),('DMR 001C NEW'!$E$3:$E$1112&amp;'DMR 001C NEW'!$B$3:$B$1112&amp;'DMR 001C NEW'!$A$3:$A$1112),0),MATCH('001-C DMR'!$CA$11,'DMR 001C NEW'!$A$2:$O$2,0)),"")</f>
        <v/>
      </c>
      <c r="CI29" s="280" t="str">
        <f t="array" ref="CI29">_xlfn.IFNA(INDEX('DMR 001C NEW'!$A$3:$O$999,MATCH(('001-C DMR'!$BY$6&amp;'001-C DMR'!CI$10&amp;'001-C DMR'!$B29),('DMR 001C NEW'!$E$3:$E$1112&amp;'DMR 001C NEW'!$B$3:$B$1112&amp;'DMR 001C NEW'!$A$3:$A$1112),0),MATCH('001-C DMR'!$CA$11,'DMR 001C NEW'!$A$2:$O$2,0)),"")</f>
        <v/>
      </c>
      <c r="CJ29" s="280" t="str">
        <f t="array" ref="CJ29">_xlfn.IFNA(INDEX('DMR 001C NEW'!$A$3:$O$999,MATCH(('001-C DMR'!$BY$6&amp;'001-C DMR'!CJ$10&amp;'001-C DMR'!$B29),('DMR 001C NEW'!$E$3:$E$1112&amp;'DMR 001C NEW'!$B$3:$B$1112&amp;'DMR 001C NEW'!$A$3:$A$1112),0),MATCH('001-C DMR'!$CA$11,'DMR 001C NEW'!$A$2:$O$2,0)),"")</f>
        <v/>
      </c>
      <c r="CK29" s="280" t="str">
        <f t="array" ref="CK29">_xlfn.IFNA(INDEX('DMR 001C NEW'!$A$3:$O$999,MATCH(('001-C DMR'!$BY$6&amp;'001-C DMR'!CK$10&amp;'001-C DMR'!$B29),('DMR 001C NEW'!$E$3:$E$1112&amp;'DMR 001C NEW'!$B$3:$B$1112&amp;'DMR 001C NEW'!$A$3:$A$1112),0),MATCH('001-C DMR'!$CA$11,'DMR 001C NEW'!$A$2:$O$2,0)),"")</f>
        <v/>
      </c>
      <c r="CL29" s="280" t="str">
        <f t="array" ref="CL29">_xlfn.IFNA(INDEX('DMR 001C NEW'!$A$3:$O$999,MATCH(('001-C DMR'!$BY$6&amp;'001-C DMR'!CL$10&amp;'001-C DMR'!$B29),('DMR 001C NEW'!$E$3:$E$1112&amp;'DMR 001C NEW'!$B$3:$B$1112&amp;'DMR 001C NEW'!$A$3:$A$1112),0),MATCH('001-C DMR'!$CA$11,'DMR 001C NEW'!$A$2:$O$2,0)),"")</f>
        <v/>
      </c>
      <c r="CM29" s="61" t="str">
        <f t="shared" si="12"/>
        <v/>
      </c>
      <c r="CN29" s="138" t="str">
        <f t="array" ref="CN29">_xlfn.IFNA((INDEX('DMR 001C NEW'!$A$3:$O$9999,MATCH(('001-C DMR'!$CM$6&amp;'001-C DMR'!$CM$10&amp;'001-C DMR'!$B29),('DMR 001C NEW'!$E$3:$E$9018&amp;'DMR 001C NEW'!$B$3:$B$9018&amp;'DMR 001C NEW'!$A$3:$A$9018),0),MATCH('001-C DMR'!$CN$11,'DMR 001C NEW'!$A$2:$O$2,0))*1000),"")</f>
        <v/>
      </c>
      <c r="CO29" s="138" t="str">
        <f t="array" ref="CO29">_xlfn.IFNA(INDEX('DMR 001C NEW'!$A$3:$O$9999,MATCH(('001-C DMR'!$CM$6&amp;'001-C DMR'!$CM$10&amp;'001-C DMR'!$B29),('DMR 001C NEW'!$E$3:$E$9018&amp;'DMR 001C NEW'!$B$3:$B$9018&amp;'DMR 001C NEW'!$A$3:$A$9018),0),MATCH('001-C DMR'!$CO$11,'DMR 001C NEW'!$A$2:$O$2,0))*1000,"")</f>
        <v/>
      </c>
      <c r="CP29" s="138" t="str">
        <f t="shared" si="13"/>
        <v/>
      </c>
      <c r="CQ29" s="64" t="str">
        <f t="shared" si="34"/>
        <v/>
      </c>
      <c r="CR29" s="280" t="str">
        <f t="array" ref="CR29">_xlfn.IFNA(INDEX('DMR 001C NEW'!$A$3:$O$999,MATCH(('001-C DMR'!$CM$6&amp;'001-C DMR'!CR$10&amp;'001-C DMR'!$B29),('DMR 001C NEW'!$E$3:$E$1112&amp;'DMR 001C NEW'!$B$3:$B$1112&amp;'DMR 001C NEW'!$A$3:$A$1112),0),MATCH('001-C DMR'!$CO$11,'DMR 001C NEW'!$A$2:$O$2,0)),"")</f>
        <v/>
      </c>
      <c r="CS29" s="280" t="str">
        <f t="array" ref="CS29">_xlfn.IFNA(INDEX('DMR 001C NEW'!$A$3:$O$999,MATCH(('001-C DMR'!$CM$6&amp;'001-C DMR'!CS$10&amp;'001-C DMR'!$B29),('DMR 001C NEW'!$E$3:$E$1112&amp;'DMR 001C NEW'!$B$3:$B$1112&amp;'DMR 001C NEW'!$A$3:$A$1112),0),MATCH('001-C DMR'!$CO$11,'DMR 001C NEW'!$A$2:$O$2,0)),"")</f>
        <v/>
      </c>
      <c r="CT29" s="280" t="str">
        <f t="array" ref="CT29">_xlfn.IFNA(INDEX('DMR 001C NEW'!$A$3:$O$999,MATCH(('001-C DMR'!$CM$6&amp;'001-C DMR'!CT$10&amp;'001-C DMR'!$B29),('DMR 001C NEW'!$E$3:$E$1112&amp;'DMR 001C NEW'!$B$3:$B$1112&amp;'DMR 001C NEW'!$A$3:$A$1112),0),MATCH('001-C DMR'!$CO$11,'DMR 001C NEW'!$A$2:$O$2,0)),"")</f>
        <v/>
      </c>
      <c r="CU29" s="280" t="str">
        <f t="array" ref="CU29">_xlfn.IFNA(INDEX('DMR 001C NEW'!$A$3:$O$999,MATCH(('001-C DMR'!$CM$6&amp;'001-C DMR'!CU$10&amp;'001-C DMR'!$B29),('DMR 001C NEW'!$E$3:$E$1112&amp;'DMR 001C NEW'!$B$3:$B$1112&amp;'DMR 001C NEW'!$A$3:$A$1112),0),MATCH('001-C DMR'!$CO$11,'DMR 001C NEW'!$A$2:$O$2,0)),"")</f>
        <v/>
      </c>
      <c r="CV29" s="280" t="str">
        <f t="array" ref="CV29">_xlfn.IFNA(INDEX('DMR 001C NEW'!$A$3:$O$999,MATCH(('001-C DMR'!$CM$6&amp;'001-C DMR'!CV$10&amp;'001-C DMR'!$B29),('DMR 001C NEW'!$E$3:$E$1112&amp;'DMR 001C NEW'!$B$3:$B$1112&amp;'DMR 001C NEW'!$A$3:$A$1112),0),MATCH('001-C DMR'!$CO$11,'DMR 001C NEW'!$A$2:$O$2,0)),"")</f>
        <v/>
      </c>
      <c r="CW29" s="280" t="str">
        <f t="array" ref="CW29">_xlfn.IFNA(INDEX('DMR 001C NEW'!$A$3:$O$999,MATCH(('001-C DMR'!$CM$6&amp;'001-C DMR'!CW$10&amp;'001-C DMR'!$B29),('DMR 001C NEW'!$E$3:$E$1112&amp;'DMR 001C NEW'!$B$3:$B$1112&amp;'DMR 001C NEW'!$A$3:$A$1112),0),MATCH('001-C DMR'!$CO$11,'DMR 001C NEW'!$A$2:$O$2,0)),"")</f>
        <v/>
      </c>
      <c r="CX29" s="280" t="str">
        <f t="array" ref="CX29">_xlfn.IFNA(INDEX('DMR 001C NEW'!$A$3:$O$999,MATCH(('001-C DMR'!$CM$6&amp;'001-C DMR'!CX$10&amp;'001-C DMR'!$B29),('DMR 001C NEW'!$E$3:$E$1112&amp;'DMR 001C NEW'!$B$3:$B$1112&amp;'DMR 001C NEW'!$A$3:$A$1112),0),MATCH('001-C DMR'!$CO$11,'DMR 001C NEW'!$A$2:$O$2,0)),"")</f>
        <v/>
      </c>
      <c r="CY29" s="61" t="str">
        <f t="shared" si="14"/>
        <v/>
      </c>
      <c r="CZ29" s="138" t="str">
        <f t="array" ref="CZ29">_xlfn.IFNA((INDEX('DMR 001C NEW'!$A$3:$O$9999,MATCH(('001-C DMR'!$CY$6&amp;'001-C DMR'!$CY$10&amp;'001-C DMR'!$B29),('DMR 001C NEW'!$E$3:$E$9018&amp;'DMR 001C NEW'!$B$3:$B$9018&amp;'DMR 001C NEW'!$A$3:$A$9018),0),MATCH('001-C DMR'!$CZ$11,'DMR 001C NEW'!$A$2:$O$2,0))*1000),"")</f>
        <v/>
      </c>
      <c r="DA29" s="138" t="str">
        <f t="array" ref="DA29">_xlfn.IFNA(INDEX('DMR 001C NEW'!$A$3:$O$9999,MATCH(('001-C DMR'!$CY$6&amp;'001-C DMR'!$CY$10&amp;'001-C DMR'!$B29),('DMR 001C NEW'!$E$3:$E$9018&amp;'DMR 001C NEW'!$B$3:$B$9018&amp;'DMR 001C NEW'!$A$3:$A$9018),0),MATCH('001-C DMR'!$DA$11,'DMR 001C NEW'!$A$2:$O$2,0))*1000,"")</f>
        <v/>
      </c>
      <c r="DB29" s="138" t="str">
        <f t="shared" si="15"/>
        <v/>
      </c>
      <c r="DC29" s="64" t="str">
        <f t="shared" si="35"/>
        <v/>
      </c>
      <c r="DD29" s="280" t="str">
        <f t="array" ref="DD29">_xlfn.IFNA(INDEX('DMR 001C NEW'!$A$3:$O$999,MATCH(('001-C DMR'!$CY$6&amp;'001-C DMR'!DD$10&amp;'001-C DMR'!$B29),('DMR 001C NEW'!$E$3:$E$1112&amp;'DMR 001C NEW'!$B$3:$B$1112&amp;'DMR 001C NEW'!$A$3:$A$1112),0),MATCH('001-C DMR'!$DA$11,'DMR 001C NEW'!$A$2:$O$2,0)),"")</f>
        <v/>
      </c>
      <c r="DE29" s="280" t="str">
        <f t="array" ref="DE29">_xlfn.IFNA(INDEX('DMR 001C NEW'!$A$3:$O$999,MATCH(('001-C DMR'!$CY$6&amp;'001-C DMR'!DE$10&amp;'001-C DMR'!$B29),('DMR 001C NEW'!$E$3:$E$1112&amp;'DMR 001C NEW'!$B$3:$B$1112&amp;'DMR 001C NEW'!$A$3:$A$1112),0),MATCH('001-C DMR'!$DA$11,'DMR 001C NEW'!$A$2:$O$2,0)),"")</f>
        <v/>
      </c>
      <c r="DF29" s="280" t="str">
        <f t="array" ref="DF29">_xlfn.IFNA(INDEX('DMR 001C NEW'!$A$3:$O$999,MATCH(('001-C DMR'!$CY$6&amp;'001-C DMR'!DF$10&amp;'001-C DMR'!$B29),('DMR 001C NEW'!$E$3:$E$1112&amp;'DMR 001C NEW'!$B$3:$B$1112&amp;'DMR 001C NEW'!$A$3:$A$1112),0),MATCH('001-C DMR'!$DA$11,'DMR 001C NEW'!$A$2:$O$2,0)),"")</f>
        <v/>
      </c>
      <c r="DG29" s="280" t="str">
        <f t="array" ref="DG29">_xlfn.IFNA(INDEX('DMR 001C NEW'!$A$3:$O$999,MATCH(('001-C DMR'!$CY$6&amp;'001-C DMR'!DG$10&amp;'001-C DMR'!$B29),('DMR 001C NEW'!$E$3:$E$1112&amp;'DMR 001C NEW'!$B$3:$B$1112&amp;'DMR 001C NEW'!$A$3:$A$1112),0),MATCH('001-C DMR'!$DA$11,'DMR 001C NEW'!$A$2:$O$2,0)),"")</f>
        <v/>
      </c>
      <c r="DH29" s="280" t="str">
        <f t="array" ref="DH29">_xlfn.IFNA(INDEX('DMR 001C NEW'!$A$3:$O$999,MATCH(('001-C DMR'!$CY$6&amp;'001-C DMR'!DH$10&amp;'001-C DMR'!$B29),('DMR 001C NEW'!$E$3:$E$1112&amp;'DMR 001C NEW'!$B$3:$B$1112&amp;'DMR 001C NEW'!$A$3:$A$1112),0),MATCH('001-C DMR'!$DA$11,'DMR 001C NEW'!$A$2:$O$2,0)),"")</f>
        <v/>
      </c>
      <c r="DI29" s="280" t="str">
        <f t="array" ref="DI29">_xlfn.IFNA(INDEX('DMR 001C NEW'!$A$3:$O$999,MATCH(('001-C DMR'!$CY$6&amp;'001-C DMR'!DI$10&amp;'001-C DMR'!$B29),('DMR 001C NEW'!$E$3:$E$1112&amp;'DMR 001C NEW'!$B$3:$B$1112&amp;'DMR 001C NEW'!$A$3:$A$1112),0),MATCH('001-C DMR'!$DA$11,'DMR 001C NEW'!$A$2:$O$2,0)),"")</f>
        <v/>
      </c>
      <c r="DJ29" s="280" t="str">
        <f t="array" ref="DJ29">_xlfn.IFNA(INDEX('DMR 001C NEW'!$A$3:$O$999,MATCH(('001-C DMR'!$CY$6&amp;'001-C DMR'!DJ$10&amp;'001-C DMR'!$B29),('DMR 001C NEW'!$E$3:$E$1112&amp;'DMR 001C NEW'!$B$3:$B$1112&amp;'DMR 001C NEW'!$A$3:$A$1112),0),MATCH('001-C DMR'!$DA$11,'DMR 001C NEW'!$A$2:$O$2,0)),"")</f>
        <v/>
      </c>
      <c r="DK29" s="61" t="str">
        <f t="shared" si="16"/>
        <v/>
      </c>
      <c r="DL29" s="58" t="str">
        <f t="array" ref="DL29">_xlfn.IFNA((INDEX('DMR 001C NEW'!$A$3:$O$9999,MATCH(('001-C DMR'!$DK$6&amp;'001-C DMR'!$DK$10&amp;'001-C DMR'!$B29),('DMR 001C NEW'!$E$3:$E$9018&amp;'DMR 001C NEW'!$B$3:$B$9018&amp;'DMR 001C NEW'!$A$3:$A$9018),0),MATCH('001-C DMR'!$DL$11,'DMR 001C NEW'!$A$2:$O$2,0))),"")</f>
        <v/>
      </c>
      <c r="DM29" s="58" t="str">
        <f t="array" ref="DM29">_xlfn.IFNA(INDEX('DMR 001C NEW'!$A$3:$O$9999,MATCH(('001-C DMR'!$DK$6&amp;'001-C DMR'!$DK$10&amp;'001-C DMR'!$B29),('DMR 001C NEW'!$E$3:$E$9018&amp;'DMR 001C NEW'!$B$3:$B$9018&amp;'DMR 001C NEW'!$A$3:$A$9018),0),MATCH('001-C DMR'!$DM$11,'DMR 001C NEW'!$A$2:$O$2,0)),"")</f>
        <v/>
      </c>
      <c r="DN29" s="58" t="str">
        <f t="shared" si="17"/>
        <v/>
      </c>
      <c r="DO29" s="223"/>
      <c r="DP29" s="224"/>
      <c r="DQ29" s="64" t="str">
        <f t="shared" si="18"/>
        <v/>
      </c>
      <c r="DR29" s="280" t="str">
        <f t="array" ref="DR29">_xlfn.IFNA(INDEX('DMR 001C NEW'!$A$3:$O$999,MATCH(('001-C DMR'!$DK$6&amp;'001-C DMR'!DR$10&amp;'001-C DMR'!$B29),('DMR 001C NEW'!$E$3:$E$1112&amp;'DMR 001C NEW'!$B$3:$B$1112&amp;'DMR 001C NEW'!$A$3:$A$1112),0),MATCH('001-C DMR'!$DR$11,'DMR 001C NEW'!$A$2:$O$2,0)),"")</f>
        <v/>
      </c>
      <c r="DS29" s="280" t="str">
        <f t="array" ref="DS29">_xlfn.IFNA(INDEX('DMR 001C NEW'!$A$3:$O$999,MATCH(('001-C DMR'!$DK$6&amp;'001-C DMR'!DS$10&amp;'001-C DMR'!$B29),('DMR 001C NEW'!$E$3:$E$1112&amp;'DMR 001C NEW'!$B$3:$B$1112&amp;'DMR 001C NEW'!$A$3:$A$1112),0),MATCH('001-C DMR'!$DR$11,'DMR 001C NEW'!$A$2:$O$2,0)),"")</f>
        <v/>
      </c>
      <c r="DT29" s="280" t="str">
        <f t="array" ref="DT29">_xlfn.IFNA(INDEX('DMR 001C NEW'!$A$3:$O$999,MATCH(('001-C DMR'!$DK$6&amp;'001-C DMR'!DT$10&amp;'001-C DMR'!$B29),('DMR 001C NEW'!$E$3:$E$1112&amp;'DMR 001C NEW'!$B$3:$B$1112&amp;'DMR 001C NEW'!$A$3:$A$1112),0),MATCH('001-C DMR'!$DR$11,'DMR 001C NEW'!$A$2:$O$2,0)),"")</f>
        <v/>
      </c>
      <c r="DU29" s="280" t="str">
        <f t="array" ref="DU29">_xlfn.IFNA(INDEX('DMR 001C NEW'!$A$3:$O$999,MATCH(('001-C DMR'!$DK$6&amp;'001-C DMR'!DU$10&amp;'001-C DMR'!$B29),('DMR 001C NEW'!$E$3:$E$1112&amp;'DMR 001C NEW'!$B$3:$B$1112&amp;'DMR 001C NEW'!$A$3:$A$1112),0),MATCH('001-C DMR'!$DR$11,'DMR 001C NEW'!$A$2:$O$2,0)),"")</f>
        <v/>
      </c>
      <c r="DV29" s="280" t="str">
        <f t="array" ref="DV29">_xlfn.IFNA(INDEX('DMR 001C NEW'!$A$3:$O$999,MATCH(('001-C DMR'!$DK$6&amp;'001-C DMR'!DV$10&amp;'001-C DMR'!$B29),('DMR 001C NEW'!$E$3:$E$1112&amp;'DMR 001C NEW'!$B$3:$B$1112&amp;'DMR 001C NEW'!$A$3:$A$1112),0),MATCH('001-C DMR'!$DR$11,'DMR 001C NEW'!$A$2:$O$2,0)),"")</f>
        <v/>
      </c>
      <c r="DW29" s="280" t="str">
        <f t="array" ref="DW29">_xlfn.IFNA(INDEX('DMR 001C NEW'!$A$3:$O$999,MATCH(('001-C DMR'!$DK$6&amp;'001-C DMR'!DW$10&amp;'001-C DMR'!$B29),('DMR 001C NEW'!$E$3:$E$1112&amp;'DMR 001C NEW'!$B$3:$B$1112&amp;'DMR 001C NEW'!$A$3:$A$1112),0),MATCH('001-C DMR'!$DR$11,'DMR 001C NEW'!$A$2:$O$2,0)),"")</f>
        <v/>
      </c>
      <c r="DX29" s="280" t="str">
        <f t="array" ref="DX29">_xlfn.IFNA(INDEX('DMR 001C NEW'!$A$3:$O$999,MATCH(('001-C DMR'!$DK$6&amp;'001-C DMR'!DX$10&amp;'001-C DMR'!$B29),('DMR 001C NEW'!$E$3:$E$1112&amp;'DMR 001C NEW'!$B$3:$B$1112&amp;'DMR 001C NEW'!$A$3:$A$1112),0),MATCH('001-C DMR'!$DR$11,'DMR 001C NEW'!$A$2:$O$2,0)),"")</f>
        <v/>
      </c>
      <c r="DY29" s="61" t="str">
        <f t="shared" si="28"/>
        <v/>
      </c>
      <c r="DZ29" s="249" t="str">
        <f t="array" ref="DZ29">_xlfn.IFNA((INDEX('DMR 001C NEW'!$A$3:$O$9999,MATCH(('001-C DMR'!$DY$6&amp;'001-C DMR'!$DY$10&amp;'001-C DMR'!$B29),('DMR 001C NEW'!$E$3:$E$9018&amp;'DMR 001C NEW'!$B$3:$B$9018&amp;'DMR 001C NEW'!$A$3:$A$9018),0),MATCH('001-C DMR'!$DZ$11,'DMR 001C NEW'!$A$2:$O$2,0))),"")</f>
        <v/>
      </c>
      <c r="EA29" s="249" t="str">
        <f t="array" ref="EA29">_xlfn.IFNA((INDEX('DMR 001C NEW'!$A$3:$O$9999,MATCH(('001-C DMR'!$DY$6&amp;'001-C DMR'!$DY$10&amp;'001-C DMR'!$B29),('DMR 001C NEW'!$E$3:$E$9018&amp;'DMR 001C NEW'!$B$3:$B$9018&amp;'DMR 001C NEW'!$A$3:$A$9018),0),MATCH('001-C DMR'!$EA$11,'DMR 001C NEW'!$A$2:$O$2,0))),"")</f>
        <v/>
      </c>
      <c r="EB29" s="249" t="str">
        <f t="array" ref="EB29">IF(EA29="SCRATCHED","",IF(EA29&lt;DZ29,0,EA29))</f>
        <v/>
      </c>
      <c r="EC29" s="249" t="str">
        <f t="shared" si="29"/>
        <v/>
      </c>
      <c r="ED29" s="249" t="str">
        <f t="array" ref="ED29">_xlfn.IFNA((INDEX('DMR 001C NEW'!$A$3:$O$9999,MATCH(('001-C DMR'!$DY$6&amp;'001-C DMR'!$EC$10&amp;'001-C DMR'!$B29),('DMR 001C NEW'!$E$3:$E$9018&amp;'DMR 001C NEW'!$B$3:$B$9018&amp;'DMR 001C NEW'!$A$3:$A$9018),0),MATCH('001-C DMR'!$DZ$11,'DMR 001C NEW'!$A$2:$O$2,0))),"")</f>
        <v/>
      </c>
      <c r="EE29" s="249" t="str">
        <f t="array" ref="EE29">_xlfn.IFNA((INDEX('DMR 001C NEW'!$A$3:$O$9999,MATCH(('001-C DMR'!$DY$6&amp;'001-C DMR'!$EC$10&amp;'001-C DMR'!$B29),('DMR 001C NEW'!$E$3:$E$9018&amp;'DMR 001C NEW'!$B$3:$B$9018&amp;'DMR 001C NEW'!$A$3:$A$9018),0),MATCH('001-C DMR'!$EE$11,'DMR 001C NEW'!$A$2:$O$2,0))),"")</f>
        <v/>
      </c>
      <c r="EF29" s="249" t="str">
        <f t="array" ref="EF29">IF(EE29="SCRATCHED","",IF(EE29&lt;ED29,0,EE29))</f>
        <v/>
      </c>
      <c r="EG29" s="249"/>
      <c r="EH29" s="195"/>
      <c r="EI29" s="194">
        <f t="array" ref="EI29">_xlfn.IFNA(INDEX('DMR Flows-Effluent'!$A$3:$F$186,MATCH(($EI$10&amp;$B29),('DMR Flows-Effluent'!$B$3:$B$186&amp;'DMR Flows-Effluent'!$A$3:$A$186),0),MATCH($EI$8,'DMR Flows-Effluent'!$A$2:$F$2,0)),"")</f>
        <v>49.476100000000002</v>
      </c>
      <c r="EJ29" s="56">
        <f t="array" ref="EJ29">_xlfn.IFNA(INDEX('DMR Flows-Effluent'!$A$3:$F$186,MATCH(($EJ$10&amp;$B29),('DMR Flows-Effluent'!$B$3:$B$186&amp;'DMR Flows-Effluent'!$A$3:$A$186),0),MATCH($EI$8,'DMR Flows-Effluent'!$A$2:$F$2,0)),"")</f>
        <v>82.647400000000005</v>
      </c>
      <c r="EK29" s="168">
        <f t="shared" si="19"/>
        <v>132.12350000000001</v>
      </c>
      <c r="EL29" s="63"/>
      <c r="EM29" s="63"/>
      <c r="EN29" s="63"/>
      <c r="EO29" s="63"/>
      <c r="EP29" s="62"/>
      <c r="EQ29" s="157">
        <f>'E.Coli Calculations'!R23</f>
        <v>112.19534813484859</v>
      </c>
      <c r="ER29" s="56"/>
      <c r="ES29" s="64" t="str">
        <f t="shared" si="36"/>
        <v/>
      </c>
      <c r="ET29" s="61" t="str">
        <f t="shared" si="20"/>
        <v/>
      </c>
      <c r="EU29" s="58" t="str">
        <f t="array" ref="EU29">_xlfn.IFNA((INDEX('DMR 001C NEW'!$A$3:$O$9999,MATCH(('001-C DMR'!$ET$6&amp;'001-C DMR'!$ET$10&amp;'001-C DMR'!$B29),('DMR 001C NEW'!$E$3:$E$9018&amp;'DMR 001C NEW'!$B$3:$B$9018&amp;'DMR 001C NEW'!$A$3:$A$9018),0),MATCH('001-C DMR'!$EU$11,'DMR 001C NEW'!$A$2:$O$2,0))),"")</f>
        <v/>
      </c>
      <c r="EV29" s="58" t="str">
        <f t="array" ref="EV29">_xlfn.IFNA(INDEX('DMR 001C NEW'!$A$3:$O$9999,MATCH(('001-C DMR'!$ET$6&amp;'001-C DMR'!$ET$10&amp;'001-C DMR'!$B29),('DMR 001C NEW'!$E$3:$E$9018&amp;'DMR 001C NEW'!$B$3:$B$9018&amp;'DMR 001C NEW'!$A$3:$A$9018),0),MATCH('001-C DMR'!$EV$11,'DMR 001C NEW'!$A$2:$O$2,0)),"")</f>
        <v/>
      </c>
      <c r="EW29" s="56" t="str">
        <f t="shared" si="21"/>
        <v/>
      </c>
      <c r="EX29" s="64"/>
      <c r="EY29" s="279" t="str">
        <f t="array" ref="EY29">_xlfn.IFNA(INDEX('DMR 001C NEW'!$A$3:$O$999,MATCH(('001-C DMR'!$ET$6&amp;'001-C DMR'!EY$10&amp;'001-C DMR'!$B29),('DMR 001C NEW'!$E$3:$E$1112&amp;'DMR 001C NEW'!$B$3:$B$1112&amp;'DMR 001C NEW'!$A$3:$A$1112),0),MATCH('001-C DMR'!$EY$11,'DMR 001C NEW'!$A$2:$O$2,0)),"")</f>
        <v/>
      </c>
      <c r="EZ29" s="280" t="str">
        <f t="array" ref="EZ29">_xlfn.IFNA(INDEX('DMR 001C NEW'!$A$3:$O$999,MATCH(('001-C DMR'!$ET$6&amp;'001-C DMR'!EZ$10&amp;'001-C DMR'!$B29),('DMR 001C NEW'!$E$3:$E$1112&amp;'DMR 001C NEW'!$B$3:$B$1112&amp;'DMR 001C NEW'!$A$3:$A$1112),0),MATCH('001-C DMR'!$EY$11,'DMR 001C NEW'!$A$2:$O$2,0)),"")</f>
        <v/>
      </c>
      <c r="FA29" s="280" t="str">
        <f t="array" ref="FA29">_xlfn.IFNA(INDEX('DMR 001C NEW'!$A$3:$O$999,MATCH(('001-C DMR'!$ET$6&amp;'001-C DMR'!FA$10&amp;'001-C DMR'!$B29),('DMR 001C NEW'!$E$3:$E$1112&amp;'DMR 001C NEW'!$B$3:$B$1112&amp;'DMR 001C NEW'!$A$3:$A$1112),0),MATCH('001-C DMR'!$EY$11,'DMR 001C NEW'!$A$2:$O$2,0)),"")</f>
        <v/>
      </c>
      <c r="FB29" s="280" t="str">
        <f t="array" ref="FB29">_xlfn.IFNA(INDEX('DMR 001C NEW'!$A$3:$O$999,MATCH(('001-C DMR'!$ET$6&amp;'001-C DMR'!FB$10&amp;'001-C DMR'!$B29),('DMR 001C NEW'!$E$3:$E$1112&amp;'DMR 001C NEW'!$B$3:$B$1112&amp;'DMR 001C NEW'!$A$3:$A$1112),0),MATCH('001-C DMR'!$EY$11,'DMR 001C NEW'!$A$2:$O$2,0)),"")</f>
        <v/>
      </c>
      <c r="FC29" s="280" t="str">
        <f t="array" ref="FC29">_xlfn.IFNA(INDEX('DMR 001C NEW'!$A$3:$O$999,MATCH(('001-C DMR'!$ET$6&amp;'001-C DMR'!FC$10&amp;'001-C DMR'!$B29),('DMR 001C NEW'!$E$3:$E$1112&amp;'DMR 001C NEW'!$B$3:$B$1112&amp;'DMR 001C NEW'!$A$3:$A$1112),0),MATCH('001-C DMR'!$EY$11,'DMR 001C NEW'!$A$2:$O$2,0)),"")</f>
        <v/>
      </c>
      <c r="FD29" s="280" t="str">
        <f t="array" ref="FD29">_xlfn.IFNA(INDEX('DMR 001C NEW'!$A$3:$O$999,MATCH(('001-C DMR'!$ET$6&amp;'001-C DMR'!FD$10&amp;'001-C DMR'!$B29),('DMR 001C NEW'!$E$3:$E$1112&amp;'DMR 001C NEW'!$B$3:$B$1112&amp;'DMR 001C NEW'!$A$3:$A$1112),0),MATCH('001-C DMR'!$EY$11,'DMR 001C NEW'!$A$2:$O$2,0)),"")</f>
        <v/>
      </c>
      <c r="FE29" s="281" t="str">
        <f t="array" ref="FE29">_xlfn.IFNA(INDEX('DMR 001C NEW'!$A$3:$O$999,MATCH(('001-C DMR'!$ET$6&amp;'001-C DMR'!FE$10&amp;'001-C DMR'!$B29),('DMR 001C NEW'!$E$3:$E$1112&amp;'DMR 001C NEW'!$B$3:$B$1112&amp;'DMR 001C NEW'!$A$3:$A$1112),0),MATCH('001-C DMR'!$EY$11,'DMR 001C NEW'!$A$2:$O$2,0)),"")</f>
        <v/>
      </c>
      <c r="FF29" s="57" t="str">
        <f t="shared" si="22"/>
        <v/>
      </c>
      <c r="FG29" s="56">
        <f t="array" ref="FG29">_xlfn.IFNA(INDEX('DMR 001C NEW'!$A$3:$O$9999,MATCH(('001-C DMR'!$FF$6&amp;'001-C DMR'!$FF$10&amp;'001-C DMR'!$B29),('DMR 001C NEW'!$E$3:$E$7246&amp;'DMR 001C NEW'!$B$3:$B$7246&amp;'DMR 001C NEW'!$A$3:$A$7246),0),MATCH('001-C DMR'!$FG$11,'DMR 001C NEW'!$A$2:$O$2,0)),"")</f>
        <v>0</v>
      </c>
      <c r="FH29" s="56">
        <f t="array" ref="FH29">_xlfn.IFNA(INDEX('DMR 001C NEW'!$A$3:$O$9999,MATCH(('001-C DMR'!$FF$6&amp;'001-C DMR'!$FF$10&amp;'001-C DMR'!$B29),('DMR 001C NEW'!$E$3:$E$7246&amp;'DMR 001C NEW'!$B$3:$B$7246&amp;'DMR 001C NEW'!$A$3:$A$7246),0),MATCH('001-C DMR'!$FH$11,'DMR 001C NEW'!$A$2:$O$2,0)),"")</f>
        <v>4</v>
      </c>
      <c r="FI29" s="57" t="str">
        <f t="shared" si="23"/>
        <v/>
      </c>
      <c r="FJ29" s="56">
        <f t="array" ref="FJ29">_xlfn.IFNA(INDEX('DMR 001C NEW'!$A$3:$O$9999,MATCH(('001-C DMR'!$FF$6&amp;'001-C DMR'!$FI$10&amp;'001-C DMR'!$B29),('DMR 001C NEW'!$E$3:$E$7246&amp;'DMR 001C NEW'!$B$3:$B$7246&amp;'DMR 001C NEW'!$A$3:$A$7246),0),MATCH('001-C DMR'!$FG$11,'DMR 001C NEW'!$A$2:$O$2,0)),"")</f>
        <v>0</v>
      </c>
      <c r="FK29" s="56">
        <f t="array" ref="FK29">_xlfn.IFNA(INDEX('DMR 001C NEW'!$A$3:$O$9999,MATCH(('001-C DMR'!$FF$6&amp;'001-C DMR'!$FI$10&amp;'001-C DMR'!$B29),('DMR 001C NEW'!$E$3:$E$7246&amp;'DMR 001C NEW'!$B$3:$B$7246&amp;'DMR 001C NEW'!$A$3:$A$7246),0),MATCH('001-C DMR'!$FH$11,'DMR 001C NEW'!$A$2:$O$2,0)),"")</f>
        <v>5</v>
      </c>
      <c r="FL29" s="56">
        <f t="array" ref="FL29">IFERROR((($FH29*$EI29)+($FK29*$EJ29))/($EK29),"")</f>
        <v>4.6255314156830538</v>
      </c>
      <c r="FM29" s="56" t="str">
        <f t="shared" si="43"/>
        <v/>
      </c>
      <c r="FN29" s="64" t="str">
        <f t="shared" si="37"/>
        <v/>
      </c>
      <c r="FO29" s="66"/>
      <c r="FP29" s="280" t="str">
        <f t="array" ref="FP29">_xlfn.IFNA(INDEX('DMR 001C NEW'!$A$3:$O$999,MATCH(('001-C DMR'!$FF$6&amp;'001-C DMR'!FP$10&amp;'001-C DMR'!$B29),('DMR 001C NEW'!$E$3:$E$1112&amp;'DMR 001C NEW'!$B$3:$B$1112&amp;'DMR 001C NEW'!$A$3:$A$1112),0),MATCH('001-C DMR'!$FH$11,'DMR 001C NEW'!$A$2:$O$2,0)),"")</f>
        <v/>
      </c>
      <c r="FQ29" s="280" t="str">
        <f t="array" ref="FQ29">_xlfn.IFNA(INDEX('DMR 001C NEW'!$A$3:$O$999,MATCH(('001-C DMR'!$FF$6&amp;'001-C DMR'!FQ$10&amp;'001-C DMR'!$B29),('DMR 001C NEW'!$E$3:$E$1112&amp;'DMR 001C NEW'!$B$3:$B$1112&amp;'DMR 001C NEW'!$A$3:$A$1112),0),MATCH('001-C DMR'!$FH$11,'DMR 001C NEW'!$A$2:$O$2,0)),"")</f>
        <v/>
      </c>
      <c r="FR29" s="280" t="str">
        <f t="array" ref="FR29">_xlfn.IFNA(INDEX('DMR 001C NEW'!$A$3:$O$999,MATCH(('001-C DMR'!$FF$6&amp;'001-C DMR'!FR$10&amp;'001-C DMR'!$B29),('DMR 001C NEW'!$E$3:$E$1112&amp;'DMR 001C NEW'!$B$3:$B$1112&amp;'DMR 001C NEW'!$A$3:$A$1112),0),MATCH('001-C DMR'!$FH$11,'DMR 001C NEW'!$A$2:$O$2,0)),"")</f>
        <v/>
      </c>
      <c r="FS29" s="280" t="str">
        <f t="array" ref="FS29">_xlfn.IFNA(INDEX('DMR 001C NEW'!$A$3:$O$999,MATCH(('001-C DMR'!$FF$6&amp;'001-C DMR'!FS$10&amp;'001-C DMR'!$B29),('DMR 001C NEW'!$E$3:$E$1112&amp;'DMR 001C NEW'!$B$3:$B$1112&amp;'DMR 001C NEW'!$A$3:$A$1112),0),MATCH('001-C DMR'!$FH$11,'DMR 001C NEW'!$A$2:$O$2,0)),"")</f>
        <v/>
      </c>
      <c r="FT29" s="280" t="str">
        <f t="array" ref="FT29">_xlfn.IFNA(INDEX('DMR 001C NEW'!$A$3:$O$999,MATCH(('001-C DMR'!$FF$6&amp;'001-C DMR'!FT$10&amp;'001-C DMR'!$B29),('DMR 001C NEW'!$E$3:$E$1112&amp;'DMR 001C NEW'!$B$3:$B$1112&amp;'DMR 001C NEW'!$A$3:$A$1112),0),MATCH('001-C DMR'!$FH$11,'DMR 001C NEW'!$A$2:$O$2,0)),"")</f>
        <v/>
      </c>
      <c r="FU29" s="280" t="str">
        <f t="array" ref="FU29">_xlfn.IFNA(INDEX('DMR 001C NEW'!$A$3:$O$999,MATCH(('001-C DMR'!$FF$6&amp;'001-C DMR'!FU$10&amp;'001-C DMR'!$B29),('DMR 001C NEW'!$E$3:$E$1112&amp;'DMR 001C NEW'!$B$3:$B$1112&amp;'DMR 001C NEW'!$A$3:$A$1112),0),MATCH('001-C DMR'!$FH$11,'DMR 001C NEW'!$A$2:$O$2,0)),"")</f>
        <v/>
      </c>
      <c r="FV29" s="66"/>
      <c r="FW29" s="61" t="str">
        <f t="shared" si="24"/>
        <v/>
      </c>
      <c r="FX29" s="58" t="str">
        <f t="array" ref="FX29">_xlfn.IFNA(INDEX('DMR 001C NEW'!$A$3:$O$9999,MATCH(('001-C DMR'!$FW$6&amp;'001-C DMR'!$FW$10&amp;'001-C DMR'!$B29),('DMR 001C NEW'!$E$3:$E$7246&amp;'DMR 001C NEW'!$B$3:$B$7246&amp;'DMR 001C NEW'!$A$3:$A$7246),0),MATCH('001-C DMR'!$FX$11,'DMR 001C NEW'!$A$2:$O$2,0)),"")</f>
        <v/>
      </c>
      <c r="FY29" s="58" t="str">
        <f t="array" ref="FY29">_xlfn.IFNA(INDEX('DMR 001C NEW'!$A$3:$O$9999,MATCH(('001-C DMR'!$FW$6&amp;'001-C DMR'!$FW$10&amp;'001-C DMR'!$B29),('DMR 001C NEW'!$E$3:$E$7246&amp;'DMR 001C NEW'!$B$3:$B$7246&amp;'DMR 001C NEW'!$A$3:$A$7246),0),MATCH('001-C DMR'!$FY$11,'DMR 001C NEW'!$A$2:$O$2,0)),"")</f>
        <v/>
      </c>
      <c r="FZ29" s="57" t="str">
        <f t="shared" si="25"/>
        <v/>
      </c>
      <c r="GA29" s="58" t="str">
        <f t="array" ref="GA29">_xlfn.IFNA(INDEX('DMR 001C NEW'!$A$3:$O$9999,MATCH(('001-C DMR'!$FW$6&amp;'001-C DMR'!$FZ$10&amp;'001-C DMR'!$B29),('DMR 001C NEW'!$E$3:$E$7246&amp;'DMR 001C NEW'!$B$3:$B$7246&amp;'DMR 001C NEW'!$A$3:$A$7246),0),MATCH('001-C DMR'!$FX$11,'DMR 001C NEW'!$A$2:$O$2,0)),"")</f>
        <v/>
      </c>
      <c r="GB29" s="58" t="str">
        <f t="array" ref="GB29">_xlfn.IFNA(INDEX('DMR 001C NEW'!$A$3:$O$9999,MATCH(('001-C DMR'!$FW$6&amp;'001-C DMR'!$FZ$10&amp;'001-C DMR'!$B29),('DMR 001C NEW'!$E$3:$E$7246&amp;'DMR 001C NEW'!$B$3:$B$7246&amp;'DMR 001C NEW'!$A$3:$A$7246),0),MATCH('001-C DMR'!$GB$11,'DMR 001C NEW'!$A$2:$O$2,0)),"")</f>
        <v/>
      </c>
      <c r="GC29" s="56" t="str">
        <f t="shared" si="4"/>
        <v/>
      </c>
      <c r="GD29" s="64" t="str">
        <f t="shared" si="38"/>
        <v/>
      </c>
      <c r="GE29" s="279" t="str">
        <f t="array" ref="GE29">_xlfn.IFNA(INDEX('DMR 001C NEW'!$A$3:$O$999,MATCH(('001-C DMR'!$FW$6&amp;'001-C DMR'!GE$10&amp;'001-C DMR'!$B29),('DMR 001C NEW'!$E$3:$E$1112&amp;'DMR 001C NEW'!$B$3:$B$1112&amp;'DMR 001C NEW'!$A$3:$A$1112),0),MATCH('001-C DMR'!$FY$11,'DMR 001C NEW'!$A$2:$O$2,0)),"")</f>
        <v/>
      </c>
      <c r="GF29" s="280" t="str">
        <f t="array" ref="GF29">_xlfn.IFNA(INDEX('DMR 001C NEW'!$A$3:$O$999,MATCH(('001-C DMR'!$FW$6&amp;'001-C DMR'!GF$10&amp;'001-C DMR'!$B29),('DMR 001C NEW'!$E$3:$E$1112&amp;'DMR 001C NEW'!$B$3:$B$1112&amp;'DMR 001C NEW'!$A$3:$A$1112),0),MATCH('001-C DMR'!$FY$11,'DMR 001C NEW'!$A$2:$O$2,0)),"")</f>
        <v/>
      </c>
      <c r="GG29" s="280" t="str">
        <f t="array" ref="GG29">_xlfn.IFNA(INDEX('DMR 001C NEW'!$A$3:$O$999,MATCH(('001-C DMR'!$FW$6&amp;'001-C DMR'!GG$10&amp;'001-C DMR'!$B29),('DMR 001C NEW'!$E$3:$E$1112&amp;'DMR 001C NEW'!$B$3:$B$1112&amp;'DMR 001C NEW'!$A$3:$A$1112),0),MATCH('001-C DMR'!$FY$11,'DMR 001C NEW'!$A$2:$O$2,0)),"")</f>
        <v/>
      </c>
      <c r="GH29" s="280" t="str">
        <f t="array" ref="GH29">_xlfn.IFNA(INDEX('DMR 001C NEW'!$A$3:$O$999,MATCH(('001-C DMR'!$FW$6&amp;'001-C DMR'!GH$10&amp;'001-C DMR'!$B29),('DMR 001C NEW'!$E$3:$E$1112&amp;'DMR 001C NEW'!$B$3:$B$1112&amp;'DMR 001C NEW'!$A$3:$A$1112),0),MATCH('001-C DMR'!$FY$11,'DMR 001C NEW'!$A$2:$O$2,0)),"")</f>
        <v/>
      </c>
      <c r="GI29" s="280" t="str">
        <f t="array" ref="GI29">_xlfn.IFNA(INDEX('DMR 001C NEW'!$A$3:$O$999,MATCH(('001-C DMR'!$FW$6&amp;'001-C DMR'!GI$10&amp;'001-C DMR'!$B29),('DMR 001C NEW'!$E$3:$E$1112&amp;'DMR 001C NEW'!$B$3:$B$1112&amp;'DMR 001C NEW'!$A$3:$A$1112),0),MATCH('001-C DMR'!$FY$11,'DMR 001C NEW'!$A$2:$O$2,0)),"")</f>
        <v/>
      </c>
      <c r="GJ29" s="281" t="str">
        <f t="array" ref="GJ29">_xlfn.IFNA(INDEX('DMR 001C NEW'!$A$3:$O$999,MATCH(('001-C DMR'!$FW$6&amp;'001-C DMR'!GJ$10&amp;'001-C DMR'!$B29),('DMR 001C NEW'!$E$3:$E$1112&amp;'DMR 001C NEW'!$B$3:$B$1112&amp;'DMR 001C NEW'!$A$3:$A$1112),0),MATCH('001-C DMR'!$FY$11,'DMR 001C NEW'!$A$2:$O$2,0)),"")</f>
        <v/>
      </c>
      <c r="GK29" s="58" t="str">
        <f t="array" ref="GK29">_xlfn.IFNA(INDEX('DMR 001C NEW'!$A$3:$O$9999,MATCH(('001-C DMR'!$GK$6&amp;'001-C DMR'!$GK$10&amp;'001-C DMR'!$B29),('DMR 001C NEW'!$E$3:$E$9018&amp;'DMR 001C NEW'!$B$3:$B$9018&amp;'DMR 001C NEW'!$A$3:$A$9018),0),MATCH('001-C DMR'!$GK$11,'DMR 001C NEW'!$A$2:$O$2,0)),"")</f>
        <v>n</v>
      </c>
      <c r="GL29" s="58" t="str">
        <f t="array" ref="GL29">_xlfn.IFNA(INDEX('DMR 001C NEW'!$A$3:$O$9999,MATCH(('001-C DMR'!$GK$6&amp;'001-C DMR'!$GL$10&amp;'001-C DMR'!$B29),('DMR 001C NEW'!$E$3:$E$9018&amp;'DMR 001C NEW'!$B$3:$B$9018&amp;'DMR 001C NEW'!$A$3:$A$9018),0),MATCH('001-C DMR'!$GK$11,'DMR 001C NEW'!$A$2:$O$2,0)),"")</f>
        <v>n</v>
      </c>
      <c r="GM29" s="134"/>
      <c r="GN29" s="64" t="str">
        <f t="shared" si="44"/>
        <v/>
      </c>
    </row>
    <row r="30" spans="1:282" s="51" customFormat="1" x14ac:dyDescent="0.25">
      <c r="A30" s="67" t="str">
        <f t="shared" si="5"/>
        <v>Thu</v>
      </c>
      <c r="B30" s="216">
        <f t="shared" si="26"/>
        <v>43692</v>
      </c>
      <c r="C30" s="93">
        <f t="array" ref="C30">INDEX('DMR 001C NEW'!$A$3:$N$10020,MATCH(('001-C DMR'!$C$6:$K$6&amp;'001-C DMR'!$C$10:$E$10&amp;'001-C DMR'!$B30),('DMR 001C NEW'!$E$3:$E$7246&amp;'DMR 001C NEW'!$B$3:$B$7246&amp;'DMR 001C NEW'!$A$3:$A$7246),0),MATCH('001-C DMR'!$C$11,'DMR 001C NEW'!$A$2:$O$2,0))</f>
        <v>5.8</v>
      </c>
      <c r="D30" s="56" t="str">
        <f t="array" ref="D30">INDEX('DMR 001C NEW'!$A$3:$N$11771,MATCH(('001-C DMR'!$C$6:$K$6&amp;'001-C DMR'!$C$10:$E$10&amp;'001-C DMR'!$B30),('DMR 001C NEW'!$E$3:$E$9018&amp;'DMR 001C NEW'!$B$3:$B$9018&amp;'DMR 001C NEW'!$A$3:$A$9018),0),MATCH('001-C DMR'!$D$11,'DMR 001C NEW'!$A$2:$O$2,0))</f>
        <v>AE69500</v>
      </c>
      <c r="E30" s="56">
        <f t="array" ref="E30">INDEX('DMR 001C NEW'!$A$3:$N$9999,MATCH(('001-C DMR'!$E$11&amp;'001-C DMR'!$C$10:$E$10&amp;'001-C DMR'!$B30&amp;$D30),('DMR 001C NEW'!$E$3:$E$7246&amp;'DMR 001C NEW'!$B$3:$B$7246&amp;'DMR 001C NEW'!$A$3:$A$7246&amp;'DMR 001C NEW'!$M$3:$M$7188),0),MATCH($C$11,'DMR 001C NEW'!$A$2:$O$2,0))</f>
        <v>45.93</v>
      </c>
      <c r="F30" s="56">
        <f t="array" ref="F30">INDEX('DMR 001C NEW'!$A$3:$N$9999,MATCH('001-C DMR'!$C$6:$K$6&amp;'001-C DMR'!$F$10&amp;'001-C DMR'!$B30,('DMR 001C NEW'!$E$3:$E$7246&amp;'DMR 001C NEW'!$B$3:$B$7246&amp;'DMR 001C NEW'!$A$3:$A$7246),0),MATCH('001-C DMR'!$C$11,'DMR 001C NEW'!$A$2:$O$2,0))</f>
        <v>6.5</v>
      </c>
      <c r="G30" s="56" t="str">
        <f t="array" ref="G30">INDEX('DMR 001C NEW'!$A$3:$N$3865,MATCH(('001-C DMR'!$C$6:$K$6&amp;'001-C DMR'!$F$10&amp;'001-C DMR'!$B30),('DMR 001C NEW'!$E$3:$E$1112&amp;'DMR 001C NEW'!$B$3:$B$1112&amp;'DMR 001C NEW'!$A$3:$A$1112),0),MATCH('001-C DMR'!$D$11,'DMR 001C NEW'!$A$2:$O$2,0))</f>
        <v>AE69501</v>
      </c>
      <c r="H30" s="56">
        <f t="array" ref="H30">INDEX('DMR 001C NEW'!$A$3:$N$9999,MATCH(('001-C DMR'!$E$11&amp;'001-C DMR'!$F$10&amp;'001-C DMR'!$B30&amp;$G30),('DMR 001C NEW'!$E$3:$E$7246&amp;'DMR 001C NEW'!$B$3:$B$7246&amp;'DMR 001C NEW'!$A$3:$A$7246&amp;'DMR 001C NEW'!$M$3:$M$7188),0),MATCH($C$11,'DMR 001C NEW'!$A$2:$O$2,0))</f>
        <v>83.9</v>
      </c>
      <c r="I30" s="56">
        <f t="shared" si="0"/>
        <v>6.2523607794808589</v>
      </c>
      <c r="J30" s="58" t="str">
        <f t="shared" si="39"/>
        <v/>
      </c>
      <c r="K30" s="64" t="str">
        <f t="shared" si="40"/>
        <v/>
      </c>
      <c r="L30" s="262" t="str">
        <f t="array" ref="L30">_xlfn.IFNA(INDEX('DMR 001C NEW'!$A$3:$N$3865,MATCH(('001-C DMR'!$C$6:$K$6&amp;'001-C DMR'!L$10&amp;'001-C DMR'!$B30),('DMR 001C NEW'!$E$3:$E$1112&amp;'DMR 001C NEW'!$B$3:$B$1112&amp;'DMR 001C NEW'!$A$3:$A$1112),0),MATCH('001-C DMR'!$C$11,'DMR 001C NEW'!$A$2:$O$2,0)),"")</f>
        <v/>
      </c>
      <c r="M30" s="262" t="str">
        <f t="array" ref="M30">_xlfn.IFNA(INDEX('DMR 001C NEW'!$A$3:$N$3865,MATCH(('001-C DMR'!$C$6:$K$6&amp;'001-C DMR'!M$10&amp;'001-C DMR'!$B30),('DMR 001C NEW'!$E$3:$E$1112&amp;'DMR 001C NEW'!$B$3:$B$1112&amp;'DMR 001C NEW'!$A$3:$A$1112),0),MATCH('001-C DMR'!$C$11,'DMR 001C NEW'!$A$2:$O$2,0)),"")</f>
        <v/>
      </c>
      <c r="N30" s="262" t="str">
        <f t="array" ref="N30">_xlfn.IFNA(INDEX('DMR 001C NEW'!$A$3:$N$3865,MATCH(('001-C DMR'!$C$6:$K$6&amp;'001-C DMR'!N$10&amp;'001-C DMR'!$B30),('DMR 001C NEW'!$E$3:$E$1112&amp;'DMR 001C NEW'!$B$3:$B$1112&amp;'DMR 001C NEW'!$A$3:$A$1112),0),MATCH('001-C DMR'!$C$11,'DMR 001C NEW'!$A$2:$O$2,0)),"")</f>
        <v/>
      </c>
      <c r="O30" s="262" t="str">
        <f t="array" ref="O30">_xlfn.IFNA(INDEX('DMR 001C NEW'!$A$3:$N$3865,MATCH(('001-C DMR'!$C$6:$K$6&amp;'001-C DMR'!O$10&amp;'001-C DMR'!$B30),('DMR 001C NEW'!$E$3:$E$1112&amp;'DMR 001C NEW'!$B$3:$B$1112&amp;'DMR 001C NEW'!$A$3:$A$1112),0),MATCH('001-C DMR'!$C$11,'DMR 001C NEW'!$A$2:$O$2,0)),"")</f>
        <v/>
      </c>
      <c r="P30" s="262" t="str">
        <f t="array" ref="P30">_xlfn.IFNA(INDEX('DMR 001C NEW'!$A$3:$N$3865,MATCH(('001-C DMR'!$C$6:$K$6&amp;'001-C DMR'!P$10&amp;'001-C DMR'!$B30),('DMR 001C NEW'!$E$3:$E$1112&amp;'DMR 001C NEW'!$B$3:$B$1112&amp;'DMR 001C NEW'!$A$3:$A$1112),0),MATCH('001-C DMR'!$C$11,'DMR 001C NEW'!$A$2:$O$2,0)),"")</f>
        <v/>
      </c>
      <c r="Q30" s="120" t="e">
        <f t="array" ref="Q30">INDEX('DMR 001C NEW'!$A$3:$N$3865,MATCH(('001-C DMR'!$C$6:$K$6&amp;'001-C DMR'!Q$10&amp;'001-C DMR'!$B30),('DMR 001C NEW'!$E$3:$E$1112&amp;'DMR 001C NEW'!$B$3:$B$1112&amp;'DMR 001C NEW'!$A$3:$A$1112),0),MATCH('001-C DMR'!$C$11,'DMR 001C NEW'!$A$2:$O$2,0))</f>
        <v>#N/A</v>
      </c>
      <c r="R30" s="61"/>
      <c r="S30" s="56">
        <f t="array" ref="S30">_xlfn.IFNA(INDEX('DMR 001C NEW'!$A$3:$N$11771,MATCH(('001-C DMR'!$R$6:$T$6&amp;'001-C DMR'!$R$10&amp;'001-C DMR'!$B30),('DMR 001C NEW'!$E$3:$E$9018&amp;'DMR 001C NEW'!$B$3:$B$9018&amp;'DMR 001C NEW'!$A$3:$A$9018),0),MATCH('001-C DMR'!$S$11,'DMR 001C NEW'!$A$2:$O$2,0)),"")</f>
        <v>7</v>
      </c>
      <c r="T30" s="64" t="str">
        <f t="shared" si="41"/>
        <v/>
      </c>
      <c r="U30" s="262" t="str">
        <f t="array" ref="U30">_xlfn.IFNA(INDEX('DMR 001C NEW'!$A$3:$O$591,MATCH('001-C DMR'!$R$6:$T$6&amp;'001-C DMR'!U$10&amp;'001-C DMR'!$B30,('DMR 001C NEW'!$E$3:$E$704&amp;'DMR 001C NEW'!$B$3:$B$704&amp;'DMR 001C NEW'!$A$3:$A$704),0),MATCH('001-C DMR'!$U$11,'DMR 001C NEW'!$A$2:$O$2,0)),"")</f>
        <v/>
      </c>
      <c r="V30" s="262" t="str">
        <f t="array" ref="V30">_xlfn.IFNA(INDEX('DMR 001C NEW'!$A$3:$O$591,MATCH('001-C DMR'!$R$6:$T$6&amp;'001-C DMR'!V$10&amp;'001-C DMR'!$B30,('DMR 001C NEW'!$E$3:$E$704&amp;'DMR 001C NEW'!$B$3:$B$704&amp;'DMR 001C NEW'!$A$3:$A$704),0),MATCH('001-C DMR'!$U$11,'DMR 001C NEW'!$A$2:$O$2,0)),"")</f>
        <v/>
      </c>
      <c r="W30" s="262" t="str">
        <f t="array" ref="W30">_xlfn.IFNA(INDEX('DMR 001C NEW'!$A$3:$O$591,MATCH('001-C DMR'!$R$6:$T$6&amp;'001-C DMR'!W$10&amp;'001-C DMR'!$B30,('DMR 001C NEW'!$E$3:$E$704&amp;'DMR 001C NEW'!$B$3:$B$704&amp;'DMR 001C NEW'!$A$3:$A$704),0),MATCH('001-C DMR'!$U$11,'DMR 001C NEW'!$A$2:$O$2,0)),"")</f>
        <v/>
      </c>
      <c r="X30" s="262" t="str">
        <f t="array" ref="X30">_xlfn.IFNA(INDEX('DMR 001C NEW'!$A$3:$O$591,MATCH('001-C DMR'!$R$6:$T$6&amp;'001-C DMR'!X$10&amp;'001-C DMR'!$B30,('DMR 001C NEW'!$E$3:$E$704&amp;'DMR 001C NEW'!$B$3:$B$704&amp;'DMR 001C NEW'!$A$3:$A$704),0),MATCH('001-C DMR'!$U$11,'DMR 001C NEW'!$A$2:$O$2,0)),"")</f>
        <v/>
      </c>
      <c r="Y30" s="262" t="str">
        <f t="array" ref="Y30">_xlfn.IFNA(INDEX('DMR 001C NEW'!$A$3:$O$591,MATCH('001-C DMR'!$R$6:$T$6&amp;'001-C DMR'!Y$10&amp;'001-C DMR'!$B30,('DMR 001C NEW'!$E$3:$E$704&amp;'DMR 001C NEW'!$B$3:$B$704&amp;'DMR 001C NEW'!$A$3:$A$704),0),MATCH('001-C DMR'!$U$11,'DMR 001C NEW'!$A$2:$O$2,0)),"")</f>
        <v/>
      </c>
      <c r="Z30" s="262" t="str">
        <f t="array" ref="Z30">_xlfn.IFNA(INDEX('DMR 001C NEW'!$A$3:$O$591,MATCH('001-C DMR'!$R$6:$T$6&amp;'001-C DMR'!Z$10&amp;'001-C DMR'!$B30,('DMR 001C NEW'!$E$3:$E$704&amp;'DMR 001C NEW'!$B$3:$B$704&amp;'DMR 001C NEW'!$A$3:$A$704),0),MATCH('001-C DMR'!$U$11,'DMR 001C NEW'!$A$2:$O$2,0)),"")</f>
        <v/>
      </c>
      <c r="AA30" s="262" t="str">
        <f t="array" ref="AA30">_xlfn.IFNA(INDEX('DMR 001C NEW'!$A$3:$O$591,MATCH('001-C DMR'!$R$6:$T$6&amp;'001-C DMR'!AA$10&amp;'001-C DMR'!$B30,('DMR 001C NEW'!$E$3:$E$704&amp;'DMR 001C NEW'!$B$3:$B$704&amp;'DMR 001C NEW'!$A$3:$A$704),0),MATCH('001-C DMR'!$U$11,'DMR 001C NEW'!$A$2:$O$2,0)),"")</f>
        <v/>
      </c>
      <c r="AB30" s="61" t="str">
        <f t="array" ref="AB30">IF(AD30&lt;AC30,"&lt;","")</f>
        <v/>
      </c>
      <c r="AC30" s="56">
        <f t="array" ref="AC30">_xlfn.IFNA(INDEX('DMR 001C NEW'!$A$3:$O$9999,MATCH(('001-C DMR'!$AB$6:$AJ$6&amp;'001-C DMR'!$AB$10:$AD$10&amp;'001-C DMR'!$B30),('DMR 001C NEW'!$E$3:$E$7246&amp;'DMR 001C NEW'!$B$3:$B$7246&amp;'DMR 001C NEW'!$A$3:$A$7246),0),MATCH('001-C DMR'!$AC$11,'DMR 001C NEW'!$A$2:$O$2,0)),"")</f>
        <v>3</v>
      </c>
      <c r="AD30" s="56">
        <f t="array" ref="AD30">_xlfn.IFNA(INDEX('DMR 001C NEW'!$A$3:$O$9999,MATCH(('001-C DMR'!$AB$6:$AJ$6&amp;'001-C DMR'!$AB$10:$AD$10&amp;'001-C DMR'!$B30),('DMR 001C NEW'!$E$3:$E$7246&amp;'DMR 001C NEW'!$B$3:$B$7246&amp;'DMR 001C NEW'!$A$3:$A$7246),0),MATCH('001-C DMR'!$AD$11,'DMR 001C NEW'!$A$2:$O$2,0)),"")</f>
        <v>10</v>
      </c>
      <c r="AE30" s="57" t="str">
        <f t="array" ref="AE30">IF(AG30&lt;AF30,"&lt;","")</f>
        <v/>
      </c>
      <c r="AF30" s="56">
        <f t="array" ref="AF30">_xlfn.IFNA(INDEX('DMR 001C NEW'!$A$3:$O$9999,MATCH(('001-C DMR'!$AB$6:$AJ$6&amp;'001-C DMR'!$AE$10&amp;'001-C DMR'!$B30),('DMR 001C NEW'!$E$3:$E$9018&amp;'DMR 001C NEW'!$B$3:$B$9018&amp;'DMR 001C NEW'!$A$3:$A$9018),0),MATCH('001-C DMR'!$AF$11,'DMR 001C NEW'!$A$2:$O$2,0)),"")</f>
        <v>3</v>
      </c>
      <c r="AG30" s="56">
        <f t="array" ref="AG30">_xlfn.IFNA(INDEX('DMR 001C NEW'!$A$3:$O$9999,MATCH(('001-C DMR'!$AB$6:$AJ$6&amp;'001-C DMR'!$AE$10&amp;'001-C DMR'!$B30),('DMR 001C NEW'!$E$3:$E$9018&amp;'DMR 001C NEW'!$B$3:$B$9018&amp;'DMR 001C NEW'!$A$3:$A$9018),0),MATCH('001-C DMR'!$AG$11,'DMR 001C NEW'!$A$2:$O$2,0)),"")</f>
        <v>14</v>
      </c>
      <c r="AH30" s="56">
        <f t="array" ref="AH30">IFERROR((($AD30*$EI30)+($AG30*$EJ30))/($EK30),"")</f>
        <v>12.62241044121944</v>
      </c>
      <c r="AI30" s="56" t="str">
        <f t="shared" si="42"/>
        <v/>
      </c>
      <c r="AJ30" s="64" t="str">
        <f t="shared" si="30"/>
        <v/>
      </c>
      <c r="AK30" s="262" t="str">
        <f t="array" ref="AK30">_xlfn.IFNA(INDEX('DMR 001C NEW'!$A$3:$O$999,MATCH(('001-C DMR'!$AB$6:$AJ$6&amp;'001-C DMR'!AK$10&amp;'001-C DMR'!$B30),('DMR 001C NEW'!$E$3:$E$1112&amp;'DMR 001C NEW'!$B$3:$B$1112&amp;'DMR 001C NEW'!$A$3:$A$1112),0),MATCH('001-C DMR'!$AD$11,'DMR 001C NEW'!$A$2:$O$2,0)),"")</f>
        <v/>
      </c>
      <c r="AL30" s="262" t="str">
        <f t="array" ref="AL30">_xlfn.IFNA(INDEX('DMR 001C NEW'!$A$3:$O$999,MATCH(('001-C DMR'!$AB$6:$AJ$6&amp;'001-C DMR'!AL$10&amp;'001-C DMR'!$B30),('DMR 001C NEW'!$E$3:$E$1112&amp;'DMR 001C NEW'!$B$3:$B$1112&amp;'DMR 001C NEW'!$A$3:$A$1112),0),MATCH('001-C DMR'!$AD$11,'DMR 001C NEW'!$A$2:$O$2,0)),"")</f>
        <v/>
      </c>
      <c r="AM30" s="262" t="str">
        <f t="array" ref="AM30">_xlfn.IFNA(INDEX('DMR 001C NEW'!$A$3:$O$999,MATCH(('001-C DMR'!$AB$6:$AJ$6&amp;'001-C DMR'!AM$10&amp;'001-C DMR'!$B30),('DMR 001C NEW'!$E$3:$E$1112&amp;'DMR 001C NEW'!$B$3:$B$1112&amp;'DMR 001C NEW'!$A$3:$A$1112),0),MATCH('001-C DMR'!$AD$11,'DMR 001C NEW'!$A$2:$O$2,0)),"")</f>
        <v/>
      </c>
      <c r="AN30" s="262" t="str">
        <f t="array" ref="AN30">_xlfn.IFNA(INDEX('DMR 001C NEW'!$A$3:$O$999,MATCH(('001-C DMR'!$AB$6:$AJ$6&amp;'001-C DMR'!AN$10&amp;'001-C DMR'!$B30),('DMR 001C NEW'!$E$3:$E$1112&amp;'DMR 001C NEW'!$B$3:$B$1112&amp;'DMR 001C NEW'!$A$3:$A$1112),0),MATCH('001-C DMR'!$AD$11,'DMR 001C NEW'!$A$2:$O$2,0)),"")</f>
        <v/>
      </c>
      <c r="AO30" s="262" t="str">
        <f t="array" ref="AO30">_xlfn.IFNA(INDEX('DMR 001C NEW'!$A$3:$O$999,MATCH(('001-C DMR'!$AB$6:$AJ$6&amp;'001-C DMR'!AO$10&amp;'001-C DMR'!$B30),('DMR 001C NEW'!$E$3:$E$1112&amp;'DMR 001C NEW'!$B$3:$B$1112&amp;'DMR 001C NEW'!$A$3:$A$1112),0),MATCH('001-C DMR'!$AD$11,'DMR 001C NEW'!$A$2:$O$2,0)),"")</f>
        <v/>
      </c>
      <c r="AP30" s="262" t="str">
        <f t="array" ref="AP30">_xlfn.IFNA(INDEX('DMR 001C NEW'!$A$3:$O$999,MATCH(('001-C DMR'!$AB$6:$AJ$6&amp;'001-C DMR'!AP$10&amp;'001-C DMR'!$B30),('DMR 001C NEW'!$E$3:$E$1112&amp;'DMR 001C NEW'!$B$3:$B$1112&amp;'DMR 001C NEW'!$A$3:$A$1112),0),MATCH('001-C DMR'!$AD$11,'DMR 001C NEW'!$A$2:$O$2,0)),"")</f>
        <v/>
      </c>
      <c r="AQ30" s="61" t="str">
        <f t="array" ref="AQ30">IF(AS30&lt;AR30,"&lt;","")</f>
        <v/>
      </c>
      <c r="AR30" s="58">
        <f t="array" ref="AR30">_xlfn.IFNA((INDEX('DMR 001C NEW'!$A$3:$O$9999,MATCH(('001-C DMR'!$AQ$6:$AZ$6&amp;'001-C DMR'!$AQ$10:$AS$10&amp;'001-C DMR'!$B30),('DMR 001C NEW'!$E$3:$E$7246&amp;'DMR 001C NEW'!$B$3:$B$7246&amp;'DMR 001C NEW'!$A$3:$A$7246),0),MATCH('001-C DMR'!$AR$11,'DMR 001C NEW'!$A$2:$O$2,0))),"")</f>
        <v>0.15</v>
      </c>
      <c r="AS30" s="58">
        <f t="array" ref="AS30">_xlfn.IFNA(INDEX('DMR 001C NEW'!$A$3:$O$9999,MATCH(('001-C DMR'!$AQ$6:$AZ$6&amp;'001-C DMR'!$AQ$10:$AS$10&amp;'001-C DMR'!$B30),('DMR 001C NEW'!$E$3:$E$7246&amp;'DMR 001C NEW'!$B$3:$B$7246&amp;'DMR 001C NEW'!$A$3:$A$7246),0),MATCH('001-C DMR'!$AS$11,'DMR 001C NEW'!$A$2:$O$2,0)),"")</f>
        <v>0.34</v>
      </c>
      <c r="AT30" s="58">
        <f t="shared" si="27"/>
        <v>0.34</v>
      </c>
      <c r="AU30" s="57" t="str">
        <f t="array" ref="AU30">IF(AW30&lt;AV30,"&lt;","")</f>
        <v/>
      </c>
      <c r="AV30" s="58">
        <f t="array" ref="AV30">_xlfn.IFNA((INDEX('DMR 001C NEW'!$A$3:$O$9999,MATCH(('001-C DMR'!$AQ$6:$AZ$6&amp;'001-C DMR'!$AU$10&amp;'001-C DMR'!$B30),('DMR 001C NEW'!$E$3:$E$7246&amp;'DMR 001C NEW'!$B$3:$B$7246&amp;'DMR 001C NEW'!$A$3:$A$7246),0),MATCH('001-C DMR'!$AR$11,'DMR 001C NEW'!$A$2:$O$2,0))),"")</f>
        <v>0.15</v>
      </c>
      <c r="AW30" s="58">
        <f t="array" ref="AW30">_xlfn.IFNA(INDEX('DMR 001C NEW'!$A$3:$O$9999,MATCH(('001-C DMR'!$AQ$6:$AZ$6&amp;'001-C DMR'!$AU$10&amp;'001-C DMR'!$B30),('DMR 001C NEW'!$E$3:$E$7246&amp;'DMR 001C NEW'!$B$3:$B$7246&amp;'DMR 001C NEW'!$A$3:$A$7246),0),MATCH('001-C DMR'!$AW$11,'DMR 001C NEW'!$A$2:$O$2,0)),"")</f>
        <v>1.1599999999999999</v>
      </c>
      <c r="AX30" s="58">
        <f t="shared" si="6"/>
        <v>1.1599999999999999</v>
      </c>
      <c r="AY30" s="56">
        <f t="array" ref="AY30">IFERROR((($AT30*$EI30)+($AX30*$EJ30))/($EK30),"")</f>
        <v>0.87759414044998529</v>
      </c>
      <c r="AZ30" s="64" t="str">
        <f t="shared" si="31"/>
        <v/>
      </c>
      <c r="BA30" s="279" t="str">
        <f t="array" ref="BA30">_xlfn.IFNA(INDEX('DMR 001C NEW'!$A$3:$O$9999,MATCH(('001-C DMR'!$AQ$6:$AZ$6&amp;'001-C DMR'!BA$10&amp;'001-C DMR'!$B30),('DMR 001C NEW'!$E$3:$E$1112&amp;'DMR 001C NEW'!$B$3:$B$1112&amp;'DMR 001C NEW'!$A$3:$A$1112),0),MATCH('001-C DMR'!$BA$11,'DMR 001C NEW'!$A$2:$O$2,0)),"")</f>
        <v/>
      </c>
      <c r="BB30" s="280" t="str">
        <f t="array" ref="BB30">_xlfn.IFNA(INDEX('DMR 001C NEW'!$A$3:$O$9999,MATCH(('001-C DMR'!$AQ$6:$AZ$6&amp;'001-C DMR'!BB$10&amp;'001-C DMR'!$B30),('DMR 001C NEW'!$E$3:$E$1112&amp;'DMR 001C NEW'!$B$3:$B$1112&amp;'DMR 001C NEW'!$A$3:$A$1112),0),MATCH('001-C DMR'!$BA$11,'DMR 001C NEW'!$A$2:$O$2,0)),"")</f>
        <v/>
      </c>
      <c r="BC30" s="280" t="str">
        <f t="array" ref="BC30">_xlfn.IFNA(INDEX('DMR 001C NEW'!$A$3:$O$9999,MATCH(('001-C DMR'!$AQ$6:$AZ$6&amp;'001-C DMR'!BC$10&amp;'001-C DMR'!$B30),('DMR 001C NEW'!$E$3:$E$1112&amp;'DMR 001C NEW'!$B$3:$B$1112&amp;'DMR 001C NEW'!$A$3:$A$1112),0),MATCH('001-C DMR'!$BA$11,'DMR 001C NEW'!$A$2:$O$2,0)),"")</f>
        <v/>
      </c>
      <c r="BD30" s="280" t="str">
        <f t="array" ref="BD30">_xlfn.IFNA(INDEX('DMR 001C NEW'!$A$3:$O$9999,MATCH(('001-C DMR'!$AQ$6:$AZ$6&amp;'001-C DMR'!BD$10&amp;'001-C DMR'!$B30),('DMR 001C NEW'!$E$3:$E$1112&amp;'DMR 001C NEW'!$B$3:$B$1112&amp;'DMR 001C NEW'!$A$3:$A$1112),0),MATCH('001-C DMR'!$BA$11,'DMR 001C NEW'!$A$2:$O$2,0)),"")</f>
        <v/>
      </c>
      <c r="BE30" s="280" t="str">
        <f t="array" ref="BE30">_xlfn.IFNA(INDEX('DMR 001C NEW'!$A$3:$O$9999,MATCH(('001-C DMR'!$AQ$6:$AZ$6&amp;'001-C DMR'!BE$10&amp;'001-C DMR'!$B30),('DMR 001C NEW'!$E$3:$E$1112&amp;'DMR 001C NEW'!$B$3:$B$1112&amp;'DMR 001C NEW'!$A$3:$A$1112),0),MATCH('001-C DMR'!$BA$11,'DMR 001C NEW'!$A$2:$O$2,0)),"")</f>
        <v/>
      </c>
      <c r="BF30" s="281" t="str">
        <f t="array" ref="BF30">_xlfn.IFNA(INDEX('DMR 001C NEW'!$A$3:$O$9999,MATCH(('001-C DMR'!$AQ$6:$AZ$6&amp;'001-C DMR'!BF$10&amp;'001-C DMR'!$B30),('DMR 001C NEW'!$E$3:$E$1112&amp;'DMR 001C NEW'!$B$3:$B$1112&amp;'DMR 001C NEW'!$A$3:$A$1112),0),MATCH('001-C DMR'!$BA$11,'DMR 001C NEW'!$A$2:$O$2,0)),"")</f>
        <v/>
      </c>
      <c r="BG30" s="57"/>
      <c r="BH30" s="58">
        <f t="array" ref="BH30">_xlfn.IFNA((INDEX('DMR 001C NEW'!$A$3:$O$9999,MATCH(('001-C DMR'!$BG$6&amp;'001-C DMR'!$BG$10&amp;'001-C DMR'!$B30),('DMR 001C NEW'!$E$3:$E$7246&amp;'DMR 001C NEW'!$B$3:$B$7246&amp;'DMR 001C NEW'!$A$3:$A$7246),0),MATCH('001-C DMR'!$BH$11,'DMR 001C NEW'!$A$2:$O$2,0))),"")</f>
        <v>0.06</v>
      </c>
      <c r="BI30" s="58">
        <f t="array" ref="BI30">_xlfn.IFNA(INDEX('DMR 001C NEW'!$A$3:$O$9999,MATCH(('001-C DMR'!$BG$6&amp;'001-C DMR'!$BG$10&amp;'001-C DMR'!$B30),('DMR 001C NEW'!$E$3:$E$7246&amp;'DMR 001C NEW'!$B$3:$B$7246&amp;'DMR 001C NEW'!$A$3:$A$7246),0),MATCH('001-C DMR'!$BI$11,'DMR 001C NEW'!$A$2:$O$2,0)),"")</f>
        <v>3.89</v>
      </c>
      <c r="BJ30" s="58">
        <f t="shared" si="7"/>
        <v>3.89</v>
      </c>
      <c r="BK30" s="57" t="str">
        <f t="shared" si="8"/>
        <v/>
      </c>
      <c r="BL30" s="58">
        <f t="array" ref="BL30">_xlfn.IFNA((INDEX('DMR 001C NEW'!$A$3:$O$9999,MATCH(('001-C DMR'!$BG$6&amp;'001-C DMR'!$BK$10&amp;'001-C DMR'!$B30),('DMR 001C NEW'!$E$3:$E$7246&amp;'DMR 001C NEW'!$B$3:$B$7246&amp;'DMR 001C NEW'!$A$3:$A$7246),0),MATCH('001-C DMR'!$BH$11,'DMR 001C NEW'!$A$2:$O$2,0))),"")</f>
        <v>0.06</v>
      </c>
      <c r="BM30" s="58">
        <f t="array" ref="BM30">_xlfn.IFNA(INDEX('DMR 001C NEW'!$A$3:$O$9999,MATCH(('001-C DMR'!$BG$6&amp;'001-C DMR'!$BK$10&amp;'001-C DMR'!$B30),('DMR 001C NEW'!$E$3:$E$7246&amp;'DMR 001C NEW'!$B$3:$B$7246&amp;'DMR 001C NEW'!$A$3:$A$7246),0),MATCH('001-C DMR'!$BI$11,'DMR 001C NEW'!$A$2:$O$2,0)),"")</f>
        <v>5.12</v>
      </c>
      <c r="BN30" s="58">
        <f t="shared" si="9"/>
        <v>5.12</v>
      </c>
      <c r="BO30" s="56">
        <f t="array" ref="BO30">IFERROR((($BJ30*$EI30)+($BN30*$EJ30))/($EK30),"")</f>
        <v>4.6963912106749781</v>
      </c>
      <c r="BP30" s="64" t="str">
        <f t="shared" si="32"/>
        <v/>
      </c>
      <c r="BQ30" s="280" t="str">
        <f t="array" ref="BQ30">_xlfn.IFNA(INDEX('DMR 001C NEW'!$A$3:$O$999,MATCH(('001-C DMR'!$BG$6&amp;'001-C DMR'!BQ$10&amp;'001-C DMR'!$B30),('DMR 001C NEW'!$E$3:$E$1112&amp;'DMR 001C NEW'!$B$3:$B$1112&amp;'DMR 001C NEW'!$A$3:$A$1112),0),MATCH('001-C DMR'!$BQ$11,'DMR 001C NEW'!$A$2:$O$2,0)),"")</f>
        <v/>
      </c>
      <c r="BR30" s="280" t="str">
        <f t="array" ref="BR30">_xlfn.IFNA(INDEX('DMR 001C NEW'!$A$3:$O$999,MATCH(('001-C DMR'!$BG$6&amp;'001-C DMR'!BR$10&amp;'001-C DMR'!$B30),('DMR 001C NEW'!$E$3:$E$1112&amp;'DMR 001C NEW'!$B$3:$B$1112&amp;'DMR 001C NEW'!$A$3:$A$1112),0),MATCH('001-C DMR'!$BQ$11,'DMR 001C NEW'!$A$2:$O$2,0)),"")</f>
        <v/>
      </c>
      <c r="BS30" s="280" t="str">
        <f t="array" ref="BS30">_xlfn.IFNA(INDEX('DMR 001C NEW'!$A$3:$O$999,MATCH(('001-C DMR'!$BG$6&amp;'001-C DMR'!BS$10&amp;'001-C DMR'!$B30),('DMR 001C NEW'!$E$3:$E$1112&amp;'DMR 001C NEW'!$B$3:$B$1112&amp;'DMR 001C NEW'!$A$3:$A$1112),0),MATCH('001-C DMR'!$BQ$11,'DMR 001C NEW'!$A$2:$O$2,0)),"")</f>
        <v/>
      </c>
      <c r="BT30" s="280" t="str">
        <f t="array" ref="BT30">_xlfn.IFNA(INDEX('DMR 001C NEW'!$A$3:$O$999,MATCH(('001-C DMR'!$BG$6&amp;'001-C DMR'!BT$10&amp;'001-C DMR'!$B30),('DMR 001C NEW'!$E$3:$E$1112&amp;'DMR 001C NEW'!$B$3:$B$1112&amp;'DMR 001C NEW'!$A$3:$A$1112),0),MATCH('001-C DMR'!$BQ$11,'DMR 001C NEW'!$A$2:$O$2,0)),"")</f>
        <v/>
      </c>
      <c r="BU30" s="280" t="str">
        <f t="array" ref="BU30">_xlfn.IFNA(INDEX('DMR 001C NEW'!$A$3:$O$999,MATCH(('001-C DMR'!$BG$6&amp;'001-C DMR'!BU$10&amp;'001-C DMR'!$B30),('DMR 001C NEW'!$E$3:$E$1112&amp;'DMR 001C NEW'!$B$3:$B$1112&amp;'DMR 001C NEW'!$A$3:$A$1112),0),MATCH('001-C DMR'!$BQ$11,'DMR 001C NEW'!$A$2:$O$2,0)),"")</f>
        <v/>
      </c>
      <c r="BV30" s="280" t="str">
        <f t="array" ref="BV30">_xlfn.IFNA(INDEX('DMR 001C NEW'!$A$3:$O$999,MATCH(('001-C DMR'!$BG$6&amp;'001-C DMR'!BV$10&amp;'001-C DMR'!$B30),('DMR 001C NEW'!$E$3:$E$1112&amp;'DMR 001C NEW'!$B$3:$B$1112&amp;'DMR 001C NEW'!$A$3:$A$1112),0),MATCH('001-C DMR'!$BQ$11,'DMR 001C NEW'!$A$2:$O$2,0)),"")</f>
        <v/>
      </c>
      <c r="BW30" s="65"/>
      <c r="BX30" s="65"/>
      <c r="BY30" s="57" t="str">
        <f t="shared" si="10"/>
        <v/>
      </c>
      <c r="BZ30" s="58" t="str">
        <f t="array" ref="BZ30">_xlfn.IFNA((INDEX('DMR 001C NEW'!$A$3:$O$9999,MATCH(('001-C DMR'!$BY$6&amp;'001-C DMR'!$BY$10&amp;'001-C DMR'!$B30),('DMR 001C NEW'!$E$3:$E$7246&amp;'DMR 001C NEW'!$B$3:$B$7246&amp;'DMR 001C NEW'!$A$3:$A$7246),0),MATCH('001-C DMR'!$BZ$11,'DMR 001C NEW'!$A$2:$O$2,0))),"")</f>
        <v/>
      </c>
      <c r="CA30" s="138" t="str">
        <f t="array" ref="CA30">_xlfn.IFNA(INDEX('DMR 001C NEW'!$A$3:$O$9999,MATCH(('001-C DMR'!$BY$6&amp;'001-C DMR'!$BY$10&amp;'001-C DMR'!$B30),('DMR 001C NEW'!$E$3:$E$7246&amp;'DMR 001C NEW'!$B$3:$B$7246&amp;'DMR 001C NEW'!$A$3:$A$7246),0),MATCH('001-C DMR'!$CA$11,'DMR 001C NEW'!$A$2:$O$2,0)),"")</f>
        <v/>
      </c>
      <c r="CB30" s="57" t="str">
        <f t="shared" si="11"/>
        <v/>
      </c>
      <c r="CC30" s="58" t="str">
        <f t="array" ref="CC30">_xlfn.IFNA((INDEX('DMR 001C NEW'!$A$3:$O$9999,MATCH(('001-C DMR'!$BY$6&amp;'001-C DMR'!$CB$10&amp;'001-C DMR'!$B30),('DMR 001C NEW'!$E$3:$E$7246&amp;'DMR 001C NEW'!$B$3:$B$7246&amp;'DMR 001C NEW'!$A$3:$A$7246),0),MATCH('001-C DMR'!$BZ$11,'DMR 001C NEW'!$A$2:$O$2,0))),"")</f>
        <v/>
      </c>
      <c r="CD30" s="138" t="str">
        <f t="array" ref="CD30">_xlfn.IFNA(INDEX('DMR 001C NEW'!$A$3:$O$9999,MATCH(('001-C DMR'!$BY$6&amp;'001-C DMR'!$CB$10&amp;'001-C DMR'!$B30),('DMR 001C NEW'!$E$3:$E$7246&amp;'DMR 001C NEW'!$B$3:$B$7246&amp;'DMR 001C NEW'!$A$3:$A$7246),0),MATCH('001-C DMR'!$CA$11,'DMR 001C NEW'!$A$2:$O$2,0)),"")</f>
        <v/>
      </c>
      <c r="CE30" s="138" t="str">
        <f t="array" ref="CE30">IFERROR((($CA30*$EI30)+($CD30*$EJ30))/($EK30),"")</f>
        <v/>
      </c>
      <c r="CF30" s="64" t="str">
        <f t="shared" si="33"/>
        <v/>
      </c>
      <c r="CG30" s="280" t="str">
        <f t="array" ref="CG30">_xlfn.IFNA(INDEX('DMR 001C NEW'!$A$3:$O$999,MATCH(('001-C DMR'!$BY$6&amp;'001-C DMR'!CG$10&amp;'001-C DMR'!$B30),('DMR 001C NEW'!$E$3:$E$1112&amp;'DMR 001C NEW'!$B$3:$B$1112&amp;'DMR 001C NEW'!$A$3:$A$1112),0),MATCH('001-C DMR'!$CA$11,'DMR 001C NEW'!$A$2:$O$2,0)),"")</f>
        <v/>
      </c>
      <c r="CH30" s="280" t="str">
        <f t="array" ref="CH30">_xlfn.IFNA(INDEX('DMR 001C NEW'!$A$3:$O$999,MATCH(('001-C DMR'!$BY$6&amp;'001-C DMR'!CH$10&amp;'001-C DMR'!$B30),('DMR 001C NEW'!$E$3:$E$1112&amp;'DMR 001C NEW'!$B$3:$B$1112&amp;'DMR 001C NEW'!$A$3:$A$1112),0),MATCH('001-C DMR'!$CA$11,'DMR 001C NEW'!$A$2:$O$2,0)),"")</f>
        <v/>
      </c>
      <c r="CI30" s="280" t="str">
        <f t="array" ref="CI30">_xlfn.IFNA(INDEX('DMR 001C NEW'!$A$3:$O$999,MATCH(('001-C DMR'!$BY$6&amp;'001-C DMR'!CI$10&amp;'001-C DMR'!$B30),('DMR 001C NEW'!$E$3:$E$1112&amp;'DMR 001C NEW'!$B$3:$B$1112&amp;'DMR 001C NEW'!$A$3:$A$1112),0),MATCH('001-C DMR'!$CA$11,'DMR 001C NEW'!$A$2:$O$2,0)),"")</f>
        <v/>
      </c>
      <c r="CJ30" s="280" t="str">
        <f t="array" ref="CJ30">_xlfn.IFNA(INDEX('DMR 001C NEW'!$A$3:$O$999,MATCH(('001-C DMR'!$BY$6&amp;'001-C DMR'!CJ$10&amp;'001-C DMR'!$B30),('DMR 001C NEW'!$E$3:$E$1112&amp;'DMR 001C NEW'!$B$3:$B$1112&amp;'DMR 001C NEW'!$A$3:$A$1112),0),MATCH('001-C DMR'!$CA$11,'DMR 001C NEW'!$A$2:$O$2,0)),"")</f>
        <v/>
      </c>
      <c r="CK30" s="280" t="str">
        <f t="array" ref="CK30">_xlfn.IFNA(INDEX('DMR 001C NEW'!$A$3:$O$999,MATCH(('001-C DMR'!$BY$6&amp;'001-C DMR'!CK$10&amp;'001-C DMR'!$B30),('DMR 001C NEW'!$E$3:$E$1112&amp;'DMR 001C NEW'!$B$3:$B$1112&amp;'DMR 001C NEW'!$A$3:$A$1112),0),MATCH('001-C DMR'!$CA$11,'DMR 001C NEW'!$A$2:$O$2,0)),"")</f>
        <v/>
      </c>
      <c r="CL30" s="280" t="str">
        <f t="array" ref="CL30">_xlfn.IFNA(INDEX('DMR 001C NEW'!$A$3:$O$999,MATCH(('001-C DMR'!$BY$6&amp;'001-C DMR'!CL$10&amp;'001-C DMR'!$B30),('DMR 001C NEW'!$E$3:$E$1112&amp;'DMR 001C NEW'!$B$3:$B$1112&amp;'DMR 001C NEW'!$A$3:$A$1112),0),MATCH('001-C DMR'!$CA$11,'DMR 001C NEW'!$A$2:$O$2,0)),"")</f>
        <v/>
      </c>
      <c r="CM30" s="61" t="str">
        <f t="shared" si="12"/>
        <v/>
      </c>
      <c r="CN30" s="138" t="str">
        <f t="array" ref="CN30">_xlfn.IFNA((INDEX('DMR 001C NEW'!$A$3:$O$9999,MATCH(('001-C DMR'!$CM$6&amp;'001-C DMR'!$CM$10&amp;'001-C DMR'!$B30),('DMR 001C NEW'!$E$3:$E$9018&amp;'DMR 001C NEW'!$B$3:$B$9018&amp;'DMR 001C NEW'!$A$3:$A$9018),0),MATCH('001-C DMR'!$CN$11,'DMR 001C NEW'!$A$2:$O$2,0))*1000),"")</f>
        <v/>
      </c>
      <c r="CO30" s="138" t="str">
        <f t="array" ref="CO30">_xlfn.IFNA(INDEX('DMR 001C NEW'!$A$3:$O$9999,MATCH(('001-C DMR'!$CM$6&amp;'001-C DMR'!$CM$10&amp;'001-C DMR'!$B30),('DMR 001C NEW'!$E$3:$E$9018&amp;'DMR 001C NEW'!$B$3:$B$9018&amp;'DMR 001C NEW'!$A$3:$A$9018),0),MATCH('001-C DMR'!$CO$11,'DMR 001C NEW'!$A$2:$O$2,0))*1000,"")</f>
        <v/>
      </c>
      <c r="CP30" s="138" t="str">
        <f t="shared" si="13"/>
        <v/>
      </c>
      <c r="CQ30" s="64" t="str">
        <f t="shared" si="34"/>
        <v/>
      </c>
      <c r="CR30" s="280" t="str">
        <f t="array" ref="CR30">_xlfn.IFNA(INDEX('DMR 001C NEW'!$A$3:$O$999,MATCH(('001-C DMR'!$CM$6&amp;'001-C DMR'!CR$10&amp;'001-C DMR'!$B30),('DMR 001C NEW'!$E$3:$E$1112&amp;'DMR 001C NEW'!$B$3:$B$1112&amp;'DMR 001C NEW'!$A$3:$A$1112),0),MATCH('001-C DMR'!$CO$11,'DMR 001C NEW'!$A$2:$O$2,0)),"")</f>
        <v/>
      </c>
      <c r="CS30" s="280" t="str">
        <f t="array" ref="CS30">_xlfn.IFNA(INDEX('DMR 001C NEW'!$A$3:$O$999,MATCH(('001-C DMR'!$CM$6&amp;'001-C DMR'!CS$10&amp;'001-C DMR'!$B30),('DMR 001C NEW'!$E$3:$E$1112&amp;'DMR 001C NEW'!$B$3:$B$1112&amp;'DMR 001C NEW'!$A$3:$A$1112),0),MATCH('001-C DMR'!$CO$11,'DMR 001C NEW'!$A$2:$O$2,0)),"")</f>
        <v/>
      </c>
      <c r="CT30" s="280" t="str">
        <f t="array" ref="CT30">_xlfn.IFNA(INDEX('DMR 001C NEW'!$A$3:$O$999,MATCH(('001-C DMR'!$CM$6&amp;'001-C DMR'!CT$10&amp;'001-C DMR'!$B30),('DMR 001C NEW'!$E$3:$E$1112&amp;'DMR 001C NEW'!$B$3:$B$1112&amp;'DMR 001C NEW'!$A$3:$A$1112),0),MATCH('001-C DMR'!$CO$11,'DMR 001C NEW'!$A$2:$O$2,0)),"")</f>
        <v/>
      </c>
      <c r="CU30" s="280" t="str">
        <f t="array" ref="CU30">_xlfn.IFNA(INDEX('DMR 001C NEW'!$A$3:$O$999,MATCH(('001-C DMR'!$CM$6&amp;'001-C DMR'!CU$10&amp;'001-C DMR'!$B30),('DMR 001C NEW'!$E$3:$E$1112&amp;'DMR 001C NEW'!$B$3:$B$1112&amp;'DMR 001C NEW'!$A$3:$A$1112),0),MATCH('001-C DMR'!$CO$11,'DMR 001C NEW'!$A$2:$O$2,0)),"")</f>
        <v/>
      </c>
      <c r="CV30" s="280" t="str">
        <f t="array" ref="CV30">_xlfn.IFNA(INDEX('DMR 001C NEW'!$A$3:$O$999,MATCH(('001-C DMR'!$CM$6&amp;'001-C DMR'!CV$10&amp;'001-C DMR'!$B30),('DMR 001C NEW'!$E$3:$E$1112&amp;'DMR 001C NEW'!$B$3:$B$1112&amp;'DMR 001C NEW'!$A$3:$A$1112),0),MATCH('001-C DMR'!$CO$11,'DMR 001C NEW'!$A$2:$O$2,0)),"")</f>
        <v/>
      </c>
      <c r="CW30" s="280" t="str">
        <f t="array" ref="CW30">_xlfn.IFNA(INDEX('DMR 001C NEW'!$A$3:$O$999,MATCH(('001-C DMR'!$CM$6&amp;'001-C DMR'!CW$10&amp;'001-C DMR'!$B30),('DMR 001C NEW'!$E$3:$E$1112&amp;'DMR 001C NEW'!$B$3:$B$1112&amp;'DMR 001C NEW'!$A$3:$A$1112),0),MATCH('001-C DMR'!$CO$11,'DMR 001C NEW'!$A$2:$O$2,0)),"")</f>
        <v/>
      </c>
      <c r="CX30" s="280" t="str">
        <f t="array" ref="CX30">_xlfn.IFNA(INDEX('DMR 001C NEW'!$A$3:$O$999,MATCH(('001-C DMR'!$CM$6&amp;'001-C DMR'!CX$10&amp;'001-C DMR'!$B30),('DMR 001C NEW'!$E$3:$E$1112&amp;'DMR 001C NEW'!$B$3:$B$1112&amp;'DMR 001C NEW'!$A$3:$A$1112),0),MATCH('001-C DMR'!$CO$11,'DMR 001C NEW'!$A$2:$O$2,0)),"")</f>
        <v/>
      </c>
      <c r="CY30" s="61" t="str">
        <f t="shared" si="14"/>
        <v/>
      </c>
      <c r="CZ30" s="138" t="str">
        <f t="array" ref="CZ30">_xlfn.IFNA((INDEX('DMR 001C NEW'!$A$3:$O$9999,MATCH(('001-C DMR'!$CY$6&amp;'001-C DMR'!$CY$10&amp;'001-C DMR'!$B30),('DMR 001C NEW'!$E$3:$E$9018&amp;'DMR 001C NEW'!$B$3:$B$9018&amp;'DMR 001C NEW'!$A$3:$A$9018),0),MATCH('001-C DMR'!$CZ$11,'DMR 001C NEW'!$A$2:$O$2,0))*1000),"")</f>
        <v/>
      </c>
      <c r="DA30" s="138" t="str">
        <f t="array" ref="DA30">_xlfn.IFNA(INDEX('DMR 001C NEW'!$A$3:$O$9999,MATCH(('001-C DMR'!$CY$6&amp;'001-C DMR'!$CY$10&amp;'001-C DMR'!$B30),('DMR 001C NEW'!$E$3:$E$9018&amp;'DMR 001C NEW'!$B$3:$B$9018&amp;'DMR 001C NEW'!$A$3:$A$9018),0),MATCH('001-C DMR'!$DA$11,'DMR 001C NEW'!$A$2:$O$2,0))*1000,"")</f>
        <v/>
      </c>
      <c r="DB30" s="138" t="str">
        <f t="shared" si="15"/>
        <v/>
      </c>
      <c r="DC30" s="64" t="str">
        <f t="shared" si="35"/>
        <v/>
      </c>
      <c r="DD30" s="280" t="str">
        <f t="array" ref="DD30">_xlfn.IFNA(INDEX('DMR 001C NEW'!$A$3:$O$999,MATCH(('001-C DMR'!$CY$6&amp;'001-C DMR'!DD$10&amp;'001-C DMR'!$B30),('DMR 001C NEW'!$E$3:$E$1112&amp;'DMR 001C NEW'!$B$3:$B$1112&amp;'DMR 001C NEW'!$A$3:$A$1112),0),MATCH('001-C DMR'!$DA$11,'DMR 001C NEW'!$A$2:$O$2,0)),"")</f>
        <v/>
      </c>
      <c r="DE30" s="280" t="str">
        <f t="array" ref="DE30">_xlfn.IFNA(INDEX('DMR 001C NEW'!$A$3:$O$999,MATCH(('001-C DMR'!$CY$6&amp;'001-C DMR'!DE$10&amp;'001-C DMR'!$B30),('DMR 001C NEW'!$E$3:$E$1112&amp;'DMR 001C NEW'!$B$3:$B$1112&amp;'DMR 001C NEW'!$A$3:$A$1112),0),MATCH('001-C DMR'!$DA$11,'DMR 001C NEW'!$A$2:$O$2,0)),"")</f>
        <v/>
      </c>
      <c r="DF30" s="280" t="str">
        <f t="array" ref="DF30">_xlfn.IFNA(INDEX('DMR 001C NEW'!$A$3:$O$999,MATCH(('001-C DMR'!$CY$6&amp;'001-C DMR'!DF$10&amp;'001-C DMR'!$B30),('DMR 001C NEW'!$E$3:$E$1112&amp;'DMR 001C NEW'!$B$3:$B$1112&amp;'DMR 001C NEW'!$A$3:$A$1112),0),MATCH('001-C DMR'!$DA$11,'DMR 001C NEW'!$A$2:$O$2,0)),"")</f>
        <v/>
      </c>
      <c r="DG30" s="280" t="str">
        <f t="array" ref="DG30">_xlfn.IFNA(INDEX('DMR 001C NEW'!$A$3:$O$999,MATCH(('001-C DMR'!$CY$6&amp;'001-C DMR'!DG$10&amp;'001-C DMR'!$B30),('DMR 001C NEW'!$E$3:$E$1112&amp;'DMR 001C NEW'!$B$3:$B$1112&amp;'DMR 001C NEW'!$A$3:$A$1112),0),MATCH('001-C DMR'!$DA$11,'DMR 001C NEW'!$A$2:$O$2,0)),"")</f>
        <v/>
      </c>
      <c r="DH30" s="280" t="str">
        <f t="array" ref="DH30">_xlfn.IFNA(INDEX('DMR 001C NEW'!$A$3:$O$999,MATCH(('001-C DMR'!$CY$6&amp;'001-C DMR'!DH$10&amp;'001-C DMR'!$B30),('DMR 001C NEW'!$E$3:$E$1112&amp;'DMR 001C NEW'!$B$3:$B$1112&amp;'DMR 001C NEW'!$A$3:$A$1112),0),MATCH('001-C DMR'!$DA$11,'DMR 001C NEW'!$A$2:$O$2,0)),"")</f>
        <v/>
      </c>
      <c r="DI30" s="280" t="str">
        <f t="array" ref="DI30">_xlfn.IFNA(INDEX('DMR 001C NEW'!$A$3:$O$999,MATCH(('001-C DMR'!$CY$6&amp;'001-C DMR'!DI$10&amp;'001-C DMR'!$B30),('DMR 001C NEW'!$E$3:$E$1112&amp;'DMR 001C NEW'!$B$3:$B$1112&amp;'DMR 001C NEW'!$A$3:$A$1112),0),MATCH('001-C DMR'!$DA$11,'DMR 001C NEW'!$A$2:$O$2,0)),"")</f>
        <v/>
      </c>
      <c r="DJ30" s="280" t="str">
        <f t="array" ref="DJ30">_xlfn.IFNA(INDEX('DMR 001C NEW'!$A$3:$O$999,MATCH(('001-C DMR'!$CY$6&amp;'001-C DMR'!DJ$10&amp;'001-C DMR'!$B30),('DMR 001C NEW'!$E$3:$E$1112&amp;'DMR 001C NEW'!$B$3:$B$1112&amp;'DMR 001C NEW'!$A$3:$A$1112),0),MATCH('001-C DMR'!$DA$11,'DMR 001C NEW'!$A$2:$O$2,0)),"")</f>
        <v/>
      </c>
      <c r="DK30" s="61" t="str">
        <f t="shared" si="16"/>
        <v/>
      </c>
      <c r="DL30" s="58" t="str">
        <f t="array" ref="DL30">_xlfn.IFNA((INDEX('DMR 001C NEW'!$A$3:$O$9999,MATCH(('001-C DMR'!$DK$6&amp;'001-C DMR'!$DK$10&amp;'001-C DMR'!$B30),('DMR 001C NEW'!$E$3:$E$9018&amp;'DMR 001C NEW'!$B$3:$B$9018&amp;'DMR 001C NEW'!$A$3:$A$9018),0),MATCH('001-C DMR'!$DL$11,'DMR 001C NEW'!$A$2:$O$2,0))),"")</f>
        <v/>
      </c>
      <c r="DM30" s="58" t="str">
        <f t="array" ref="DM30">_xlfn.IFNA(INDEX('DMR 001C NEW'!$A$3:$O$9999,MATCH(('001-C DMR'!$DK$6&amp;'001-C DMR'!$DK$10&amp;'001-C DMR'!$B30),('DMR 001C NEW'!$E$3:$E$9018&amp;'DMR 001C NEW'!$B$3:$B$9018&amp;'DMR 001C NEW'!$A$3:$A$9018),0),MATCH('001-C DMR'!$DM$11,'DMR 001C NEW'!$A$2:$O$2,0)),"")</f>
        <v/>
      </c>
      <c r="DN30" s="58" t="str">
        <f t="shared" si="17"/>
        <v/>
      </c>
      <c r="DO30" s="223"/>
      <c r="DP30" s="224"/>
      <c r="DQ30" s="64" t="str">
        <f t="shared" si="18"/>
        <v/>
      </c>
      <c r="DR30" s="280" t="str">
        <f t="array" ref="DR30">_xlfn.IFNA(INDEX('DMR 001C NEW'!$A$3:$O$999,MATCH(('001-C DMR'!$DK$6&amp;'001-C DMR'!DR$10&amp;'001-C DMR'!$B30),('DMR 001C NEW'!$E$3:$E$1112&amp;'DMR 001C NEW'!$B$3:$B$1112&amp;'DMR 001C NEW'!$A$3:$A$1112),0),MATCH('001-C DMR'!$DR$11,'DMR 001C NEW'!$A$2:$O$2,0)),"")</f>
        <v/>
      </c>
      <c r="DS30" s="280" t="str">
        <f t="array" ref="DS30">_xlfn.IFNA(INDEX('DMR 001C NEW'!$A$3:$O$999,MATCH(('001-C DMR'!$DK$6&amp;'001-C DMR'!DS$10&amp;'001-C DMR'!$B30),('DMR 001C NEW'!$E$3:$E$1112&amp;'DMR 001C NEW'!$B$3:$B$1112&amp;'DMR 001C NEW'!$A$3:$A$1112),0),MATCH('001-C DMR'!$DR$11,'DMR 001C NEW'!$A$2:$O$2,0)),"")</f>
        <v/>
      </c>
      <c r="DT30" s="280" t="str">
        <f t="array" ref="DT30">_xlfn.IFNA(INDEX('DMR 001C NEW'!$A$3:$O$999,MATCH(('001-C DMR'!$DK$6&amp;'001-C DMR'!DT$10&amp;'001-C DMR'!$B30),('DMR 001C NEW'!$E$3:$E$1112&amp;'DMR 001C NEW'!$B$3:$B$1112&amp;'DMR 001C NEW'!$A$3:$A$1112),0),MATCH('001-C DMR'!$DR$11,'DMR 001C NEW'!$A$2:$O$2,0)),"")</f>
        <v/>
      </c>
      <c r="DU30" s="280" t="str">
        <f t="array" ref="DU30">_xlfn.IFNA(INDEX('DMR 001C NEW'!$A$3:$O$999,MATCH(('001-C DMR'!$DK$6&amp;'001-C DMR'!DU$10&amp;'001-C DMR'!$B30),('DMR 001C NEW'!$E$3:$E$1112&amp;'DMR 001C NEW'!$B$3:$B$1112&amp;'DMR 001C NEW'!$A$3:$A$1112),0),MATCH('001-C DMR'!$DR$11,'DMR 001C NEW'!$A$2:$O$2,0)),"")</f>
        <v/>
      </c>
      <c r="DV30" s="280" t="str">
        <f t="array" ref="DV30">_xlfn.IFNA(INDEX('DMR 001C NEW'!$A$3:$O$999,MATCH(('001-C DMR'!$DK$6&amp;'001-C DMR'!DV$10&amp;'001-C DMR'!$B30),('DMR 001C NEW'!$E$3:$E$1112&amp;'DMR 001C NEW'!$B$3:$B$1112&amp;'DMR 001C NEW'!$A$3:$A$1112),0),MATCH('001-C DMR'!$DR$11,'DMR 001C NEW'!$A$2:$O$2,0)),"")</f>
        <v/>
      </c>
      <c r="DW30" s="280" t="str">
        <f t="array" ref="DW30">_xlfn.IFNA(INDEX('DMR 001C NEW'!$A$3:$O$999,MATCH(('001-C DMR'!$DK$6&amp;'001-C DMR'!DW$10&amp;'001-C DMR'!$B30),('DMR 001C NEW'!$E$3:$E$1112&amp;'DMR 001C NEW'!$B$3:$B$1112&amp;'DMR 001C NEW'!$A$3:$A$1112),0),MATCH('001-C DMR'!$DR$11,'DMR 001C NEW'!$A$2:$O$2,0)),"")</f>
        <v/>
      </c>
      <c r="DX30" s="280" t="str">
        <f t="array" ref="DX30">_xlfn.IFNA(INDEX('DMR 001C NEW'!$A$3:$O$999,MATCH(('001-C DMR'!$DK$6&amp;'001-C DMR'!DX$10&amp;'001-C DMR'!$B30),('DMR 001C NEW'!$E$3:$E$1112&amp;'DMR 001C NEW'!$B$3:$B$1112&amp;'DMR 001C NEW'!$A$3:$A$1112),0),MATCH('001-C DMR'!$DR$11,'DMR 001C NEW'!$A$2:$O$2,0)),"")</f>
        <v/>
      </c>
      <c r="DY30" s="61" t="str">
        <f t="shared" si="28"/>
        <v/>
      </c>
      <c r="DZ30" s="249" t="str">
        <f t="array" ref="DZ30">_xlfn.IFNA((INDEX('DMR 001C NEW'!$A$3:$O$9999,MATCH(('001-C DMR'!$DY$6&amp;'001-C DMR'!$DY$10&amp;'001-C DMR'!$B30),('DMR 001C NEW'!$E$3:$E$9018&amp;'DMR 001C NEW'!$B$3:$B$9018&amp;'DMR 001C NEW'!$A$3:$A$9018),0),MATCH('001-C DMR'!$DZ$11,'DMR 001C NEW'!$A$2:$O$2,0))),"")</f>
        <v/>
      </c>
      <c r="EA30" s="249" t="str">
        <f t="array" ref="EA30">_xlfn.IFNA((INDEX('DMR 001C NEW'!$A$3:$O$9999,MATCH(('001-C DMR'!$DY$6&amp;'001-C DMR'!$DY$10&amp;'001-C DMR'!$B30),('DMR 001C NEW'!$E$3:$E$9018&amp;'DMR 001C NEW'!$B$3:$B$9018&amp;'DMR 001C NEW'!$A$3:$A$9018),0),MATCH('001-C DMR'!$EA$11,'DMR 001C NEW'!$A$2:$O$2,0))),"")</f>
        <v/>
      </c>
      <c r="EB30" s="249" t="str">
        <f t="array" ref="EB30">IF(EA30="SCRATCHED","",IF(EA30&lt;DZ30,0,EA30))</f>
        <v/>
      </c>
      <c r="EC30" s="249" t="str">
        <f t="shared" si="29"/>
        <v/>
      </c>
      <c r="ED30" s="249" t="str">
        <f t="array" ref="ED30">_xlfn.IFNA((INDEX('DMR 001C NEW'!$A$3:$O$9999,MATCH(('001-C DMR'!$DY$6&amp;'001-C DMR'!$EC$10&amp;'001-C DMR'!$B30),('DMR 001C NEW'!$E$3:$E$9018&amp;'DMR 001C NEW'!$B$3:$B$9018&amp;'DMR 001C NEW'!$A$3:$A$9018),0),MATCH('001-C DMR'!$DZ$11,'DMR 001C NEW'!$A$2:$O$2,0))),"")</f>
        <v/>
      </c>
      <c r="EE30" s="249" t="str">
        <f t="array" ref="EE30">_xlfn.IFNA((INDEX('DMR 001C NEW'!$A$3:$O$9999,MATCH(('001-C DMR'!$DY$6&amp;'001-C DMR'!$EC$10&amp;'001-C DMR'!$B30),('DMR 001C NEW'!$E$3:$E$9018&amp;'DMR 001C NEW'!$B$3:$B$9018&amp;'DMR 001C NEW'!$A$3:$A$9018),0),MATCH('001-C DMR'!$EE$11,'DMR 001C NEW'!$A$2:$O$2,0))),"")</f>
        <v/>
      </c>
      <c r="EF30" s="249" t="str">
        <f t="array" ref="EF30">IF(EE30="SCRATCHED","",IF(EE30&lt;ED30,0,EE30))</f>
        <v/>
      </c>
      <c r="EG30" s="249"/>
      <c r="EH30" s="195"/>
      <c r="EI30" s="194">
        <f t="array" ref="EI30">_xlfn.IFNA(INDEX('DMR Flows-Effluent'!$A$3:$F$186,MATCH(($EI$10&amp;$B30),('DMR Flows-Effluent'!$B$3:$B$186&amp;'DMR Flows-Effluent'!$A$3:$A$186),0),MATCH($EI$8,'DMR Flows-Effluent'!$A$2:$F$2,0)),"")</f>
        <v>44.199100000000001</v>
      </c>
      <c r="EJ30" s="56">
        <f t="array" ref="EJ30">_xlfn.IFNA(INDEX('DMR Flows-Effluent'!$A$3:$F$186,MATCH(($EJ$10&amp;$B30),('DMR Flows-Effluent'!$B$3:$B$186&amp;'DMR Flows-Effluent'!$A$3:$A$186),0),MATCH($EI$8,'DMR Flows-Effluent'!$A$2:$F$2,0)),"")</f>
        <v>84.138400000000004</v>
      </c>
      <c r="EK30" s="168">
        <f t="shared" si="19"/>
        <v>128.33750000000001</v>
      </c>
      <c r="EL30" s="63"/>
      <c r="EM30" s="63"/>
      <c r="EN30" s="63"/>
      <c r="EO30" s="63"/>
      <c r="EP30" s="62"/>
      <c r="EQ30" s="157">
        <f>'E.Coli Calculations'!R24</f>
        <v>73.112618985700976</v>
      </c>
      <c r="ER30" s="56"/>
      <c r="ES30" s="64" t="str">
        <f t="shared" si="36"/>
        <v/>
      </c>
      <c r="ET30" s="61" t="str">
        <f t="shared" si="20"/>
        <v/>
      </c>
      <c r="EU30" s="58" t="str">
        <f t="array" ref="EU30">_xlfn.IFNA((INDEX('DMR 001C NEW'!$A$3:$O$9999,MATCH(('001-C DMR'!$ET$6&amp;'001-C DMR'!$ET$10&amp;'001-C DMR'!$B30),('DMR 001C NEW'!$E$3:$E$9018&amp;'DMR 001C NEW'!$B$3:$B$9018&amp;'DMR 001C NEW'!$A$3:$A$9018),0),MATCH('001-C DMR'!$EU$11,'DMR 001C NEW'!$A$2:$O$2,0))),"")</f>
        <v/>
      </c>
      <c r="EV30" s="58" t="str">
        <f t="array" ref="EV30">_xlfn.IFNA(INDEX('DMR 001C NEW'!$A$3:$O$9999,MATCH(('001-C DMR'!$ET$6&amp;'001-C DMR'!$ET$10&amp;'001-C DMR'!$B30),('DMR 001C NEW'!$E$3:$E$9018&amp;'DMR 001C NEW'!$B$3:$B$9018&amp;'DMR 001C NEW'!$A$3:$A$9018),0),MATCH('001-C DMR'!$EV$11,'DMR 001C NEW'!$A$2:$O$2,0)),"")</f>
        <v/>
      </c>
      <c r="EW30" s="56" t="str">
        <f t="shared" si="21"/>
        <v/>
      </c>
      <c r="EX30" s="64"/>
      <c r="EY30" s="279" t="str">
        <f t="array" ref="EY30">_xlfn.IFNA(INDEX('DMR 001C NEW'!$A$3:$O$999,MATCH(('001-C DMR'!$ET$6&amp;'001-C DMR'!EY$10&amp;'001-C DMR'!$B30),('DMR 001C NEW'!$E$3:$E$1112&amp;'DMR 001C NEW'!$B$3:$B$1112&amp;'DMR 001C NEW'!$A$3:$A$1112),0),MATCH('001-C DMR'!$EY$11,'DMR 001C NEW'!$A$2:$O$2,0)),"")</f>
        <v/>
      </c>
      <c r="EZ30" s="280" t="str">
        <f t="array" ref="EZ30">_xlfn.IFNA(INDEX('DMR 001C NEW'!$A$3:$O$999,MATCH(('001-C DMR'!$ET$6&amp;'001-C DMR'!EZ$10&amp;'001-C DMR'!$B30),('DMR 001C NEW'!$E$3:$E$1112&amp;'DMR 001C NEW'!$B$3:$B$1112&amp;'DMR 001C NEW'!$A$3:$A$1112),0),MATCH('001-C DMR'!$EY$11,'DMR 001C NEW'!$A$2:$O$2,0)),"")</f>
        <v/>
      </c>
      <c r="FA30" s="280" t="str">
        <f t="array" ref="FA30">_xlfn.IFNA(INDEX('DMR 001C NEW'!$A$3:$O$999,MATCH(('001-C DMR'!$ET$6&amp;'001-C DMR'!FA$10&amp;'001-C DMR'!$B30),('DMR 001C NEW'!$E$3:$E$1112&amp;'DMR 001C NEW'!$B$3:$B$1112&amp;'DMR 001C NEW'!$A$3:$A$1112),0),MATCH('001-C DMR'!$EY$11,'DMR 001C NEW'!$A$2:$O$2,0)),"")</f>
        <v/>
      </c>
      <c r="FB30" s="280" t="str">
        <f t="array" ref="FB30">_xlfn.IFNA(INDEX('DMR 001C NEW'!$A$3:$O$999,MATCH(('001-C DMR'!$ET$6&amp;'001-C DMR'!FB$10&amp;'001-C DMR'!$B30),('DMR 001C NEW'!$E$3:$E$1112&amp;'DMR 001C NEW'!$B$3:$B$1112&amp;'DMR 001C NEW'!$A$3:$A$1112),0),MATCH('001-C DMR'!$EY$11,'DMR 001C NEW'!$A$2:$O$2,0)),"")</f>
        <v/>
      </c>
      <c r="FC30" s="280" t="str">
        <f t="array" ref="FC30">_xlfn.IFNA(INDEX('DMR 001C NEW'!$A$3:$O$999,MATCH(('001-C DMR'!$ET$6&amp;'001-C DMR'!FC$10&amp;'001-C DMR'!$B30),('DMR 001C NEW'!$E$3:$E$1112&amp;'DMR 001C NEW'!$B$3:$B$1112&amp;'DMR 001C NEW'!$A$3:$A$1112),0),MATCH('001-C DMR'!$EY$11,'DMR 001C NEW'!$A$2:$O$2,0)),"")</f>
        <v/>
      </c>
      <c r="FD30" s="280" t="str">
        <f t="array" ref="FD30">_xlfn.IFNA(INDEX('DMR 001C NEW'!$A$3:$O$999,MATCH(('001-C DMR'!$ET$6&amp;'001-C DMR'!FD$10&amp;'001-C DMR'!$B30),('DMR 001C NEW'!$E$3:$E$1112&amp;'DMR 001C NEW'!$B$3:$B$1112&amp;'DMR 001C NEW'!$A$3:$A$1112),0),MATCH('001-C DMR'!$EY$11,'DMR 001C NEW'!$A$2:$O$2,0)),"")</f>
        <v/>
      </c>
      <c r="FE30" s="281" t="str">
        <f t="array" ref="FE30">_xlfn.IFNA(INDEX('DMR 001C NEW'!$A$3:$O$999,MATCH(('001-C DMR'!$ET$6&amp;'001-C DMR'!FE$10&amp;'001-C DMR'!$B30),('DMR 001C NEW'!$E$3:$E$1112&amp;'DMR 001C NEW'!$B$3:$B$1112&amp;'DMR 001C NEW'!$A$3:$A$1112),0),MATCH('001-C DMR'!$EY$11,'DMR 001C NEW'!$A$2:$O$2,0)),"")</f>
        <v/>
      </c>
      <c r="FF30" s="57" t="str">
        <f t="shared" si="22"/>
        <v/>
      </c>
      <c r="FG30" s="56">
        <f t="array" ref="FG30">_xlfn.IFNA(INDEX('DMR 001C NEW'!$A$3:$O$9999,MATCH(('001-C DMR'!$FF$6&amp;'001-C DMR'!$FF$10&amp;'001-C DMR'!$B30),('DMR 001C NEW'!$E$3:$E$7246&amp;'DMR 001C NEW'!$B$3:$B$7246&amp;'DMR 001C NEW'!$A$3:$A$7246),0),MATCH('001-C DMR'!$FG$11,'DMR 001C NEW'!$A$2:$O$2,0)),"")</f>
        <v>0</v>
      </c>
      <c r="FH30" s="56">
        <f t="array" ref="FH30">_xlfn.IFNA(INDEX('DMR 001C NEW'!$A$3:$O$9999,MATCH(('001-C DMR'!$FF$6&amp;'001-C DMR'!$FF$10&amp;'001-C DMR'!$B30),('DMR 001C NEW'!$E$3:$E$7246&amp;'DMR 001C NEW'!$B$3:$B$7246&amp;'DMR 001C NEW'!$A$3:$A$7246),0),MATCH('001-C DMR'!$FH$11,'DMR 001C NEW'!$A$2:$O$2,0)),"")</f>
        <v>4</v>
      </c>
      <c r="FI30" s="57" t="str">
        <f t="shared" si="23"/>
        <v/>
      </c>
      <c r="FJ30" s="56">
        <f t="array" ref="FJ30">_xlfn.IFNA(INDEX('DMR 001C NEW'!$A$3:$O$9999,MATCH(('001-C DMR'!$FF$6&amp;'001-C DMR'!$FI$10&amp;'001-C DMR'!$B30),('DMR 001C NEW'!$E$3:$E$7246&amp;'DMR 001C NEW'!$B$3:$B$7246&amp;'DMR 001C NEW'!$A$3:$A$7246),0),MATCH('001-C DMR'!$FG$11,'DMR 001C NEW'!$A$2:$O$2,0)),"")</f>
        <v>0</v>
      </c>
      <c r="FK30" s="56">
        <f t="array" ref="FK30">_xlfn.IFNA(INDEX('DMR 001C NEW'!$A$3:$O$9999,MATCH(('001-C DMR'!$FF$6&amp;'001-C DMR'!$FI$10&amp;'001-C DMR'!$B30),('DMR 001C NEW'!$E$3:$E$7246&amp;'DMR 001C NEW'!$B$3:$B$7246&amp;'DMR 001C NEW'!$A$3:$A$7246),0),MATCH('001-C DMR'!$FH$11,'DMR 001C NEW'!$A$2:$O$2,0)),"")</f>
        <v>4</v>
      </c>
      <c r="FL30" s="56">
        <f t="array" ref="FL30">IFERROR((($FH30*$EI30)+($FK30*$EJ30))/($EK30),"")</f>
        <v>4</v>
      </c>
      <c r="FM30" s="56" t="str">
        <f t="shared" si="43"/>
        <v/>
      </c>
      <c r="FN30" s="64" t="str">
        <f t="shared" si="37"/>
        <v/>
      </c>
      <c r="FO30" s="66"/>
      <c r="FP30" s="280" t="str">
        <f t="array" ref="FP30">_xlfn.IFNA(INDEX('DMR 001C NEW'!$A$3:$O$999,MATCH(('001-C DMR'!$FF$6&amp;'001-C DMR'!FP$10&amp;'001-C DMR'!$B30),('DMR 001C NEW'!$E$3:$E$1112&amp;'DMR 001C NEW'!$B$3:$B$1112&amp;'DMR 001C NEW'!$A$3:$A$1112),0),MATCH('001-C DMR'!$FH$11,'DMR 001C NEW'!$A$2:$O$2,0)),"")</f>
        <v/>
      </c>
      <c r="FQ30" s="280" t="str">
        <f t="array" ref="FQ30">_xlfn.IFNA(INDEX('DMR 001C NEW'!$A$3:$O$999,MATCH(('001-C DMR'!$FF$6&amp;'001-C DMR'!FQ$10&amp;'001-C DMR'!$B30),('DMR 001C NEW'!$E$3:$E$1112&amp;'DMR 001C NEW'!$B$3:$B$1112&amp;'DMR 001C NEW'!$A$3:$A$1112),0),MATCH('001-C DMR'!$FH$11,'DMR 001C NEW'!$A$2:$O$2,0)),"")</f>
        <v/>
      </c>
      <c r="FR30" s="280" t="str">
        <f t="array" ref="FR30">_xlfn.IFNA(INDEX('DMR 001C NEW'!$A$3:$O$999,MATCH(('001-C DMR'!$FF$6&amp;'001-C DMR'!FR$10&amp;'001-C DMR'!$B30),('DMR 001C NEW'!$E$3:$E$1112&amp;'DMR 001C NEW'!$B$3:$B$1112&amp;'DMR 001C NEW'!$A$3:$A$1112),0),MATCH('001-C DMR'!$FH$11,'DMR 001C NEW'!$A$2:$O$2,0)),"")</f>
        <v/>
      </c>
      <c r="FS30" s="280" t="str">
        <f t="array" ref="FS30">_xlfn.IFNA(INDEX('DMR 001C NEW'!$A$3:$O$999,MATCH(('001-C DMR'!$FF$6&amp;'001-C DMR'!FS$10&amp;'001-C DMR'!$B30),('DMR 001C NEW'!$E$3:$E$1112&amp;'DMR 001C NEW'!$B$3:$B$1112&amp;'DMR 001C NEW'!$A$3:$A$1112),0),MATCH('001-C DMR'!$FH$11,'DMR 001C NEW'!$A$2:$O$2,0)),"")</f>
        <v/>
      </c>
      <c r="FT30" s="280" t="str">
        <f t="array" ref="FT30">_xlfn.IFNA(INDEX('DMR 001C NEW'!$A$3:$O$999,MATCH(('001-C DMR'!$FF$6&amp;'001-C DMR'!FT$10&amp;'001-C DMR'!$B30),('DMR 001C NEW'!$E$3:$E$1112&amp;'DMR 001C NEW'!$B$3:$B$1112&amp;'DMR 001C NEW'!$A$3:$A$1112),0),MATCH('001-C DMR'!$FH$11,'DMR 001C NEW'!$A$2:$O$2,0)),"")</f>
        <v/>
      </c>
      <c r="FU30" s="280" t="str">
        <f t="array" ref="FU30">_xlfn.IFNA(INDEX('DMR 001C NEW'!$A$3:$O$999,MATCH(('001-C DMR'!$FF$6&amp;'001-C DMR'!FU$10&amp;'001-C DMR'!$B30),('DMR 001C NEW'!$E$3:$E$1112&amp;'DMR 001C NEW'!$B$3:$B$1112&amp;'DMR 001C NEW'!$A$3:$A$1112),0),MATCH('001-C DMR'!$FH$11,'DMR 001C NEW'!$A$2:$O$2,0)),"")</f>
        <v/>
      </c>
      <c r="FV30" s="66"/>
      <c r="FW30" s="61" t="str">
        <f t="shared" si="24"/>
        <v/>
      </c>
      <c r="FX30" s="58" t="str">
        <f t="array" ref="FX30">_xlfn.IFNA(INDEX('DMR 001C NEW'!$A$3:$O$9999,MATCH(('001-C DMR'!$FW$6&amp;'001-C DMR'!$FW$10&amp;'001-C DMR'!$B30),('DMR 001C NEW'!$E$3:$E$7246&amp;'DMR 001C NEW'!$B$3:$B$7246&amp;'DMR 001C NEW'!$A$3:$A$7246),0),MATCH('001-C DMR'!$FX$11,'DMR 001C NEW'!$A$2:$O$2,0)),"")</f>
        <v/>
      </c>
      <c r="FY30" s="58" t="str">
        <f t="array" ref="FY30">_xlfn.IFNA(INDEX('DMR 001C NEW'!$A$3:$O$9999,MATCH(('001-C DMR'!$FW$6&amp;'001-C DMR'!$FW$10&amp;'001-C DMR'!$B30),('DMR 001C NEW'!$E$3:$E$7246&amp;'DMR 001C NEW'!$B$3:$B$7246&amp;'DMR 001C NEW'!$A$3:$A$7246),0),MATCH('001-C DMR'!$FY$11,'DMR 001C NEW'!$A$2:$O$2,0)),"")</f>
        <v/>
      </c>
      <c r="FZ30" s="57" t="str">
        <f t="shared" si="25"/>
        <v/>
      </c>
      <c r="GA30" s="58" t="str">
        <f t="array" ref="GA30">_xlfn.IFNA(INDEX('DMR 001C NEW'!$A$3:$O$9999,MATCH(('001-C DMR'!$FW$6&amp;'001-C DMR'!$FZ$10&amp;'001-C DMR'!$B30),('DMR 001C NEW'!$E$3:$E$7246&amp;'DMR 001C NEW'!$B$3:$B$7246&amp;'DMR 001C NEW'!$A$3:$A$7246),0),MATCH('001-C DMR'!$FX$11,'DMR 001C NEW'!$A$2:$O$2,0)),"")</f>
        <v/>
      </c>
      <c r="GB30" s="58" t="str">
        <f t="array" ref="GB30">_xlfn.IFNA(INDEX('DMR 001C NEW'!$A$3:$O$9999,MATCH(('001-C DMR'!$FW$6&amp;'001-C DMR'!$FZ$10&amp;'001-C DMR'!$B30),('DMR 001C NEW'!$E$3:$E$7246&amp;'DMR 001C NEW'!$B$3:$B$7246&amp;'DMR 001C NEW'!$A$3:$A$7246),0),MATCH('001-C DMR'!$GB$11,'DMR 001C NEW'!$A$2:$O$2,0)),"")</f>
        <v/>
      </c>
      <c r="GC30" s="56" t="str">
        <f t="shared" si="4"/>
        <v/>
      </c>
      <c r="GD30" s="64" t="str">
        <f t="shared" si="38"/>
        <v/>
      </c>
      <c r="GE30" s="279" t="str">
        <f t="array" ref="GE30">_xlfn.IFNA(INDEX('DMR 001C NEW'!$A$3:$O$999,MATCH(('001-C DMR'!$FW$6&amp;'001-C DMR'!GE$10&amp;'001-C DMR'!$B30),('DMR 001C NEW'!$E$3:$E$1112&amp;'DMR 001C NEW'!$B$3:$B$1112&amp;'DMR 001C NEW'!$A$3:$A$1112),0),MATCH('001-C DMR'!$FY$11,'DMR 001C NEW'!$A$2:$O$2,0)),"")</f>
        <v/>
      </c>
      <c r="GF30" s="280" t="str">
        <f t="array" ref="GF30">_xlfn.IFNA(INDEX('DMR 001C NEW'!$A$3:$O$999,MATCH(('001-C DMR'!$FW$6&amp;'001-C DMR'!GF$10&amp;'001-C DMR'!$B30),('DMR 001C NEW'!$E$3:$E$1112&amp;'DMR 001C NEW'!$B$3:$B$1112&amp;'DMR 001C NEW'!$A$3:$A$1112),0),MATCH('001-C DMR'!$FY$11,'DMR 001C NEW'!$A$2:$O$2,0)),"")</f>
        <v/>
      </c>
      <c r="GG30" s="280" t="str">
        <f t="array" ref="GG30">_xlfn.IFNA(INDEX('DMR 001C NEW'!$A$3:$O$999,MATCH(('001-C DMR'!$FW$6&amp;'001-C DMR'!GG$10&amp;'001-C DMR'!$B30),('DMR 001C NEW'!$E$3:$E$1112&amp;'DMR 001C NEW'!$B$3:$B$1112&amp;'DMR 001C NEW'!$A$3:$A$1112),0),MATCH('001-C DMR'!$FY$11,'DMR 001C NEW'!$A$2:$O$2,0)),"")</f>
        <v/>
      </c>
      <c r="GH30" s="280" t="str">
        <f t="array" ref="GH30">_xlfn.IFNA(INDEX('DMR 001C NEW'!$A$3:$O$999,MATCH(('001-C DMR'!$FW$6&amp;'001-C DMR'!GH$10&amp;'001-C DMR'!$B30),('DMR 001C NEW'!$E$3:$E$1112&amp;'DMR 001C NEW'!$B$3:$B$1112&amp;'DMR 001C NEW'!$A$3:$A$1112),0),MATCH('001-C DMR'!$FY$11,'DMR 001C NEW'!$A$2:$O$2,0)),"")</f>
        <v/>
      </c>
      <c r="GI30" s="280" t="str">
        <f t="array" ref="GI30">_xlfn.IFNA(INDEX('DMR 001C NEW'!$A$3:$O$999,MATCH(('001-C DMR'!$FW$6&amp;'001-C DMR'!GI$10&amp;'001-C DMR'!$B30),('DMR 001C NEW'!$E$3:$E$1112&amp;'DMR 001C NEW'!$B$3:$B$1112&amp;'DMR 001C NEW'!$A$3:$A$1112),0),MATCH('001-C DMR'!$FY$11,'DMR 001C NEW'!$A$2:$O$2,0)),"")</f>
        <v/>
      </c>
      <c r="GJ30" s="281" t="str">
        <f t="array" ref="GJ30">_xlfn.IFNA(INDEX('DMR 001C NEW'!$A$3:$O$999,MATCH(('001-C DMR'!$FW$6&amp;'001-C DMR'!GJ$10&amp;'001-C DMR'!$B30),('DMR 001C NEW'!$E$3:$E$1112&amp;'DMR 001C NEW'!$B$3:$B$1112&amp;'DMR 001C NEW'!$A$3:$A$1112),0),MATCH('001-C DMR'!$FY$11,'DMR 001C NEW'!$A$2:$O$2,0)),"")</f>
        <v/>
      </c>
      <c r="GK30" s="58" t="str">
        <f t="array" ref="GK30">_xlfn.IFNA(INDEX('DMR 001C NEW'!$A$3:$O$9999,MATCH(('001-C DMR'!$GK$6&amp;'001-C DMR'!$GK$10&amp;'001-C DMR'!$B30),('DMR 001C NEW'!$E$3:$E$9018&amp;'DMR 001C NEW'!$B$3:$B$9018&amp;'DMR 001C NEW'!$A$3:$A$9018),0),MATCH('001-C DMR'!$GK$11,'DMR 001C NEW'!$A$2:$O$2,0)),"")</f>
        <v>n</v>
      </c>
      <c r="GL30" s="58" t="str">
        <f t="array" ref="GL30">_xlfn.IFNA(INDEX('DMR 001C NEW'!$A$3:$O$9999,MATCH(('001-C DMR'!$GK$6&amp;'001-C DMR'!$GL$10&amp;'001-C DMR'!$B30),('DMR 001C NEW'!$E$3:$E$9018&amp;'DMR 001C NEW'!$B$3:$B$9018&amp;'DMR 001C NEW'!$A$3:$A$9018),0),MATCH('001-C DMR'!$GK$11,'DMR 001C NEW'!$A$2:$O$2,0)),"")</f>
        <v>n</v>
      </c>
      <c r="GM30" s="134"/>
      <c r="GN30" s="64" t="str">
        <f t="shared" si="44"/>
        <v/>
      </c>
    </row>
    <row r="31" spans="1:282" s="51" customFormat="1" x14ac:dyDescent="0.25">
      <c r="A31" s="67" t="str">
        <f t="shared" si="5"/>
        <v>Fri</v>
      </c>
      <c r="B31" s="216">
        <f t="shared" si="26"/>
        <v>43693</v>
      </c>
      <c r="C31" s="93">
        <f t="array" ref="C31">INDEX('DMR 001C NEW'!$A$3:$N$10020,MATCH(('001-C DMR'!$C$6:$K$6&amp;'001-C DMR'!$C$10:$E$10&amp;'001-C DMR'!$B31),('DMR 001C NEW'!$E$3:$E$7246&amp;'DMR 001C NEW'!$B$3:$B$7246&amp;'DMR 001C NEW'!$A$3:$A$7246),0),MATCH('001-C DMR'!$C$11,'DMR 001C NEW'!$A$2:$O$2,0))</f>
        <v>5.7</v>
      </c>
      <c r="D31" s="56" t="str">
        <f t="array" ref="D31">INDEX('DMR 001C NEW'!$A$3:$N$11771,MATCH(('001-C DMR'!$C$6:$K$6&amp;'001-C DMR'!$C$10:$E$10&amp;'001-C DMR'!$B31),('DMR 001C NEW'!$E$3:$E$9018&amp;'DMR 001C NEW'!$B$3:$B$9018&amp;'DMR 001C NEW'!$A$3:$A$9018),0),MATCH('001-C DMR'!$D$11,'DMR 001C NEW'!$A$2:$O$2,0))</f>
        <v>AE69508</v>
      </c>
      <c r="E31" s="56">
        <f t="array" ref="E31">INDEX('DMR 001C NEW'!$A$3:$N$9999,MATCH(('001-C DMR'!$E$11&amp;'001-C DMR'!$C$10:$E$10&amp;'001-C DMR'!$B31&amp;$D31),('DMR 001C NEW'!$E$3:$E$7246&amp;'DMR 001C NEW'!$B$3:$B$7246&amp;'DMR 001C NEW'!$A$3:$A$7246&amp;'DMR 001C NEW'!$M$3:$M$7188),0),MATCH($C$11,'DMR 001C NEW'!$A$2:$O$2,0))</f>
        <v>48.17</v>
      </c>
      <c r="F31" s="56">
        <f t="array" ref="F31">INDEX('DMR 001C NEW'!$A$3:$N$9999,MATCH('001-C DMR'!$C$6:$K$6&amp;'001-C DMR'!$F$10&amp;'001-C DMR'!$B31,('DMR 001C NEW'!$E$3:$E$7246&amp;'DMR 001C NEW'!$B$3:$B$7246&amp;'DMR 001C NEW'!$A$3:$A$7246),0),MATCH('001-C DMR'!$C$11,'DMR 001C NEW'!$A$2:$O$2,0))</f>
        <v>6.3</v>
      </c>
      <c r="G31" s="56" t="str">
        <f t="array" ref="G31">INDEX('DMR 001C NEW'!$A$3:$N$3865,MATCH(('001-C DMR'!$C$6:$K$6&amp;'001-C DMR'!$F$10&amp;'001-C DMR'!$B31),('DMR 001C NEW'!$E$3:$E$1112&amp;'DMR 001C NEW'!$B$3:$B$1112&amp;'DMR 001C NEW'!$A$3:$A$1112),0),MATCH('001-C DMR'!$D$11,'DMR 001C NEW'!$A$2:$O$2,0))</f>
        <v>AE69509</v>
      </c>
      <c r="H31" s="56">
        <f t="array" ref="H31">INDEX('DMR 001C NEW'!$A$3:$N$9999,MATCH(('001-C DMR'!$E$11&amp;'001-C DMR'!$F$10&amp;'001-C DMR'!$B31&amp;$G31),('DMR 001C NEW'!$E$3:$E$7246&amp;'DMR 001C NEW'!$B$3:$B$7246&amp;'DMR 001C NEW'!$A$3:$A$7246&amp;'DMR 001C NEW'!$M$3:$M$7188),0),MATCH($C$11,'DMR 001C NEW'!$A$2:$O$2,0))</f>
        <v>85.64</v>
      </c>
      <c r="I31" s="56">
        <f t="shared" si="0"/>
        <v>6.0840071743516937</v>
      </c>
      <c r="J31" s="58" t="str">
        <f t="shared" si="39"/>
        <v/>
      </c>
      <c r="K31" s="64" t="str">
        <f t="shared" si="40"/>
        <v/>
      </c>
      <c r="L31" s="262" t="str">
        <f t="array" ref="L31">_xlfn.IFNA(INDEX('DMR 001C NEW'!$A$3:$N$3865,MATCH(('001-C DMR'!$C$6:$K$6&amp;'001-C DMR'!L$10&amp;'001-C DMR'!$B31),('DMR 001C NEW'!$E$3:$E$1112&amp;'DMR 001C NEW'!$B$3:$B$1112&amp;'DMR 001C NEW'!$A$3:$A$1112),0),MATCH('001-C DMR'!$C$11,'DMR 001C NEW'!$A$2:$O$2,0)),"")</f>
        <v/>
      </c>
      <c r="M31" s="262" t="str">
        <f t="array" ref="M31">_xlfn.IFNA(INDEX('DMR 001C NEW'!$A$3:$N$3865,MATCH(('001-C DMR'!$C$6:$K$6&amp;'001-C DMR'!M$10&amp;'001-C DMR'!$B31),('DMR 001C NEW'!$E$3:$E$1112&amp;'DMR 001C NEW'!$B$3:$B$1112&amp;'DMR 001C NEW'!$A$3:$A$1112),0),MATCH('001-C DMR'!$C$11,'DMR 001C NEW'!$A$2:$O$2,0)),"")</f>
        <v/>
      </c>
      <c r="N31" s="262" t="str">
        <f t="array" ref="N31">_xlfn.IFNA(INDEX('DMR 001C NEW'!$A$3:$N$3865,MATCH(('001-C DMR'!$C$6:$K$6&amp;'001-C DMR'!N$10&amp;'001-C DMR'!$B31),('DMR 001C NEW'!$E$3:$E$1112&amp;'DMR 001C NEW'!$B$3:$B$1112&amp;'DMR 001C NEW'!$A$3:$A$1112),0),MATCH('001-C DMR'!$C$11,'DMR 001C NEW'!$A$2:$O$2,0)),"")</f>
        <v/>
      </c>
      <c r="O31" s="262" t="str">
        <f t="array" ref="O31">_xlfn.IFNA(INDEX('DMR 001C NEW'!$A$3:$N$3865,MATCH(('001-C DMR'!$C$6:$K$6&amp;'001-C DMR'!O$10&amp;'001-C DMR'!$B31),('DMR 001C NEW'!$E$3:$E$1112&amp;'DMR 001C NEW'!$B$3:$B$1112&amp;'DMR 001C NEW'!$A$3:$A$1112),0),MATCH('001-C DMR'!$C$11,'DMR 001C NEW'!$A$2:$O$2,0)),"")</f>
        <v/>
      </c>
      <c r="P31" s="262" t="str">
        <f t="array" ref="P31">_xlfn.IFNA(INDEX('DMR 001C NEW'!$A$3:$N$3865,MATCH(('001-C DMR'!$C$6:$K$6&amp;'001-C DMR'!P$10&amp;'001-C DMR'!$B31),('DMR 001C NEW'!$E$3:$E$1112&amp;'DMR 001C NEW'!$B$3:$B$1112&amp;'DMR 001C NEW'!$A$3:$A$1112),0),MATCH('001-C DMR'!$C$11,'DMR 001C NEW'!$A$2:$O$2,0)),"")</f>
        <v/>
      </c>
      <c r="Q31" s="120" t="e">
        <f t="array" ref="Q31">INDEX('DMR 001C NEW'!$A$3:$N$3865,MATCH(('001-C DMR'!$C$6:$K$6&amp;'001-C DMR'!Q$10&amp;'001-C DMR'!$B31),('DMR 001C NEW'!$E$3:$E$1112&amp;'DMR 001C NEW'!$B$3:$B$1112&amp;'DMR 001C NEW'!$A$3:$A$1112),0),MATCH('001-C DMR'!$C$11,'DMR 001C NEW'!$A$2:$O$2,0))</f>
        <v>#N/A</v>
      </c>
      <c r="R31" s="61"/>
      <c r="S31" s="56">
        <f t="array" ref="S31">_xlfn.IFNA(INDEX('DMR 001C NEW'!$A$3:$N$11771,MATCH(('001-C DMR'!$R$6:$T$6&amp;'001-C DMR'!$R$10&amp;'001-C DMR'!$B31),('DMR 001C NEW'!$E$3:$E$9018&amp;'DMR 001C NEW'!$B$3:$B$9018&amp;'DMR 001C NEW'!$A$3:$A$9018),0),MATCH('001-C DMR'!$S$11,'DMR 001C NEW'!$A$2:$O$2,0)),"")</f>
        <v>7.1</v>
      </c>
      <c r="T31" s="64" t="str">
        <f t="shared" si="41"/>
        <v/>
      </c>
      <c r="U31" s="262" t="str">
        <f t="array" ref="U31">_xlfn.IFNA(INDEX('DMR 001C NEW'!$A$3:$O$591,MATCH('001-C DMR'!$R$6:$T$6&amp;'001-C DMR'!U$10&amp;'001-C DMR'!$B31,('DMR 001C NEW'!$E$3:$E$704&amp;'DMR 001C NEW'!$B$3:$B$704&amp;'DMR 001C NEW'!$A$3:$A$704),0),MATCH('001-C DMR'!$U$11,'DMR 001C NEW'!$A$2:$O$2,0)),"")</f>
        <v/>
      </c>
      <c r="V31" s="262" t="str">
        <f t="array" ref="V31">_xlfn.IFNA(INDEX('DMR 001C NEW'!$A$3:$O$591,MATCH('001-C DMR'!$R$6:$T$6&amp;'001-C DMR'!V$10&amp;'001-C DMR'!$B31,('DMR 001C NEW'!$E$3:$E$704&amp;'DMR 001C NEW'!$B$3:$B$704&amp;'DMR 001C NEW'!$A$3:$A$704),0),MATCH('001-C DMR'!$U$11,'DMR 001C NEW'!$A$2:$O$2,0)),"")</f>
        <v/>
      </c>
      <c r="W31" s="262" t="str">
        <f t="array" ref="W31">_xlfn.IFNA(INDEX('DMR 001C NEW'!$A$3:$O$591,MATCH('001-C DMR'!$R$6:$T$6&amp;'001-C DMR'!W$10&amp;'001-C DMR'!$B31,('DMR 001C NEW'!$E$3:$E$704&amp;'DMR 001C NEW'!$B$3:$B$704&amp;'DMR 001C NEW'!$A$3:$A$704),0),MATCH('001-C DMR'!$U$11,'DMR 001C NEW'!$A$2:$O$2,0)),"")</f>
        <v/>
      </c>
      <c r="X31" s="262" t="str">
        <f t="array" ref="X31">_xlfn.IFNA(INDEX('DMR 001C NEW'!$A$3:$O$591,MATCH('001-C DMR'!$R$6:$T$6&amp;'001-C DMR'!X$10&amp;'001-C DMR'!$B31,('DMR 001C NEW'!$E$3:$E$704&amp;'DMR 001C NEW'!$B$3:$B$704&amp;'DMR 001C NEW'!$A$3:$A$704),0),MATCH('001-C DMR'!$U$11,'DMR 001C NEW'!$A$2:$O$2,0)),"")</f>
        <v/>
      </c>
      <c r="Y31" s="262" t="str">
        <f t="array" ref="Y31">_xlfn.IFNA(INDEX('DMR 001C NEW'!$A$3:$O$591,MATCH('001-C DMR'!$R$6:$T$6&amp;'001-C DMR'!Y$10&amp;'001-C DMR'!$B31,('DMR 001C NEW'!$E$3:$E$704&amp;'DMR 001C NEW'!$B$3:$B$704&amp;'DMR 001C NEW'!$A$3:$A$704),0),MATCH('001-C DMR'!$U$11,'DMR 001C NEW'!$A$2:$O$2,0)),"")</f>
        <v/>
      </c>
      <c r="Z31" s="262" t="str">
        <f t="array" ref="Z31">_xlfn.IFNA(INDEX('DMR 001C NEW'!$A$3:$O$591,MATCH('001-C DMR'!$R$6:$T$6&amp;'001-C DMR'!Z$10&amp;'001-C DMR'!$B31,('DMR 001C NEW'!$E$3:$E$704&amp;'DMR 001C NEW'!$B$3:$B$704&amp;'DMR 001C NEW'!$A$3:$A$704),0),MATCH('001-C DMR'!$U$11,'DMR 001C NEW'!$A$2:$O$2,0)),"")</f>
        <v/>
      </c>
      <c r="AA31" s="262" t="str">
        <f t="array" ref="AA31">_xlfn.IFNA(INDEX('DMR 001C NEW'!$A$3:$O$591,MATCH('001-C DMR'!$R$6:$T$6&amp;'001-C DMR'!AA$10&amp;'001-C DMR'!$B31,('DMR 001C NEW'!$E$3:$E$704&amp;'DMR 001C NEW'!$B$3:$B$704&amp;'DMR 001C NEW'!$A$3:$A$704),0),MATCH('001-C DMR'!$U$11,'DMR 001C NEW'!$A$2:$O$2,0)),"")</f>
        <v/>
      </c>
      <c r="AB31" s="61" t="str">
        <f t="array" ref="AB31">IF(AD31&lt;AC31,"&lt;","")</f>
        <v/>
      </c>
      <c r="AC31" s="56">
        <f t="array" ref="AC31">_xlfn.IFNA(INDEX('DMR 001C NEW'!$A$3:$O$9999,MATCH(('001-C DMR'!$AB$6:$AJ$6&amp;'001-C DMR'!$AB$10:$AD$10&amp;'001-C DMR'!$B31),('DMR 001C NEW'!$E$3:$E$7246&amp;'DMR 001C NEW'!$B$3:$B$7246&amp;'DMR 001C NEW'!$A$3:$A$7246),0),MATCH('001-C DMR'!$AC$11,'DMR 001C NEW'!$A$2:$O$2,0)),"")</f>
        <v>3</v>
      </c>
      <c r="AD31" s="56">
        <f t="array" ref="AD31">_xlfn.IFNA(INDEX('DMR 001C NEW'!$A$3:$O$9999,MATCH(('001-C DMR'!$AB$6:$AJ$6&amp;'001-C DMR'!$AB$10:$AD$10&amp;'001-C DMR'!$B31),('DMR 001C NEW'!$E$3:$E$7246&amp;'DMR 001C NEW'!$B$3:$B$7246&amp;'DMR 001C NEW'!$A$3:$A$7246),0),MATCH('001-C DMR'!$AD$11,'DMR 001C NEW'!$A$2:$O$2,0)),"")</f>
        <v>9</v>
      </c>
      <c r="AE31" s="57" t="str">
        <f t="array" ref="AE31">IF(AG31&lt;AF31,"&lt;","")</f>
        <v/>
      </c>
      <c r="AF31" s="56">
        <f t="array" ref="AF31">_xlfn.IFNA(INDEX('DMR 001C NEW'!$A$3:$O$9999,MATCH(('001-C DMR'!$AB$6:$AJ$6&amp;'001-C DMR'!$AE$10&amp;'001-C DMR'!$B31),('DMR 001C NEW'!$E$3:$E$9018&amp;'DMR 001C NEW'!$B$3:$B$9018&amp;'DMR 001C NEW'!$A$3:$A$9018),0),MATCH('001-C DMR'!$AF$11,'DMR 001C NEW'!$A$2:$O$2,0)),"")</f>
        <v>3</v>
      </c>
      <c r="AG31" s="56">
        <f t="array" ref="AG31">_xlfn.IFNA(INDEX('DMR 001C NEW'!$A$3:$O$9999,MATCH(('001-C DMR'!$AB$6:$AJ$6&amp;'001-C DMR'!$AE$10&amp;'001-C DMR'!$B31),('DMR 001C NEW'!$E$3:$E$9018&amp;'DMR 001C NEW'!$B$3:$B$9018&amp;'DMR 001C NEW'!$A$3:$A$9018),0),MATCH('001-C DMR'!$AG$11,'DMR 001C NEW'!$A$2:$O$2,0)),"")</f>
        <v>11</v>
      </c>
      <c r="AH31" s="56">
        <f t="array" ref="AH31">IFERROR((($AD31*$EI31)+($AG31*$EJ31))/($EK31),"")</f>
        <v>10.263296630259346</v>
      </c>
      <c r="AI31" s="56" t="str">
        <f t="shared" si="42"/>
        <v/>
      </c>
      <c r="AJ31" s="64" t="str">
        <f t="shared" si="30"/>
        <v/>
      </c>
      <c r="AK31" s="262" t="str">
        <f t="array" ref="AK31">_xlfn.IFNA(INDEX('DMR 001C NEW'!$A$3:$O$999,MATCH(('001-C DMR'!$AB$6:$AJ$6&amp;'001-C DMR'!AK$10&amp;'001-C DMR'!$B31),('DMR 001C NEW'!$E$3:$E$1112&amp;'DMR 001C NEW'!$B$3:$B$1112&amp;'DMR 001C NEW'!$A$3:$A$1112),0),MATCH('001-C DMR'!$AD$11,'DMR 001C NEW'!$A$2:$O$2,0)),"")</f>
        <v/>
      </c>
      <c r="AL31" s="262" t="str">
        <f t="array" ref="AL31">_xlfn.IFNA(INDEX('DMR 001C NEW'!$A$3:$O$999,MATCH(('001-C DMR'!$AB$6:$AJ$6&amp;'001-C DMR'!AL$10&amp;'001-C DMR'!$B31),('DMR 001C NEW'!$E$3:$E$1112&amp;'DMR 001C NEW'!$B$3:$B$1112&amp;'DMR 001C NEW'!$A$3:$A$1112),0),MATCH('001-C DMR'!$AD$11,'DMR 001C NEW'!$A$2:$O$2,0)),"")</f>
        <v/>
      </c>
      <c r="AM31" s="262" t="str">
        <f t="array" ref="AM31">_xlfn.IFNA(INDEX('DMR 001C NEW'!$A$3:$O$999,MATCH(('001-C DMR'!$AB$6:$AJ$6&amp;'001-C DMR'!AM$10&amp;'001-C DMR'!$B31),('DMR 001C NEW'!$E$3:$E$1112&amp;'DMR 001C NEW'!$B$3:$B$1112&amp;'DMR 001C NEW'!$A$3:$A$1112),0),MATCH('001-C DMR'!$AD$11,'DMR 001C NEW'!$A$2:$O$2,0)),"")</f>
        <v/>
      </c>
      <c r="AN31" s="262" t="str">
        <f t="array" ref="AN31">_xlfn.IFNA(INDEX('DMR 001C NEW'!$A$3:$O$999,MATCH(('001-C DMR'!$AB$6:$AJ$6&amp;'001-C DMR'!AN$10&amp;'001-C DMR'!$B31),('DMR 001C NEW'!$E$3:$E$1112&amp;'DMR 001C NEW'!$B$3:$B$1112&amp;'DMR 001C NEW'!$A$3:$A$1112),0),MATCH('001-C DMR'!$AD$11,'DMR 001C NEW'!$A$2:$O$2,0)),"")</f>
        <v/>
      </c>
      <c r="AO31" s="262" t="str">
        <f t="array" ref="AO31">_xlfn.IFNA(INDEX('DMR 001C NEW'!$A$3:$O$999,MATCH(('001-C DMR'!$AB$6:$AJ$6&amp;'001-C DMR'!AO$10&amp;'001-C DMR'!$B31),('DMR 001C NEW'!$E$3:$E$1112&amp;'DMR 001C NEW'!$B$3:$B$1112&amp;'DMR 001C NEW'!$A$3:$A$1112),0),MATCH('001-C DMR'!$AD$11,'DMR 001C NEW'!$A$2:$O$2,0)),"")</f>
        <v/>
      </c>
      <c r="AP31" s="262" t="str">
        <f t="array" ref="AP31">_xlfn.IFNA(INDEX('DMR 001C NEW'!$A$3:$O$999,MATCH(('001-C DMR'!$AB$6:$AJ$6&amp;'001-C DMR'!AP$10&amp;'001-C DMR'!$B31),('DMR 001C NEW'!$E$3:$E$1112&amp;'DMR 001C NEW'!$B$3:$B$1112&amp;'DMR 001C NEW'!$A$3:$A$1112),0),MATCH('001-C DMR'!$AD$11,'DMR 001C NEW'!$A$2:$O$2,0)),"")</f>
        <v/>
      </c>
      <c r="AQ31" s="61" t="str">
        <f t="array" ref="AQ31">IF(AS31&lt;AR31,"&lt;","")</f>
        <v/>
      </c>
      <c r="AR31" s="58">
        <f t="array" ref="AR31">_xlfn.IFNA((INDEX('DMR 001C NEW'!$A$3:$O$9999,MATCH(('001-C DMR'!$AQ$6:$AZ$6&amp;'001-C DMR'!$AQ$10:$AS$10&amp;'001-C DMR'!$B31),('DMR 001C NEW'!$E$3:$E$7246&amp;'DMR 001C NEW'!$B$3:$B$7246&amp;'DMR 001C NEW'!$A$3:$A$7246),0),MATCH('001-C DMR'!$AR$11,'DMR 001C NEW'!$A$2:$O$2,0))),"")</f>
        <v>0.15</v>
      </c>
      <c r="AS31" s="58">
        <f t="array" ref="AS31">_xlfn.IFNA(INDEX('DMR 001C NEW'!$A$3:$O$9999,MATCH(('001-C DMR'!$AQ$6:$AZ$6&amp;'001-C DMR'!$AQ$10:$AS$10&amp;'001-C DMR'!$B31),('DMR 001C NEW'!$E$3:$E$7246&amp;'DMR 001C NEW'!$B$3:$B$7246&amp;'DMR 001C NEW'!$A$3:$A$7246),0),MATCH('001-C DMR'!$AS$11,'DMR 001C NEW'!$A$2:$O$2,0)),"")</f>
        <v>0.51</v>
      </c>
      <c r="AT31" s="58">
        <f t="shared" si="27"/>
        <v>0.51</v>
      </c>
      <c r="AU31" s="57" t="str">
        <f t="array" ref="AU31">IF(AW31&lt;AV31,"&lt;","")</f>
        <v/>
      </c>
      <c r="AV31" s="58">
        <f t="array" ref="AV31">_xlfn.IFNA((INDEX('DMR 001C NEW'!$A$3:$O$9999,MATCH(('001-C DMR'!$AQ$6:$AZ$6&amp;'001-C DMR'!$AU$10&amp;'001-C DMR'!$B31),('DMR 001C NEW'!$E$3:$E$7246&amp;'DMR 001C NEW'!$B$3:$B$7246&amp;'DMR 001C NEW'!$A$3:$A$7246),0),MATCH('001-C DMR'!$AR$11,'DMR 001C NEW'!$A$2:$O$2,0))),"")</f>
        <v>0.15</v>
      </c>
      <c r="AW31" s="58">
        <f t="array" ref="AW31">_xlfn.IFNA(INDEX('DMR 001C NEW'!$A$3:$O$9999,MATCH(('001-C DMR'!$AQ$6:$AZ$6&amp;'001-C DMR'!$AU$10&amp;'001-C DMR'!$B31),('DMR 001C NEW'!$E$3:$E$7246&amp;'DMR 001C NEW'!$B$3:$B$7246&amp;'DMR 001C NEW'!$A$3:$A$7246),0),MATCH('001-C DMR'!$AW$11,'DMR 001C NEW'!$A$2:$O$2,0)),"")</f>
        <v>1.48</v>
      </c>
      <c r="AX31" s="58">
        <f t="shared" si="6"/>
        <v>1.48</v>
      </c>
      <c r="AY31" s="56">
        <f t="array" ref="AY31">IFERROR((($AT31*$EI31)+($AX31*$EJ31))/($EK31),"")</f>
        <v>1.122698865675783</v>
      </c>
      <c r="AZ31" s="64" t="str">
        <f t="shared" si="31"/>
        <v/>
      </c>
      <c r="BA31" s="279" t="str">
        <f t="array" ref="BA31">_xlfn.IFNA(INDEX('DMR 001C NEW'!$A$3:$O$9999,MATCH(('001-C DMR'!$AQ$6:$AZ$6&amp;'001-C DMR'!BA$10&amp;'001-C DMR'!$B31),('DMR 001C NEW'!$E$3:$E$1112&amp;'DMR 001C NEW'!$B$3:$B$1112&amp;'DMR 001C NEW'!$A$3:$A$1112),0),MATCH('001-C DMR'!$BA$11,'DMR 001C NEW'!$A$2:$O$2,0)),"")</f>
        <v/>
      </c>
      <c r="BB31" s="280" t="str">
        <f t="array" ref="BB31">_xlfn.IFNA(INDEX('DMR 001C NEW'!$A$3:$O$9999,MATCH(('001-C DMR'!$AQ$6:$AZ$6&amp;'001-C DMR'!BB$10&amp;'001-C DMR'!$B31),('DMR 001C NEW'!$E$3:$E$1112&amp;'DMR 001C NEW'!$B$3:$B$1112&amp;'DMR 001C NEW'!$A$3:$A$1112),0),MATCH('001-C DMR'!$BA$11,'DMR 001C NEW'!$A$2:$O$2,0)),"")</f>
        <v/>
      </c>
      <c r="BC31" s="280" t="str">
        <f t="array" ref="BC31">_xlfn.IFNA(INDEX('DMR 001C NEW'!$A$3:$O$9999,MATCH(('001-C DMR'!$AQ$6:$AZ$6&amp;'001-C DMR'!BC$10&amp;'001-C DMR'!$B31),('DMR 001C NEW'!$E$3:$E$1112&amp;'DMR 001C NEW'!$B$3:$B$1112&amp;'DMR 001C NEW'!$A$3:$A$1112),0),MATCH('001-C DMR'!$BA$11,'DMR 001C NEW'!$A$2:$O$2,0)),"")</f>
        <v/>
      </c>
      <c r="BD31" s="280" t="str">
        <f t="array" ref="BD31">_xlfn.IFNA(INDEX('DMR 001C NEW'!$A$3:$O$9999,MATCH(('001-C DMR'!$AQ$6:$AZ$6&amp;'001-C DMR'!BD$10&amp;'001-C DMR'!$B31),('DMR 001C NEW'!$E$3:$E$1112&amp;'DMR 001C NEW'!$B$3:$B$1112&amp;'DMR 001C NEW'!$A$3:$A$1112),0),MATCH('001-C DMR'!$BA$11,'DMR 001C NEW'!$A$2:$O$2,0)),"")</f>
        <v/>
      </c>
      <c r="BE31" s="280" t="str">
        <f t="array" ref="BE31">_xlfn.IFNA(INDEX('DMR 001C NEW'!$A$3:$O$9999,MATCH(('001-C DMR'!$AQ$6:$AZ$6&amp;'001-C DMR'!BE$10&amp;'001-C DMR'!$B31),('DMR 001C NEW'!$E$3:$E$1112&amp;'DMR 001C NEW'!$B$3:$B$1112&amp;'DMR 001C NEW'!$A$3:$A$1112),0),MATCH('001-C DMR'!$BA$11,'DMR 001C NEW'!$A$2:$O$2,0)),"")</f>
        <v/>
      </c>
      <c r="BF31" s="281" t="str">
        <f t="array" ref="BF31">_xlfn.IFNA(INDEX('DMR 001C NEW'!$A$3:$O$9999,MATCH(('001-C DMR'!$AQ$6:$AZ$6&amp;'001-C DMR'!BF$10&amp;'001-C DMR'!$B31),('DMR 001C NEW'!$E$3:$E$1112&amp;'DMR 001C NEW'!$B$3:$B$1112&amp;'DMR 001C NEW'!$A$3:$A$1112),0),MATCH('001-C DMR'!$BA$11,'DMR 001C NEW'!$A$2:$O$2,0)),"")</f>
        <v/>
      </c>
      <c r="BG31" s="57"/>
      <c r="BH31" s="58">
        <f t="array" ref="BH31">_xlfn.IFNA((INDEX('DMR 001C NEW'!$A$3:$O$9999,MATCH(('001-C DMR'!$BG$6&amp;'001-C DMR'!$BG$10&amp;'001-C DMR'!$B31),('DMR 001C NEW'!$E$3:$E$7246&amp;'DMR 001C NEW'!$B$3:$B$7246&amp;'DMR 001C NEW'!$A$3:$A$7246),0),MATCH('001-C DMR'!$BH$11,'DMR 001C NEW'!$A$2:$O$2,0))),"")</f>
        <v>0.06</v>
      </c>
      <c r="BI31" s="58">
        <f t="array" ref="BI31">_xlfn.IFNA(INDEX('DMR 001C NEW'!$A$3:$O$9999,MATCH(('001-C DMR'!$BG$6&amp;'001-C DMR'!$BG$10&amp;'001-C DMR'!$B31),('DMR 001C NEW'!$E$3:$E$7246&amp;'DMR 001C NEW'!$B$3:$B$7246&amp;'DMR 001C NEW'!$A$3:$A$7246),0),MATCH('001-C DMR'!$BI$11,'DMR 001C NEW'!$A$2:$O$2,0)),"")</f>
        <v>4.59</v>
      </c>
      <c r="BJ31" s="58">
        <f t="shared" si="7"/>
        <v>4.59</v>
      </c>
      <c r="BK31" s="57" t="str">
        <f t="shared" si="8"/>
        <v/>
      </c>
      <c r="BL31" s="58">
        <f t="array" ref="BL31">_xlfn.IFNA((INDEX('DMR 001C NEW'!$A$3:$O$9999,MATCH(('001-C DMR'!$BG$6&amp;'001-C DMR'!$BK$10&amp;'001-C DMR'!$B31),('DMR 001C NEW'!$E$3:$E$7246&amp;'DMR 001C NEW'!$B$3:$B$7246&amp;'DMR 001C NEW'!$A$3:$A$7246),0),MATCH('001-C DMR'!$BH$11,'DMR 001C NEW'!$A$2:$O$2,0))),"")</f>
        <v>0.06</v>
      </c>
      <c r="BM31" s="58">
        <f t="array" ref="BM31">_xlfn.IFNA(INDEX('DMR 001C NEW'!$A$3:$O$9999,MATCH(('001-C DMR'!$BG$6&amp;'001-C DMR'!$BK$10&amp;'001-C DMR'!$B31),('DMR 001C NEW'!$E$3:$E$7246&amp;'DMR 001C NEW'!$B$3:$B$7246&amp;'DMR 001C NEW'!$A$3:$A$7246),0),MATCH('001-C DMR'!$BI$11,'DMR 001C NEW'!$A$2:$O$2,0)),"")</f>
        <v>5.87</v>
      </c>
      <c r="BN31" s="58">
        <f t="shared" si="9"/>
        <v>5.87</v>
      </c>
      <c r="BO31" s="56">
        <f t="array" ref="BO31">IFERROR((($BJ31*$EI31)+($BN31*$EJ31))/($EK31),"")</f>
        <v>5.3985098433659813</v>
      </c>
      <c r="BP31" s="64" t="str">
        <f t="shared" si="32"/>
        <v/>
      </c>
      <c r="BQ31" s="280" t="str">
        <f t="array" ref="BQ31">_xlfn.IFNA(INDEX('DMR 001C NEW'!$A$3:$O$999,MATCH(('001-C DMR'!$BG$6&amp;'001-C DMR'!BQ$10&amp;'001-C DMR'!$B31),('DMR 001C NEW'!$E$3:$E$1112&amp;'DMR 001C NEW'!$B$3:$B$1112&amp;'DMR 001C NEW'!$A$3:$A$1112),0),MATCH('001-C DMR'!$BQ$11,'DMR 001C NEW'!$A$2:$O$2,0)),"")</f>
        <v/>
      </c>
      <c r="BR31" s="280" t="str">
        <f t="array" ref="BR31">_xlfn.IFNA(INDEX('DMR 001C NEW'!$A$3:$O$999,MATCH(('001-C DMR'!$BG$6&amp;'001-C DMR'!BR$10&amp;'001-C DMR'!$B31),('DMR 001C NEW'!$E$3:$E$1112&amp;'DMR 001C NEW'!$B$3:$B$1112&amp;'DMR 001C NEW'!$A$3:$A$1112),0),MATCH('001-C DMR'!$BQ$11,'DMR 001C NEW'!$A$2:$O$2,0)),"")</f>
        <v/>
      </c>
      <c r="BS31" s="280" t="str">
        <f t="array" ref="BS31">_xlfn.IFNA(INDEX('DMR 001C NEW'!$A$3:$O$999,MATCH(('001-C DMR'!$BG$6&amp;'001-C DMR'!BS$10&amp;'001-C DMR'!$B31),('DMR 001C NEW'!$E$3:$E$1112&amp;'DMR 001C NEW'!$B$3:$B$1112&amp;'DMR 001C NEW'!$A$3:$A$1112),0),MATCH('001-C DMR'!$BQ$11,'DMR 001C NEW'!$A$2:$O$2,0)),"")</f>
        <v/>
      </c>
      <c r="BT31" s="280" t="str">
        <f t="array" ref="BT31">_xlfn.IFNA(INDEX('DMR 001C NEW'!$A$3:$O$999,MATCH(('001-C DMR'!$BG$6&amp;'001-C DMR'!BT$10&amp;'001-C DMR'!$B31),('DMR 001C NEW'!$E$3:$E$1112&amp;'DMR 001C NEW'!$B$3:$B$1112&amp;'DMR 001C NEW'!$A$3:$A$1112),0),MATCH('001-C DMR'!$BQ$11,'DMR 001C NEW'!$A$2:$O$2,0)),"")</f>
        <v/>
      </c>
      <c r="BU31" s="280" t="str">
        <f t="array" ref="BU31">_xlfn.IFNA(INDEX('DMR 001C NEW'!$A$3:$O$999,MATCH(('001-C DMR'!$BG$6&amp;'001-C DMR'!BU$10&amp;'001-C DMR'!$B31),('DMR 001C NEW'!$E$3:$E$1112&amp;'DMR 001C NEW'!$B$3:$B$1112&amp;'DMR 001C NEW'!$A$3:$A$1112),0),MATCH('001-C DMR'!$BQ$11,'DMR 001C NEW'!$A$2:$O$2,0)),"")</f>
        <v/>
      </c>
      <c r="BV31" s="280" t="str">
        <f t="array" ref="BV31">_xlfn.IFNA(INDEX('DMR 001C NEW'!$A$3:$O$999,MATCH(('001-C DMR'!$BG$6&amp;'001-C DMR'!BV$10&amp;'001-C DMR'!$B31),('DMR 001C NEW'!$E$3:$E$1112&amp;'DMR 001C NEW'!$B$3:$B$1112&amp;'DMR 001C NEW'!$A$3:$A$1112),0),MATCH('001-C DMR'!$BQ$11,'DMR 001C NEW'!$A$2:$O$2,0)),"")</f>
        <v/>
      </c>
      <c r="BW31" s="65"/>
      <c r="BX31" s="65"/>
      <c r="BY31" s="57" t="str">
        <f t="shared" si="10"/>
        <v/>
      </c>
      <c r="BZ31" s="58" t="str">
        <f t="array" ref="BZ31">_xlfn.IFNA((INDEX('DMR 001C NEW'!$A$3:$O$9999,MATCH(('001-C DMR'!$BY$6&amp;'001-C DMR'!$BY$10&amp;'001-C DMR'!$B31),('DMR 001C NEW'!$E$3:$E$7246&amp;'DMR 001C NEW'!$B$3:$B$7246&amp;'DMR 001C NEW'!$A$3:$A$7246),0),MATCH('001-C DMR'!$BZ$11,'DMR 001C NEW'!$A$2:$O$2,0))),"")</f>
        <v/>
      </c>
      <c r="CA31" s="138" t="str">
        <f t="array" ref="CA31">_xlfn.IFNA(INDEX('DMR 001C NEW'!$A$3:$O$9999,MATCH(('001-C DMR'!$BY$6&amp;'001-C DMR'!$BY$10&amp;'001-C DMR'!$B31),('DMR 001C NEW'!$E$3:$E$7246&amp;'DMR 001C NEW'!$B$3:$B$7246&amp;'DMR 001C NEW'!$A$3:$A$7246),0),MATCH('001-C DMR'!$CA$11,'DMR 001C NEW'!$A$2:$O$2,0)),"")</f>
        <v/>
      </c>
      <c r="CB31" s="57" t="str">
        <f t="shared" si="11"/>
        <v/>
      </c>
      <c r="CC31" s="58" t="str">
        <f t="array" ref="CC31">_xlfn.IFNA((INDEX('DMR 001C NEW'!$A$3:$O$9999,MATCH(('001-C DMR'!$BY$6&amp;'001-C DMR'!$CB$10&amp;'001-C DMR'!$B31),('DMR 001C NEW'!$E$3:$E$7246&amp;'DMR 001C NEW'!$B$3:$B$7246&amp;'DMR 001C NEW'!$A$3:$A$7246),0),MATCH('001-C DMR'!$BZ$11,'DMR 001C NEW'!$A$2:$O$2,0))),"")</f>
        <v/>
      </c>
      <c r="CD31" s="138" t="str">
        <f t="array" ref="CD31">_xlfn.IFNA(INDEX('DMR 001C NEW'!$A$3:$O$9999,MATCH(('001-C DMR'!$BY$6&amp;'001-C DMR'!$CB$10&amp;'001-C DMR'!$B31),('DMR 001C NEW'!$E$3:$E$7246&amp;'DMR 001C NEW'!$B$3:$B$7246&amp;'DMR 001C NEW'!$A$3:$A$7246),0),MATCH('001-C DMR'!$CA$11,'DMR 001C NEW'!$A$2:$O$2,0)),"")</f>
        <v/>
      </c>
      <c r="CE31" s="138" t="str">
        <f t="array" ref="CE31">IFERROR((($CA31*$EI31)+($CD31*$EJ31))/($EK31),"")</f>
        <v/>
      </c>
      <c r="CF31" s="64" t="str">
        <f t="shared" si="33"/>
        <v/>
      </c>
      <c r="CG31" s="280" t="str">
        <f t="array" ref="CG31">_xlfn.IFNA(INDEX('DMR 001C NEW'!$A$3:$O$999,MATCH(('001-C DMR'!$BY$6&amp;'001-C DMR'!CG$10&amp;'001-C DMR'!$B31),('DMR 001C NEW'!$E$3:$E$1112&amp;'DMR 001C NEW'!$B$3:$B$1112&amp;'DMR 001C NEW'!$A$3:$A$1112),0),MATCH('001-C DMR'!$CA$11,'DMR 001C NEW'!$A$2:$O$2,0)),"")</f>
        <v/>
      </c>
      <c r="CH31" s="280" t="str">
        <f t="array" ref="CH31">_xlfn.IFNA(INDEX('DMR 001C NEW'!$A$3:$O$999,MATCH(('001-C DMR'!$BY$6&amp;'001-C DMR'!CH$10&amp;'001-C DMR'!$B31),('DMR 001C NEW'!$E$3:$E$1112&amp;'DMR 001C NEW'!$B$3:$B$1112&amp;'DMR 001C NEW'!$A$3:$A$1112),0),MATCH('001-C DMR'!$CA$11,'DMR 001C NEW'!$A$2:$O$2,0)),"")</f>
        <v/>
      </c>
      <c r="CI31" s="280" t="str">
        <f t="array" ref="CI31">_xlfn.IFNA(INDEX('DMR 001C NEW'!$A$3:$O$999,MATCH(('001-C DMR'!$BY$6&amp;'001-C DMR'!CI$10&amp;'001-C DMR'!$B31),('DMR 001C NEW'!$E$3:$E$1112&amp;'DMR 001C NEW'!$B$3:$B$1112&amp;'DMR 001C NEW'!$A$3:$A$1112),0),MATCH('001-C DMR'!$CA$11,'DMR 001C NEW'!$A$2:$O$2,0)),"")</f>
        <v/>
      </c>
      <c r="CJ31" s="280" t="str">
        <f t="array" ref="CJ31">_xlfn.IFNA(INDEX('DMR 001C NEW'!$A$3:$O$999,MATCH(('001-C DMR'!$BY$6&amp;'001-C DMR'!CJ$10&amp;'001-C DMR'!$B31),('DMR 001C NEW'!$E$3:$E$1112&amp;'DMR 001C NEW'!$B$3:$B$1112&amp;'DMR 001C NEW'!$A$3:$A$1112),0),MATCH('001-C DMR'!$CA$11,'DMR 001C NEW'!$A$2:$O$2,0)),"")</f>
        <v/>
      </c>
      <c r="CK31" s="280" t="str">
        <f t="array" ref="CK31">_xlfn.IFNA(INDEX('DMR 001C NEW'!$A$3:$O$999,MATCH(('001-C DMR'!$BY$6&amp;'001-C DMR'!CK$10&amp;'001-C DMR'!$B31),('DMR 001C NEW'!$E$3:$E$1112&amp;'DMR 001C NEW'!$B$3:$B$1112&amp;'DMR 001C NEW'!$A$3:$A$1112),0),MATCH('001-C DMR'!$CA$11,'DMR 001C NEW'!$A$2:$O$2,0)),"")</f>
        <v/>
      </c>
      <c r="CL31" s="280" t="str">
        <f t="array" ref="CL31">_xlfn.IFNA(INDEX('DMR 001C NEW'!$A$3:$O$999,MATCH(('001-C DMR'!$BY$6&amp;'001-C DMR'!CL$10&amp;'001-C DMR'!$B31),('DMR 001C NEW'!$E$3:$E$1112&amp;'DMR 001C NEW'!$B$3:$B$1112&amp;'DMR 001C NEW'!$A$3:$A$1112),0),MATCH('001-C DMR'!$CA$11,'DMR 001C NEW'!$A$2:$O$2,0)),"")</f>
        <v/>
      </c>
      <c r="CM31" s="61" t="str">
        <f t="shared" si="12"/>
        <v/>
      </c>
      <c r="CN31" s="138" t="str">
        <f t="array" ref="CN31">_xlfn.IFNA((INDEX('DMR 001C NEW'!$A$3:$O$9999,MATCH(('001-C DMR'!$CM$6&amp;'001-C DMR'!$CM$10&amp;'001-C DMR'!$B31),('DMR 001C NEW'!$E$3:$E$9018&amp;'DMR 001C NEW'!$B$3:$B$9018&amp;'DMR 001C NEW'!$A$3:$A$9018),0),MATCH('001-C DMR'!$CN$11,'DMR 001C NEW'!$A$2:$O$2,0))*1000),"")</f>
        <v/>
      </c>
      <c r="CO31" s="138" t="str">
        <f t="array" ref="CO31">_xlfn.IFNA(INDEX('DMR 001C NEW'!$A$3:$O$9999,MATCH(('001-C DMR'!$CM$6&amp;'001-C DMR'!$CM$10&amp;'001-C DMR'!$B31),('DMR 001C NEW'!$E$3:$E$9018&amp;'DMR 001C NEW'!$B$3:$B$9018&amp;'DMR 001C NEW'!$A$3:$A$9018),0),MATCH('001-C DMR'!$CO$11,'DMR 001C NEW'!$A$2:$O$2,0))*1000,"")</f>
        <v/>
      </c>
      <c r="CP31" s="138" t="str">
        <f t="shared" si="13"/>
        <v/>
      </c>
      <c r="CQ31" s="64" t="str">
        <f t="shared" si="34"/>
        <v/>
      </c>
      <c r="CR31" s="280" t="str">
        <f t="array" ref="CR31">_xlfn.IFNA(INDEX('DMR 001C NEW'!$A$3:$O$999,MATCH(('001-C DMR'!$CM$6&amp;'001-C DMR'!CR$10&amp;'001-C DMR'!$B31),('DMR 001C NEW'!$E$3:$E$1112&amp;'DMR 001C NEW'!$B$3:$B$1112&amp;'DMR 001C NEW'!$A$3:$A$1112),0),MATCH('001-C DMR'!$CO$11,'DMR 001C NEW'!$A$2:$O$2,0)),"")</f>
        <v/>
      </c>
      <c r="CS31" s="280" t="str">
        <f t="array" ref="CS31">_xlfn.IFNA(INDEX('DMR 001C NEW'!$A$3:$O$999,MATCH(('001-C DMR'!$CM$6&amp;'001-C DMR'!CS$10&amp;'001-C DMR'!$B31),('DMR 001C NEW'!$E$3:$E$1112&amp;'DMR 001C NEW'!$B$3:$B$1112&amp;'DMR 001C NEW'!$A$3:$A$1112),0),MATCH('001-C DMR'!$CO$11,'DMR 001C NEW'!$A$2:$O$2,0)),"")</f>
        <v/>
      </c>
      <c r="CT31" s="280" t="str">
        <f t="array" ref="CT31">_xlfn.IFNA(INDEX('DMR 001C NEW'!$A$3:$O$999,MATCH(('001-C DMR'!$CM$6&amp;'001-C DMR'!CT$10&amp;'001-C DMR'!$B31),('DMR 001C NEW'!$E$3:$E$1112&amp;'DMR 001C NEW'!$B$3:$B$1112&amp;'DMR 001C NEW'!$A$3:$A$1112),0),MATCH('001-C DMR'!$CO$11,'DMR 001C NEW'!$A$2:$O$2,0)),"")</f>
        <v/>
      </c>
      <c r="CU31" s="280" t="str">
        <f t="array" ref="CU31">_xlfn.IFNA(INDEX('DMR 001C NEW'!$A$3:$O$999,MATCH(('001-C DMR'!$CM$6&amp;'001-C DMR'!CU$10&amp;'001-C DMR'!$B31),('DMR 001C NEW'!$E$3:$E$1112&amp;'DMR 001C NEW'!$B$3:$B$1112&amp;'DMR 001C NEW'!$A$3:$A$1112),0),MATCH('001-C DMR'!$CO$11,'DMR 001C NEW'!$A$2:$O$2,0)),"")</f>
        <v/>
      </c>
      <c r="CV31" s="280" t="str">
        <f t="array" ref="CV31">_xlfn.IFNA(INDEX('DMR 001C NEW'!$A$3:$O$999,MATCH(('001-C DMR'!$CM$6&amp;'001-C DMR'!CV$10&amp;'001-C DMR'!$B31),('DMR 001C NEW'!$E$3:$E$1112&amp;'DMR 001C NEW'!$B$3:$B$1112&amp;'DMR 001C NEW'!$A$3:$A$1112),0),MATCH('001-C DMR'!$CO$11,'DMR 001C NEW'!$A$2:$O$2,0)),"")</f>
        <v/>
      </c>
      <c r="CW31" s="280" t="str">
        <f t="array" ref="CW31">_xlfn.IFNA(INDEX('DMR 001C NEW'!$A$3:$O$999,MATCH(('001-C DMR'!$CM$6&amp;'001-C DMR'!CW$10&amp;'001-C DMR'!$B31),('DMR 001C NEW'!$E$3:$E$1112&amp;'DMR 001C NEW'!$B$3:$B$1112&amp;'DMR 001C NEW'!$A$3:$A$1112),0),MATCH('001-C DMR'!$CO$11,'DMR 001C NEW'!$A$2:$O$2,0)),"")</f>
        <v/>
      </c>
      <c r="CX31" s="280" t="str">
        <f t="array" ref="CX31">_xlfn.IFNA(INDEX('DMR 001C NEW'!$A$3:$O$999,MATCH(('001-C DMR'!$CM$6&amp;'001-C DMR'!CX$10&amp;'001-C DMR'!$B31),('DMR 001C NEW'!$E$3:$E$1112&amp;'DMR 001C NEW'!$B$3:$B$1112&amp;'DMR 001C NEW'!$A$3:$A$1112),0),MATCH('001-C DMR'!$CO$11,'DMR 001C NEW'!$A$2:$O$2,0)),"")</f>
        <v/>
      </c>
      <c r="CY31" s="61" t="str">
        <f t="shared" si="14"/>
        <v/>
      </c>
      <c r="CZ31" s="138" t="str">
        <f t="array" ref="CZ31">_xlfn.IFNA((INDEX('DMR 001C NEW'!$A$3:$O$9999,MATCH(('001-C DMR'!$CY$6&amp;'001-C DMR'!$CY$10&amp;'001-C DMR'!$B31),('DMR 001C NEW'!$E$3:$E$9018&amp;'DMR 001C NEW'!$B$3:$B$9018&amp;'DMR 001C NEW'!$A$3:$A$9018),0),MATCH('001-C DMR'!$CZ$11,'DMR 001C NEW'!$A$2:$O$2,0))*1000),"")</f>
        <v/>
      </c>
      <c r="DA31" s="138" t="str">
        <f t="array" ref="DA31">_xlfn.IFNA(INDEX('DMR 001C NEW'!$A$3:$O$9999,MATCH(('001-C DMR'!$CY$6&amp;'001-C DMR'!$CY$10&amp;'001-C DMR'!$B31),('DMR 001C NEW'!$E$3:$E$9018&amp;'DMR 001C NEW'!$B$3:$B$9018&amp;'DMR 001C NEW'!$A$3:$A$9018),0),MATCH('001-C DMR'!$DA$11,'DMR 001C NEW'!$A$2:$O$2,0))*1000,"")</f>
        <v/>
      </c>
      <c r="DB31" s="138" t="str">
        <f t="shared" si="15"/>
        <v/>
      </c>
      <c r="DC31" s="64" t="str">
        <f t="shared" si="35"/>
        <v/>
      </c>
      <c r="DD31" s="280" t="str">
        <f t="array" ref="DD31">_xlfn.IFNA(INDEX('DMR 001C NEW'!$A$3:$O$999,MATCH(('001-C DMR'!$CY$6&amp;'001-C DMR'!DD$10&amp;'001-C DMR'!$B31),('DMR 001C NEW'!$E$3:$E$1112&amp;'DMR 001C NEW'!$B$3:$B$1112&amp;'DMR 001C NEW'!$A$3:$A$1112),0),MATCH('001-C DMR'!$DA$11,'DMR 001C NEW'!$A$2:$O$2,0)),"")</f>
        <v/>
      </c>
      <c r="DE31" s="280" t="str">
        <f t="array" ref="DE31">_xlfn.IFNA(INDEX('DMR 001C NEW'!$A$3:$O$999,MATCH(('001-C DMR'!$CY$6&amp;'001-C DMR'!DE$10&amp;'001-C DMR'!$B31),('DMR 001C NEW'!$E$3:$E$1112&amp;'DMR 001C NEW'!$B$3:$B$1112&amp;'DMR 001C NEW'!$A$3:$A$1112),0),MATCH('001-C DMR'!$DA$11,'DMR 001C NEW'!$A$2:$O$2,0)),"")</f>
        <v/>
      </c>
      <c r="DF31" s="280" t="str">
        <f t="array" ref="DF31">_xlfn.IFNA(INDEX('DMR 001C NEW'!$A$3:$O$999,MATCH(('001-C DMR'!$CY$6&amp;'001-C DMR'!DF$10&amp;'001-C DMR'!$B31),('DMR 001C NEW'!$E$3:$E$1112&amp;'DMR 001C NEW'!$B$3:$B$1112&amp;'DMR 001C NEW'!$A$3:$A$1112),0),MATCH('001-C DMR'!$DA$11,'DMR 001C NEW'!$A$2:$O$2,0)),"")</f>
        <v/>
      </c>
      <c r="DG31" s="280" t="str">
        <f t="array" ref="DG31">_xlfn.IFNA(INDEX('DMR 001C NEW'!$A$3:$O$999,MATCH(('001-C DMR'!$CY$6&amp;'001-C DMR'!DG$10&amp;'001-C DMR'!$B31),('DMR 001C NEW'!$E$3:$E$1112&amp;'DMR 001C NEW'!$B$3:$B$1112&amp;'DMR 001C NEW'!$A$3:$A$1112),0),MATCH('001-C DMR'!$DA$11,'DMR 001C NEW'!$A$2:$O$2,0)),"")</f>
        <v/>
      </c>
      <c r="DH31" s="280" t="str">
        <f t="array" ref="DH31">_xlfn.IFNA(INDEX('DMR 001C NEW'!$A$3:$O$999,MATCH(('001-C DMR'!$CY$6&amp;'001-C DMR'!DH$10&amp;'001-C DMR'!$B31),('DMR 001C NEW'!$E$3:$E$1112&amp;'DMR 001C NEW'!$B$3:$B$1112&amp;'DMR 001C NEW'!$A$3:$A$1112),0),MATCH('001-C DMR'!$DA$11,'DMR 001C NEW'!$A$2:$O$2,0)),"")</f>
        <v/>
      </c>
      <c r="DI31" s="280" t="str">
        <f t="array" ref="DI31">_xlfn.IFNA(INDEX('DMR 001C NEW'!$A$3:$O$999,MATCH(('001-C DMR'!$CY$6&amp;'001-C DMR'!DI$10&amp;'001-C DMR'!$B31),('DMR 001C NEW'!$E$3:$E$1112&amp;'DMR 001C NEW'!$B$3:$B$1112&amp;'DMR 001C NEW'!$A$3:$A$1112),0),MATCH('001-C DMR'!$DA$11,'DMR 001C NEW'!$A$2:$O$2,0)),"")</f>
        <v/>
      </c>
      <c r="DJ31" s="280" t="str">
        <f t="array" ref="DJ31">_xlfn.IFNA(INDEX('DMR 001C NEW'!$A$3:$O$999,MATCH(('001-C DMR'!$CY$6&amp;'001-C DMR'!DJ$10&amp;'001-C DMR'!$B31),('DMR 001C NEW'!$E$3:$E$1112&amp;'DMR 001C NEW'!$B$3:$B$1112&amp;'DMR 001C NEW'!$A$3:$A$1112),0),MATCH('001-C DMR'!$DA$11,'DMR 001C NEW'!$A$2:$O$2,0)),"")</f>
        <v/>
      </c>
      <c r="DK31" s="61" t="str">
        <f t="shared" si="16"/>
        <v/>
      </c>
      <c r="DL31" s="58" t="str">
        <f t="array" ref="DL31">_xlfn.IFNA((INDEX('DMR 001C NEW'!$A$3:$O$9999,MATCH(('001-C DMR'!$DK$6&amp;'001-C DMR'!$DK$10&amp;'001-C DMR'!$B31),('DMR 001C NEW'!$E$3:$E$9018&amp;'DMR 001C NEW'!$B$3:$B$9018&amp;'DMR 001C NEW'!$A$3:$A$9018),0),MATCH('001-C DMR'!$DL$11,'DMR 001C NEW'!$A$2:$O$2,0))),"")</f>
        <v/>
      </c>
      <c r="DM31" s="58" t="str">
        <f t="array" ref="DM31">_xlfn.IFNA(INDEX('DMR 001C NEW'!$A$3:$O$9999,MATCH(('001-C DMR'!$DK$6&amp;'001-C DMR'!$DK$10&amp;'001-C DMR'!$B31),('DMR 001C NEW'!$E$3:$E$9018&amp;'DMR 001C NEW'!$B$3:$B$9018&amp;'DMR 001C NEW'!$A$3:$A$9018),0),MATCH('001-C DMR'!$DM$11,'DMR 001C NEW'!$A$2:$O$2,0)),"")</f>
        <v/>
      </c>
      <c r="DN31" s="58" t="str">
        <f t="shared" si="17"/>
        <v/>
      </c>
      <c r="DO31" s="223"/>
      <c r="DP31" s="224"/>
      <c r="DQ31" s="64" t="str">
        <f t="shared" si="18"/>
        <v/>
      </c>
      <c r="DR31" s="280" t="str">
        <f t="array" ref="DR31">_xlfn.IFNA(INDEX('DMR 001C NEW'!$A$3:$O$999,MATCH(('001-C DMR'!$DK$6&amp;'001-C DMR'!DR$10&amp;'001-C DMR'!$B31),('DMR 001C NEW'!$E$3:$E$1112&amp;'DMR 001C NEW'!$B$3:$B$1112&amp;'DMR 001C NEW'!$A$3:$A$1112),0),MATCH('001-C DMR'!$DR$11,'DMR 001C NEW'!$A$2:$O$2,0)),"")</f>
        <v/>
      </c>
      <c r="DS31" s="280" t="str">
        <f t="array" ref="DS31">_xlfn.IFNA(INDEX('DMR 001C NEW'!$A$3:$O$999,MATCH(('001-C DMR'!$DK$6&amp;'001-C DMR'!DS$10&amp;'001-C DMR'!$B31),('DMR 001C NEW'!$E$3:$E$1112&amp;'DMR 001C NEW'!$B$3:$B$1112&amp;'DMR 001C NEW'!$A$3:$A$1112),0),MATCH('001-C DMR'!$DR$11,'DMR 001C NEW'!$A$2:$O$2,0)),"")</f>
        <v/>
      </c>
      <c r="DT31" s="280" t="str">
        <f t="array" ref="DT31">_xlfn.IFNA(INDEX('DMR 001C NEW'!$A$3:$O$999,MATCH(('001-C DMR'!$DK$6&amp;'001-C DMR'!DT$10&amp;'001-C DMR'!$B31),('DMR 001C NEW'!$E$3:$E$1112&amp;'DMR 001C NEW'!$B$3:$B$1112&amp;'DMR 001C NEW'!$A$3:$A$1112),0),MATCH('001-C DMR'!$DR$11,'DMR 001C NEW'!$A$2:$O$2,0)),"")</f>
        <v/>
      </c>
      <c r="DU31" s="280" t="str">
        <f t="array" ref="DU31">_xlfn.IFNA(INDEX('DMR 001C NEW'!$A$3:$O$999,MATCH(('001-C DMR'!$DK$6&amp;'001-C DMR'!DU$10&amp;'001-C DMR'!$B31),('DMR 001C NEW'!$E$3:$E$1112&amp;'DMR 001C NEW'!$B$3:$B$1112&amp;'DMR 001C NEW'!$A$3:$A$1112),0),MATCH('001-C DMR'!$DR$11,'DMR 001C NEW'!$A$2:$O$2,0)),"")</f>
        <v/>
      </c>
      <c r="DV31" s="280" t="str">
        <f t="array" ref="DV31">_xlfn.IFNA(INDEX('DMR 001C NEW'!$A$3:$O$999,MATCH(('001-C DMR'!$DK$6&amp;'001-C DMR'!DV$10&amp;'001-C DMR'!$B31),('DMR 001C NEW'!$E$3:$E$1112&amp;'DMR 001C NEW'!$B$3:$B$1112&amp;'DMR 001C NEW'!$A$3:$A$1112),0),MATCH('001-C DMR'!$DR$11,'DMR 001C NEW'!$A$2:$O$2,0)),"")</f>
        <v/>
      </c>
      <c r="DW31" s="280" t="str">
        <f t="array" ref="DW31">_xlfn.IFNA(INDEX('DMR 001C NEW'!$A$3:$O$999,MATCH(('001-C DMR'!$DK$6&amp;'001-C DMR'!DW$10&amp;'001-C DMR'!$B31),('DMR 001C NEW'!$E$3:$E$1112&amp;'DMR 001C NEW'!$B$3:$B$1112&amp;'DMR 001C NEW'!$A$3:$A$1112),0),MATCH('001-C DMR'!$DR$11,'DMR 001C NEW'!$A$2:$O$2,0)),"")</f>
        <v/>
      </c>
      <c r="DX31" s="280" t="str">
        <f t="array" ref="DX31">_xlfn.IFNA(INDEX('DMR 001C NEW'!$A$3:$O$999,MATCH(('001-C DMR'!$DK$6&amp;'001-C DMR'!DX$10&amp;'001-C DMR'!$B31),('DMR 001C NEW'!$E$3:$E$1112&amp;'DMR 001C NEW'!$B$3:$B$1112&amp;'DMR 001C NEW'!$A$3:$A$1112),0),MATCH('001-C DMR'!$DR$11,'DMR 001C NEW'!$A$2:$O$2,0)),"")</f>
        <v/>
      </c>
      <c r="DY31" s="61" t="str">
        <f t="shared" si="28"/>
        <v/>
      </c>
      <c r="DZ31" s="249" t="str">
        <f t="array" ref="DZ31">_xlfn.IFNA((INDEX('DMR 001C NEW'!$A$3:$O$9999,MATCH(('001-C DMR'!$DY$6&amp;'001-C DMR'!$DY$10&amp;'001-C DMR'!$B31),('DMR 001C NEW'!$E$3:$E$9018&amp;'DMR 001C NEW'!$B$3:$B$9018&amp;'DMR 001C NEW'!$A$3:$A$9018),0),MATCH('001-C DMR'!$DZ$11,'DMR 001C NEW'!$A$2:$O$2,0))),"")</f>
        <v/>
      </c>
      <c r="EA31" s="249" t="str">
        <f t="array" ref="EA31">_xlfn.IFNA((INDEX('DMR 001C NEW'!$A$3:$O$9999,MATCH(('001-C DMR'!$DY$6&amp;'001-C DMR'!$DY$10&amp;'001-C DMR'!$B31),('DMR 001C NEW'!$E$3:$E$9018&amp;'DMR 001C NEW'!$B$3:$B$9018&amp;'DMR 001C NEW'!$A$3:$A$9018),0),MATCH('001-C DMR'!$EA$11,'DMR 001C NEW'!$A$2:$O$2,0))),"")</f>
        <v/>
      </c>
      <c r="EB31" s="249" t="str">
        <f t="array" ref="EB31">IF(EA31="SCRATCHED","",IF(EA31&lt;DZ31,0,EA31))</f>
        <v/>
      </c>
      <c r="EC31" s="249" t="str">
        <f t="shared" si="29"/>
        <v/>
      </c>
      <c r="ED31" s="249" t="str">
        <f t="array" ref="ED31">_xlfn.IFNA((INDEX('DMR 001C NEW'!$A$3:$O$9999,MATCH(('001-C DMR'!$DY$6&amp;'001-C DMR'!$EC$10&amp;'001-C DMR'!$B31),('DMR 001C NEW'!$E$3:$E$9018&amp;'DMR 001C NEW'!$B$3:$B$9018&amp;'DMR 001C NEW'!$A$3:$A$9018),0),MATCH('001-C DMR'!$DZ$11,'DMR 001C NEW'!$A$2:$O$2,0))),"")</f>
        <v/>
      </c>
      <c r="EE31" s="249" t="str">
        <f t="array" ref="EE31">_xlfn.IFNA((INDEX('DMR 001C NEW'!$A$3:$O$9999,MATCH(('001-C DMR'!$DY$6&amp;'001-C DMR'!$EC$10&amp;'001-C DMR'!$B31),('DMR 001C NEW'!$E$3:$E$9018&amp;'DMR 001C NEW'!$B$3:$B$9018&amp;'DMR 001C NEW'!$A$3:$A$9018),0),MATCH('001-C DMR'!$EE$11,'DMR 001C NEW'!$A$2:$O$2,0))),"")</f>
        <v/>
      </c>
      <c r="EF31" s="249" t="str">
        <f t="array" ref="EF31">IF(EE31="SCRATCHED","",IF(EE31&lt;ED31,0,EE31))</f>
        <v/>
      </c>
      <c r="EG31" s="249"/>
      <c r="EH31" s="195"/>
      <c r="EI31" s="194">
        <f t="array" ref="EI31">_xlfn.IFNA(INDEX('DMR Flows-Effluent'!$A$3:$F$186,MATCH(($EI$10&amp;$B31),('DMR Flows-Effluent'!$B$3:$B$186&amp;'DMR Flows-Effluent'!$A$3:$A$186),0),MATCH($EI$8,'DMR Flows-Effluent'!$A$2:$F$2,0)),"")</f>
        <v>45.667099999999998</v>
      </c>
      <c r="EJ31" s="56">
        <f t="array" ref="EJ31">_xlfn.IFNA(INDEX('DMR Flows-Effluent'!$A$3:$F$186,MATCH(($EJ$10&amp;$B31),('DMR Flows-Effluent'!$B$3:$B$186&amp;'DMR Flows-Effluent'!$A$3:$A$186),0),MATCH($EI$8,'DMR Flows-Effluent'!$A$2:$F$2,0)),"")</f>
        <v>78.309799999999996</v>
      </c>
      <c r="EK31" s="168">
        <f t="shared" si="19"/>
        <v>123.9769</v>
      </c>
      <c r="EL31" s="63"/>
      <c r="EM31" s="63"/>
      <c r="EN31" s="63"/>
      <c r="EO31" s="63"/>
      <c r="EP31" s="62"/>
      <c r="EQ31" s="157">
        <f>'E.Coli Calculations'!R25</f>
        <v>124.51462748961234</v>
      </c>
      <c r="ER31" s="56"/>
      <c r="ES31" s="64" t="str">
        <f t="shared" si="36"/>
        <v/>
      </c>
      <c r="ET31" s="61" t="str">
        <f t="shared" si="20"/>
        <v/>
      </c>
      <c r="EU31" s="58" t="str">
        <f t="array" ref="EU31">_xlfn.IFNA((INDEX('DMR 001C NEW'!$A$3:$O$9999,MATCH(('001-C DMR'!$ET$6&amp;'001-C DMR'!$ET$10&amp;'001-C DMR'!$B31),('DMR 001C NEW'!$E$3:$E$9018&amp;'DMR 001C NEW'!$B$3:$B$9018&amp;'DMR 001C NEW'!$A$3:$A$9018),0),MATCH('001-C DMR'!$EU$11,'DMR 001C NEW'!$A$2:$O$2,0))),"")</f>
        <v/>
      </c>
      <c r="EV31" s="58" t="str">
        <f t="array" ref="EV31">_xlfn.IFNA(INDEX('DMR 001C NEW'!$A$3:$O$9999,MATCH(('001-C DMR'!$ET$6&amp;'001-C DMR'!$ET$10&amp;'001-C DMR'!$B31),('DMR 001C NEW'!$E$3:$E$9018&amp;'DMR 001C NEW'!$B$3:$B$9018&amp;'DMR 001C NEW'!$A$3:$A$9018),0),MATCH('001-C DMR'!$EV$11,'DMR 001C NEW'!$A$2:$O$2,0)),"")</f>
        <v/>
      </c>
      <c r="EW31" s="56" t="str">
        <f t="shared" si="21"/>
        <v/>
      </c>
      <c r="EX31" s="64"/>
      <c r="EY31" s="279" t="str">
        <f t="array" ref="EY31">_xlfn.IFNA(INDEX('DMR 001C NEW'!$A$3:$O$999,MATCH(('001-C DMR'!$ET$6&amp;'001-C DMR'!EY$10&amp;'001-C DMR'!$B31),('DMR 001C NEW'!$E$3:$E$1112&amp;'DMR 001C NEW'!$B$3:$B$1112&amp;'DMR 001C NEW'!$A$3:$A$1112),0),MATCH('001-C DMR'!$EY$11,'DMR 001C NEW'!$A$2:$O$2,0)),"")</f>
        <v/>
      </c>
      <c r="EZ31" s="280" t="str">
        <f t="array" ref="EZ31">_xlfn.IFNA(INDEX('DMR 001C NEW'!$A$3:$O$999,MATCH(('001-C DMR'!$ET$6&amp;'001-C DMR'!EZ$10&amp;'001-C DMR'!$B31),('DMR 001C NEW'!$E$3:$E$1112&amp;'DMR 001C NEW'!$B$3:$B$1112&amp;'DMR 001C NEW'!$A$3:$A$1112),0),MATCH('001-C DMR'!$EY$11,'DMR 001C NEW'!$A$2:$O$2,0)),"")</f>
        <v/>
      </c>
      <c r="FA31" s="280" t="str">
        <f t="array" ref="FA31">_xlfn.IFNA(INDEX('DMR 001C NEW'!$A$3:$O$999,MATCH(('001-C DMR'!$ET$6&amp;'001-C DMR'!FA$10&amp;'001-C DMR'!$B31),('DMR 001C NEW'!$E$3:$E$1112&amp;'DMR 001C NEW'!$B$3:$B$1112&amp;'DMR 001C NEW'!$A$3:$A$1112),0),MATCH('001-C DMR'!$EY$11,'DMR 001C NEW'!$A$2:$O$2,0)),"")</f>
        <v/>
      </c>
      <c r="FB31" s="280" t="str">
        <f t="array" ref="FB31">_xlfn.IFNA(INDEX('DMR 001C NEW'!$A$3:$O$999,MATCH(('001-C DMR'!$ET$6&amp;'001-C DMR'!FB$10&amp;'001-C DMR'!$B31),('DMR 001C NEW'!$E$3:$E$1112&amp;'DMR 001C NEW'!$B$3:$B$1112&amp;'DMR 001C NEW'!$A$3:$A$1112),0),MATCH('001-C DMR'!$EY$11,'DMR 001C NEW'!$A$2:$O$2,0)),"")</f>
        <v/>
      </c>
      <c r="FC31" s="280" t="str">
        <f t="array" ref="FC31">_xlfn.IFNA(INDEX('DMR 001C NEW'!$A$3:$O$999,MATCH(('001-C DMR'!$ET$6&amp;'001-C DMR'!FC$10&amp;'001-C DMR'!$B31),('DMR 001C NEW'!$E$3:$E$1112&amp;'DMR 001C NEW'!$B$3:$B$1112&amp;'DMR 001C NEW'!$A$3:$A$1112),0),MATCH('001-C DMR'!$EY$11,'DMR 001C NEW'!$A$2:$O$2,0)),"")</f>
        <v/>
      </c>
      <c r="FD31" s="280" t="str">
        <f t="array" ref="FD31">_xlfn.IFNA(INDEX('DMR 001C NEW'!$A$3:$O$999,MATCH(('001-C DMR'!$ET$6&amp;'001-C DMR'!FD$10&amp;'001-C DMR'!$B31),('DMR 001C NEW'!$E$3:$E$1112&amp;'DMR 001C NEW'!$B$3:$B$1112&amp;'DMR 001C NEW'!$A$3:$A$1112),0),MATCH('001-C DMR'!$EY$11,'DMR 001C NEW'!$A$2:$O$2,0)),"")</f>
        <v/>
      </c>
      <c r="FE31" s="281" t="str">
        <f t="array" ref="FE31">_xlfn.IFNA(INDEX('DMR 001C NEW'!$A$3:$O$999,MATCH(('001-C DMR'!$ET$6&amp;'001-C DMR'!FE$10&amp;'001-C DMR'!$B31),('DMR 001C NEW'!$E$3:$E$1112&amp;'DMR 001C NEW'!$B$3:$B$1112&amp;'DMR 001C NEW'!$A$3:$A$1112),0),MATCH('001-C DMR'!$EY$11,'DMR 001C NEW'!$A$2:$O$2,0)),"")</f>
        <v/>
      </c>
      <c r="FF31" s="57" t="str">
        <f t="shared" si="22"/>
        <v/>
      </c>
      <c r="FG31" s="56">
        <f t="array" ref="FG31">_xlfn.IFNA(INDEX('DMR 001C NEW'!$A$3:$O$9999,MATCH(('001-C DMR'!$FF$6&amp;'001-C DMR'!$FF$10&amp;'001-C DMR'!$B31),('DMR 001C NEW'!$E$3:$E$7246&amp;'DMR 001C NEW'!$B$3:$B$7246&amp;'DMR 001C NEW'!$A$3:$A$7246),0),MATCH('001-C DMR'!$FG$11,'DMR 001C NEW'!$A$2:$O$2,0)),"")</f>
        <v>0</v>
      </c>
      <c r="FH31" s="56">
        <f t="array" ref="FH31">_xlfn.IFNA(INDEX('DMR 001C NEW'!$A$3:$O$9999,MATCH(('001-C DMR'!$FF$6&amp;'001-C DMR'!$FF$10&amp;'001-C DMR'!$B31),('DMR 001C NEW'!$E$3:$E$7246&amp;'DMR 001C NEW'!$B$3:$B$7246&amp;'DMR 001C NEW'!$A$3:$A$7246),0),MATCH('001-C DMR'!$FH$11,'DMR 001C NEW'!$A$2:$O$2,0)),"")</f>
        <v>4</v>
      </c>
      <c r="FI31" s="57" t="str">
        <f t="shared" si="23"/>
        <v/>
      </c>
      <c r="FJ31" s="56">
        <f t="array" ref="FJ31">_xlfn.IFNA(INDEX('DMR 001C NEW'!$A$3:$O$9999,MATCH(('001-C DMR'!$FF$6&amp;'001-C DMR'!$FI$10&amp;'001-C DMR'!$B31),('DMR 001C NEW'!$E$3:$E$7246&amp;'DMR 001C NEW'!$B$3:$B$7246&amp;'DMR 001C NEW'!$A$3:$A$7246),0),MATCH('001-C DMR'!$FG$11,'DMR 001C NEW'!$A$2:$O$2,0)),"")</f>
        <v>0</v>
      </c>
      <c r="FK31" s="56">
        <f t="array" ref="FK31">_xlfn.IFNA(INDEX('DMR 001C NEW'!$A$3:$O$9999,MATCH(('001-C DMR'!$FF$6&amp;'001-C DMR'!$FI$10&amp;'001-C DMR'!$B31),('DMR 001C NEW'!$E$3:$E$7246&amp;'DMR 001C NEW'!$B$3:$B$7246&amp;'DMR 001C NEW'!$A$3:$A$7246),0),MATCH('001-C DMR'!$FH$11,'DMR 001C NEW'!$A$2:$O$2,0)),"")</f>
        <v>5</v>
      </c>
      <c r="FL31" s="56">
        <f t="array" ref="FL31">IFERROR((($FH31*$EI31)+($FK31*$EJ31))/($EK31),"")</f>
        <v>4.6316483151296737</v>
      </c>
      <c r="FM31" s="56" t="str">
        <f t="shared" si="43"/>
        <v/>
      </c>
      <c r="FN31" s="64" t="str">
        <f t="shared" si="37"/>
        <v/>
      </c>
      <c r="FO31" s="66"/>
      <c r="FP31" s="280" t="str">
        <f t="array" ref="FP31">_xlfn.IFNA(INDEX('DMR 001C NEW'!$A$3:$O$999,MATCH(('001-C DMR'!$FF$6&amp;'001-C DMR'!FP$10&amp;'001-C DMR'!$B31),('DMR 001C NEW'!$E$3:$E$1112&amp;'DMR 001C NEW'!$B$3:$B$1112&amp;'DMR 001C NEW'!$A$3:$A$1112),0),MATCH('001-C DMR'!$FH$11,'DMR 001C NEW'!$A$2:$O$2,0)),"")</f>
        <v/>
      </c>
      <c r="FQ31" s="280" t="str">
        <f t="array" ref="FQ31">_xlfn.IFNA(INDEX('DMR 001C NEW'!$A$3:$O$999,MATCH(('001-C DMR'!$FF$6&amp;'001-C DMR'!FQ$10&amp;'001-C DMR'!$B31),('DMR 001C NEW'!$E$3:$E$1112&amp;'DMR 001C NEW'!$B$3:$B$1112&amp;'DMR 001C NEW'!$A$3:$A$1112),0),MATCH('001-C DMR'!$FH$11,'DMR 001C NEW'!$A$2:$O$2,0)),"")</f>
        <v/>
      </c>
      <c r="FR31" s="280" t="str">
        <f t="array" ref="FR31">_xlfn.IFNA(INDEX('DMR 001C NEW'!$A$3:$O$999,MATCH(('001-C DMR'!$FF$6&amp;'001-C DMR'!FR$10&amp;'001-C DMR'!$B31),('DMR 001C NEW'!$E$3:$E$1112&amp;'DMR 001C NEW'!$B$3:$B$1112&amp;'DMR 001C NEW'!$A$3:$A$1112),0),MATCH('001-C DMR'!$FH$11,'DMR 001C NEW'!$A$2:$O$2,0)),"")</f>
        <v/>
      </c>
      <c r="FS31" s="280" t="str">
        <f t="array" ref="FS31">_xlfn.IFNA(INDEX('DMR 001C NEW'!$A$3:$O$999,MATCH(('001-C DMR'!$FF$6&amp;'001-C DMR'!FS$10&amp;'001-C DMR'!$B31),('DMR 001C NEW'!$E$3:$E$1112&amp;'DMR 001C NEW'!$B$3:$B$1112&amp;'DMR 001C NEW'!$A$3:$A$1112),0),MATCH('001-C DMR'!$FH$11,'DMR 001C NEW'!$A$2:$O$2,0)),"")</f>
        <v/>
      </c>
      <c r="FT31" s="280" t="str">
        <f t="array" ref="FT31">_xlfn.IFNA(INDEX('DMR 001C NEW'!$A$3:$O$999,MATCH(('001-C DMR'!$FF$6&amp;'001-C DMR'!FT$10&amp;'001-C DMR'!$B31),('DMR 001C NEW'!$E$3:$E$1112&amp;'DMR 001C NEW'!$B$3:$B$1112&amp;'DMR 001C NEW'!$A$3:$A$1112),0),MATCH('001-C DMR'!$FH$11,'DMR 001C NEW'!$A$2:$O$2,0)),"")</f>
        <v/>
      </c>
      <c r="FU31" s="280" t="str">
        <f t="array" ref="FU31">_xlfn.IFNA(INDEX('DMR 001C NEW'!$A$3:$O$999,MATCH(('001-C DMR'!$FF$6&amp;'001-C DMR'!FU$10&amp;'001-C DMR'!$B31),('DMR 001C NEW'!$E$3:$E$1112&amp;'DMR 001C NEW'!$B$3:$B$1112&amp;'DMR 001C NEW'!$A$3:$A$1112),0),MATCH('001-C DMR'!$FH$11,'DMR 001C NEW'!$A$2:$O$2,0)),"")</f>
        <v/>
      </c>
      <c r="FV31" s="66"/>
      <c r="FW31" s="61" t="str">
        <f t="shared" si="24"/>
        <v/>
      </c>
      <c r="FX31" s="58" t="str">
        <f t="array" ref="FX31">_xlfn.IFNA(INDEX('DMR 001C NEW'!$A$3:$O$9999,MATCH(('001-C DMR'!$FW$6&amp;'001-C DMR'!$FW$10&amp;'001-C DMR'!$B31),('DMR 001C NEW'!$E$3:$E$7246&amp;'DMR 001C NEW'!$B$3:$B$7246&amp;'DMR 001C NEW'!$A$3:$A$7246),0),MATCH('001-C DMR'!$FX$11,'DMR 001C NEW'!$A$2:$O$2,0)),"")</f>
        <v/>
      </c>
      <c r="FY31" s="58" t="str">
        <f t="array" ref="FY31">_xlfn.IFNA(INDEX('DMR 001C NEW'!$A$3:$O$9999,MATCH(('001-C DMR'!$FW$6&amp;'001-C DMR'!$FW$10&amp;'001-C DMR'!$B31),('DMR 001C NEW'!$E$3:$E$7246&amp;'DMR 001C NEW'!$B$3:$B$7246&amp;'DMR 001C NEW'!$A$3:$A$7246),0),MATCH('001-C DMR'!$FY$11,'DMR 001C NEW'!$A$2:$O$2,0)),"")</f>
        <v/>
      </c>
      <c r="FZ31" s="57" t="str">
        <f t="shared" si="25"/>
        <v/>
      </c>
      <c r="GA31" s="58" t="str">
        <f t="array" ref="GA31">_xlfn.IFNA(INDEX('DMR 001C NEW'!$A$3:$O$9999,MATCH(('001-C DMR'!$FW$6&amp;'001-C DMR'!$FZ$10&amp;'001-C DMR'!$B31),('DMR 001C NEW'!$E$3:$E$7246&amp;'DMR 001C NEW'!$B$3:$B$7246&amp;'DMR 001C NEW'!$A$3:$A$7246),0),MATCH('001-C DMR'!$FX$11,'DMR 001C NEW'!$A$2:$O$2,0)),"")</f>
        <v/>
      </c>
      <c r="GB31" s="58" t="str">
        <f t="array" ref="GB31">_xlfn.IFNA(INDEX('DMR 001C NEW'!$A$3:$O$9999,MATCH(('001-C DMR'!$FW$6&amp;'001-C DMR'!$FZ$10&amp;'001-C DMR'!$B31),('DMR 001C NEW'!$E$3:$E$7246&amp;'DMR 001C NEW'!$B$3:$B$7246&amp;'DMR 001C NEW'!$A$3:$A$7246),0),MATCH('001-C DMR'!$GB$11,'DMR 001C NEW'!$A$2:$O$2,0)),"")</f>
        <v/>
      </c>
      <c r="GC31" s="56" t="str">
        <f t="shared" si="4"/>
        <v/>
      </c>
      <c r="GD31" s="64" t="str">
        <f t="shared" si="38"/>
        <v/>
      </c>
      <c r="GE31" s="279" t="str">
        <f t="array" ref="GE31">_xlfn.IFNA(INDEX('DMR 001C NEW'!$A$3:$O$999,MATCH(('001-C DMR'!$FW$6&amp;'001-C DMR'!GE$10&amp;'001-C DMR'!$B31),('DMR 001C NEW'!$E$3:$E$1112&amp;'DMR 001C NEW'!$B$3:$B$1112&amp;'DMR 001C NEW'!$A$3:$A$1112),0),MATCH('001-C DMR'!$FY$11,'DMR 001C NEW'!$A$2:$O$2,0)),"")</f>
        <v/>
      </c>
      <c r="GF31" s="280" t="str">
        <f t="array" ref="GF31">_xlfn.IFNA(INDEX('DMR 001C NEW'!$A$3:$O$999,MATCH(('001-C DMR'!$FW$6&amp;'001-C DMR'!GF$10&amp;'001-C DMR'!$B31),('DMR 001C NEW'!$E$3:$E$1112&amp;'DMR 001C NEW'!$B$3:$B$1112&amp;'DMR 001C NEW'!$A$3:$A$1112),0),MATCH('001-C DMR'!$FY$11,'DMR 001C NEW'!$A$2:$O$2,0)),"")</f>
        <v/>
      </c>
      <c r="GG31" s="280" t="str">
        <f t="array" ref="GG31">_xlfn.IFNA(INDEX('DMR 001C NEW'!$A$3:$O$999,MATCH(('001-C DMR'!$FW$6&amp;'001-C DMR'!GG$10&amp;'001-C DMR'!$B31),('DMR 001C NEW'!$E$3:$E$1112&amp;'DMR 001C NEW'!$B$3:$B$1112&amp;'DMR 001C NEW'!$A$3:$A$1112),0),MATCH('001-C DMR'!$FY$11,'DMR 001C NEW'!$A$2:$O$2,0)),"")</f>
        <v/>
      </c>
      <c r="GH31" s="280" t="str">
        <f t="array" ref="GH31">_xlfn.IFNA(INDEX('DMR 001C NEW'!$A$3:$O$999,MATCH(('001-C DMR'!$FW$6&amp;'001-C DMR'!GH$10&amp;'001-C DMR'!$B31),('DMR 001C NEW'!$E$3:$E$1112&amp;'DMR 001C NEW'!$B$3:$B$1112&amp;'DMR 001C NEW'!$A$3:$A$1112),0),MATCH('001-C DMR'!$FY$11,'DMR 001C NEW'!$A$2:$O$2,0)),"")</f>
        <v/>
      </c>
      <c r="GI31" s="280" t="str">
        <f t="array" ref="GI31">_xlfn.IFNA(INDEX('DMR 001C NEW'!$A$3:$O$999,MATCH(('001-C DMR'!$FW$6&amp;'001-C DMR'!GI$10&amp;'001-C DMR'!$B31),('DMR 001C NEW'!$E$3:$E$1112&amp;'DMR 001C NEW'!$B$3:$B$1112&amp;'DMR 001C NEW'!$A$3:$A$1112),0),MATCH('001-C DMR'!$FY$11,'DMR 001C NEW'!$A$2:$O$2,0)),"")</f>
        <v/>
      </c>
      <c r="GJ31" s="281" t="str">
        <f t="array" ref="GJ31">_xlfn.IFNA(INDEX('DMR 001C NEW'!$A$3:$O$999,MATCH(('001-C DMR'!$FW$6&amp;'001-C DMR'!GJ$10&amp;'001-C DMR'!$B31),('DMR 001C NEW'!$E$3:$E$1112&amp;'DMR 001C NEW'!$B$3:$B$1112&amp;'DMR 001C NEW'!$A$3:$A$1112),0),MATCH('001-C DMR'!$FY$11,'DMR 001C NEW'!$A$2:$O$2,0)),"")</f>
        <v/>
      </c>
      <c r="GK31" s="58" t="str">
        <f t="array" ref="GK31">_xlfn.IFNA(INDEX('DMR 001C NEW'!$A$3:$O$9999,MATCH(('001-C DMR'!$GK$6&amp;'001-C DMR'!$GK$10&amp;'001-C DMR'!$B31),('DMR 001C NEW'!$E$3:$E$9018&amp;'DMR 001C NEW'!$B$3:$B$9018&amp;'DMR 001C NEW'!$A$3:$A$9018),0),MATCH('001-C DMR'!$GK$11,'DMR 001C NEW'!$A$2:$O$2,0)),"")</f>
        <v>n</v>
      </c>
      <c r="GL31" s="58" t="str">
        <f t="array" ref="GL31">_xlfn.IFNA(INDEX('DMR 001C NEW'!$A$3:$O$9999,MATCH(('001-C DMR'!$GK$6&amp;'001-C DMR'!$GL$10&amp;'001-C DMR'!$B31),('DMR 001C NEW'!$E$3:$E$9018&amp;'DMR 001C NEW'!$B$3:$B$9018&amp;'DMR 001C NEW'!$A$3:$A$9018),0),MATCH('001-C DMR'!$GK$11,'DMR 001C NEW'!$A$2:$O$2,0)),"")</f>
        <v>n</v>
      </c>
      <c r="GM31" s="134"/>
      <c r="GN31" s="64" t="str">
        <f t="shared" si="44"/>
        <v/>
      </c>
    </row>
    <row r="32" spans="1:282" s="51" customFormat="1" x14ac:dyDescent="0.25">
      <c r="A32" s="67" t="str">
        <f t="shared" si="5"/>
        <v>Sat</v>
      </c>
      <c r="B32" s="216">
        <f t="shared" si="26"/>
        <v>43694</v>
      </c>
      <c r="C32" s="93">
        <f t="array" ref="C32">INDEX('DMR 001C NEW'!$A$3:$N$10020,MATCH(('001-C DMR'!$C$6:$K$6&amp;'001-C DMR'!$C$10:$E$10&amp;'001-C DMR'!$B32),('DMR 001C NEW'!$E$3:$E$7246&amp;'DMR 001C NEW'!$B$3:$B$7246&amp;'DMR 001C NEW'!$A$3:$A$7246),0),MATCH('001-C DMR'!$C$11,'DMR 001C NEW'!$A$2:$O$2,0))</f>
        <v>5.6</v>
      </c>
      <c r="D32" s="56" t="str">
        <f t="array" ref="D32">INDEX('DMR 001C NEW'!$A$3:$N$11771,MATCH(('001-C DMR'!$C$6:$K$6&amp;'001-C DMR'!$C$10:$E$10&amp;'001-C DMR'!$B32),('DMR 001C NEW'!$E$3:$E$9018&amp;'DMR 001C NEW'!$B$3:$B$9018&amp;'DMR 001C NEW'!$A$3:$A$9018),0),MATCH('001-C DMR'!$D$11,'DMR 001C NEW'!$A$2:$O$2,0))</f>
        <v>AE69614</v>
      </c>
      <c r="E32" s="56">
        <f t="array" ref="E32">INDEX('DMR 001C NEW'!$A$3:$N$9999,MATCH(('001-C DMR'!$E$11&amp;'001-C DMR'!$C$10:$E$10&amp;'001-C DMR'!$B32&amp;$D32),('DMR 001C NEW'!$E$3:$E$7246&amp;'DMR 001C NEW'!$B$3:$B$7246&amp;'DMR 001C NEW'!$A$3:$A$7246&amp;'DMR 001C NEW'!$M$3:$M$7188),0),MATCH($C$11,'DMR 001C NEW'!$A$2:$O$2,0))</f>
        <v>22.49</v>
      </c>
      <c r="F32" s="56">
        <f t="array" ref="F32">INDEX('DMR 001C NEW'!$A$3:$N$9999,MATCH('001-C DMR'!$C$6:$K$6&amp;'001-C DMR'!$F$10&amp;'001-C DMR'!$B32,('DMR 001C NEW'!$E$3:$E$7246&amp;'DMR 001C NEW'!$B$3:$B$7246&amp;'DMR 001C NEW'!$A$3:$A$7246),0),MATCH('001-C DMR'!$C$11,'DMR 001C NEW'!$A$2:$O$2,0))</f>
        <v>6.6</v>
      </c>
      <c r="G32" s="56" t="str">
        <f t="array" ref="G32">INDEX('DMR 001C NEW'!$A$3:$N$3865,MATCH(('001-C DMR'!$C$6:$K$6&amp;'001-C DMR'!$F$10&amp;'001-C DMR'!$B32),('DMR 001C NEW'!$E$3:$E$1112&amp;'DMR 001C NEW'!$B$3:$B$1112&amp;'DMR 001C NEW'!$A$3:$A$1112),0),MATCH('001-C DMR'!$D$11,'DMR 001C NEW'!$A$2:$O$2,0))</f>
        <v>AE69615</v>
      </c>
      <c r="H32" s="56">
        <f t="array" ref="H32">INDEX('DMR 001C NEW'!$A$3:$N$9999,MATCH(('001-C DMR'!$E$11&amp;'001-C DMR'!$F$10&amp;'001-C DMR'!$B32&amp;$G32),('DMR 001C NEW'!$E$3:$E$7246&amp;'DMR 001C NEW'!$B$3:$B$7246&amp;'DMR 001C NEW'!$A$3:$A$7246&amp;'DMR 001C NEW'!$M$3:$M$7188),0),MATCH($C$11,'DMR 001C NEW'!$A$2:$O$2,0))</f>
        <v>46.4</v>
      </c>
      <c r="I32" s="56">
        <f t="shared" si="0"/>
        <v>6.2735375235883284</v>
      </c>
      <c r="J32" s="58">
        <f t="shared" si="39"/>
        <v>6.2093251358217811</v>
      </c>
      <c r="K32" s="64">
        <f t="shared" si="40"/>
        <v>7</v>
      </c>
      <c r="L32" s="262" t="str">
        <f t="array" ref="L32">_xlfn.IFNA(INDEX('DMR 001C NEW'!$A$3:$N$3865,MATCH(('001-C DMR'!$C$6:$K$6&amp;'001-C DMR'!L$10&amp;'001-C DMR'!$B32),('DMR 001C NEW'!$E$3:$E$1112&amp;'DMR 001C NEW'!$B$3:$B$1112&amp;'DMR 001C NEW'!$A$3:$A$1112),0),MATCH('001-C DMR'!$C$11,'DMR 001C NEW'!$A$2:$O$2,0)),"")</f>
        <v/>
      </c>
      <c r="M32" s="262" t="str">
        <f t="array" ref="M32">_xlfn.IFNA(INDEX('DMR 001C NEW'!$A$3:$N$3865,MATCH(('001-C DMR'!$C$6:$K$6&amp;'001-C DMR'!M$10&amp;'001-C DMR'!$B32),('DMR 001C NEW'!$E$3:$E$1112&amp;'DMR 001C NEW'!$B$3:$B$1112&amp;'DMR 001C NEW'!$A$3:$A$1112),0),MATCH('001-C DMR'!$C$11,'DMR 001C NEW'!$A$2:$O$2,0)),"")</f>
        <v/>
      </c>
      <c r="N32" s="262" t="str">
        <f t="array" ref="N32">_xlfn.IFNA(INDEX('DMR 001C NEW'!$A$3:$N$3865,MATCH(('001-C DMR'!$C$6:$K$6&amp;'001-C DMR'!N$10&amp;'001-C DMR'!$B32),('DMR 001C NEW'!$E$3:$E$1112&amp;'DMR 001C NEW'!$B$3:$B$1112&amp;'DMR 001C NEW'!$A$3:$A$1112),0),MATCH('001-C DMR'!$C$11,'DMR 001C NEW'!$A$2:$O$2,0)),"")</f>
        <v/>
      </c>
      <c r="O32" s="262" t="str">
        <f t="array" ref="O32">_xlfn.IFNA(INDEX('DMR 001C NEW'!$A$3:$N$3865,MATCH(('001-C DMR'!$C$6:$K$6&amp;'001-C DMR'!O$10&amp;'001-C DMR'!$B32),('DMR 001C NEW'!$E$3:$E$1112&amp;'DMR 001C NEW'!$B$3:$B$1112&amp;'DMR 001C NEW'!$A$3:$A$1112),0),MATCH('001-C DMR'!$C$11,'DMR 001C NEW'!$A$2:$O$2,0)),"")</f>
        <v/>
      </c>
      <c r="P32" s="262" t="str">
        <f t="array" ref="P32">_xlfn.IFNA(INDEX('DMR 001C NEW'!$A$3:$N$3865,MATCH(('001-C DMR'!$C$6:$K$6&amp;'001-C DMR'!P$10&amp;'001-C DMR'!$B32),('DMR 001C NEW'!$E$3:$E$1112&amp;'DMR 001C NEW'!$B$3:$B$1112&amp;'DMR 001C NEW'!$A$3:$A$1112),0),MATCH('001-C DMR'!$C$11,'DMR 001C NEW'!$A$2:$O$2,0)),"")</f>
        <v/>
      </c>
      <c r="Q32" s="120" t="e">
        <f t="array" ref="Q32">INDEX('DMR 001C NEW'!$A$3:$N$3865,MATCH(('001-C DMR'!$C$6:$K$6&amp;'001-C DMR'!Q$10&amp;'001-C DMR'!$B32),('DMR 001C NEW'!$E$3:$E$1112&amp;'DMR 001C NEW'!$B$3:$B$1112&amp;'DMR 001C NEW'!$A$3:$A$1112),0),MATCH('001-C DMR'!$C$11,'DMR 001C NEW'!$A$2:$O$2,0))</f>
        <v>#N/A</v>
      </c>
      <c r="R32" s="61"/>
      <c r="S32" s="56">
        <f t="array" ref="S32">_xlfn.IFNA(INDEX('DMR 001C NEW'!$A$3:$N$11771,MATCH(('001-C DMR'!$R$6:$T$6&amp;'001-C DMR'!$R$10&amp;'001-C DMR'!$B32),('DMR 001C NEW'!$E$3:$E$9018&amp;'DMR 001C NEW'!$B$3:$B$9018&amp;'DMR 001C NEW'!$A$3:$A$9018),0),MATCH('001-C DMR'!$S$11,'DMR 001C NEW'!$A$2:$O$2,0)),"")</f>
        <v>7.1</v>
      </c>
      <c r="T32" s="64">
        <f t="shared" si="41"/>
        <v>7</v>
      </c>
      <c r="U32" s="262" t="str">
        <f t="array" ref="U32">_xlfn.IFNA(INDEX('DMR 001C NEW'!$A$3:$O$591,MATCH('001-C DMR'!$R$6:$T$6&amp;'001-C DMR'!U$10&amp;'001-C DMR'!$B32,('DMR 001C NEW'!$E$3:$E$704&amp;'DMR 001C NEW'!$B$3:$B$704&amp;'DMR 001C NEW'!$A$3:$A$704),0),MATCH('001-C DMR'!$U$11,'DMR 001C NEW'!$A$2:$O$2,0)),"")</f>
        <v/>
      </c>
      <c r="V32" s="262" t="str">
        <f t="array" ref="V32">_xlfn.IFNA(INDEX('DMR 001C NEW'!$A$3:$O$591,MATCH('001-C DMR'!$R$6:$T$6&amp;'001-C DMR'!V$10&amp;'001-C DMR'!$B32,('DMR 001C NEW'!$E$3:$E$704&amp;'DMR 001C NEW'!$B$3:$B$704&amp;'DMR 001C NEW'!$A$3:$A$704),0),MATCH('001-C DMR'!$U$11,'DMR 001C NEW'!$A$2:$O$2,0)),"")</f>
        <v/>
      </c>
      <c r="W32" s="262" t="str">
        <f t="array" ref="W32">_xlfn.IFNA(INDEX('DMR 001C NEW'!$A$3:$O$591,MATCH('001-C DMR'!$R$6:$T$6&amp;'001-C DMR'!W$10&amp;'001-C DMR'!$B32,('DMR 001C NEW'!$E$3:$E$704&amp;'DMR 001C NEW'!$B$3:$B$704&amp;'DMR 001C NEW'!$A$3:$A$704),0),MATCH('001-C DMR'!$U$11,'DMR 001C NEW'!$A$2:$O$2,0)),"")</f>
        <v/>
      </c>
      <c r="X32" s="262" t="str">
        <f t="array" ref="X32">_xlfn.IFNA(INDEX('DMR 001C NEW'!$A$3:$O$591,MATCH('001-C DMR'!$R$6:$T$6&amp;'001-C DMR'!X$10&amp;'001-C DMR'!$B32,('DMR 001C NEW'!$E$3:$E$704&amp;'DMR 001C NEW'!$B$3:$B$704&amp;'DMR 001C NEW'!$A$3:$A$704),0),MATCH('001-C DMR'!$U$11,'DMR 001C NEW'!$A$2:$O$2,0)),"")</f>
        <v/>
      </c>
      <c r="Y32" s="262" t="str">
        <f t="array" ref="Y32">_xlfn.IFNA(INDEX('DMR 001C NEW'!$A$3:$O$591,MATCH('001-C DMR'!$R$6:$T$6&amp;'001-C DMR'!Y$10&amp;'001-C DMR'!$B32,('DMR 001C NEW'!$E$3:$E$704&amp;'DMR 001C NEW'!$B$3:$B$704&amp;'DMR 001C NEW'!$A$3:$A$704),0),MATCH('001-C DMR'!$U$11,'DMR 001C NEW'!$A$2:$O$2,0)),"")</f>
        <v/>
      </c>
      <c r="Z32" s="262" t="str">
        <f t="array" ref="Z32">_xlfn.IFNA(INDEX('DMR 001C NEW'!$A$3:$O$591,MATCH('001-C DMR'!$R$6:$T$6&amp;'001-C DMR'!Z$10&amp;'001-C DMR'!$B32,('DMR 001C NEW'!$E$3:$E$704&amp;'DMR 001C NEW'!$B$3:$B$704&amp;'DMR 001C NEW'!$A$3:$A$704),0),MATCH('001-C DMR'!$U$11,'DMR 001C NEW'!$A$2:$O$2,0)),"")</f>
        <v/>
      </c>
      <c r="AA32" s="262" t="str">
        <f t="array" ref="AA32">_xlfn.IFNA(INDEX('DMR 001C NEW'!$A$3:$O$591,MATCH('001-C DMR'!$R$6:$T$6&amp;'001-C DMR'!AA$10&amp;'001-C DMR'!$B32,('DMR 001C NEW'!$E$3:$E$704&amp;'DMR 001C NEW'!$B$3:$B$704&amp;'DMR 001C NEW'!$A$3:$A$704),0),MATCH('001-C DMR'!$U$11,'DMR 001C NEW'!$A$2:$O$2,0)),"")</f>
        <v/>
      </c>
      <c r="AB32" s="61" t="str">
        <f t="array" ref="AB32">IF(AD32&lt;AC32,"&lt;","")</f>
        <v/>
      </c>
      <c r="AC32" s="56">
        <f t="array" ref="AC32">_xlfn.IFNA(INDEX('DMR 001C NEW'!$A$3:$O$9999,MATCH(('001-C DMR'!$AB$6:$AJ$6&amp;'001-C DMR'!$AB$10:$AD$10&amp;'001-C DMR'!$B32),('DMR 001C NEW'!$E$3:$E$7246&amp;'DMR 001C NEW'!$B$3:$B$7246&amp;'DMR 001C NEW'!$A$3:$A$7246),0),MATCH('001-C DMR'!$AC$11,'DMR 001C NEW'!$A$2:$O$2,0)),"")</f>
        <v>3</v>
      </c>
      <c r="AD32" s="56">
        <f t="array" ref="AD32">_xlfn.IFNA(INDEX('DMR 001C NEW'!$A$3:$O$9999,MATCH(('001-C DMR'!$AB$6:$AJ$6&amp;'001-C DMR'!$AB$10:$AD$10&amp;'001-C DMR'!$B32),('DMR 001C NEW'!$E$3:$E$7246&amp;'DMR 001C NEW'!$B$3:$B$7246&amp;'DMR 001C NEW'!$A$3:$A$7246),0),MATCH('001-C DMR'!$AD$11,'DMR 001C NEW'!$A$2:$O$2,0)),"")</f>
        <v>6</v>
      </c>
      <c r="AE32" s="57" t="str">
        <f t="array" ref="AE32">IF(AG32&lt;AF32,"&lt;","")</f>
        <v/>
      </c>
      <c r="AF32" s="56">
        <f t="array" ref="AF32">_xlfn.IFNA(INDEX('DMR 001C NEW'!$A$3:$O$9999,MATCH(('001-C DMR'!$AB$6:$AJ$6&amp;'001-C DMR'!$AE$10&amp;'001-C DMR'!$B32),('DMR 001C NEW'!$E$3:$E$9018&amp;'DMR 001C NEW'!$B$3:$B$9018&amp;'DMR 001C NEW'!$A$3:$A$9018),0),MATCH('001-C DMR'!$AF$11,'DMR 001C NEW'!$A$2:$O$2,0)),"")</f>
        <v>3</v>
      </c>
      <c r="AG32" s="56">
        <f t="array" ref="AG32">_xlfn.IFNA(INDEX('DMR 001C NEW'!$A$3:$O$9999,MATCH(('001-C DMR'!$AB$6:$AJ$6&amp;'001-C DMR'!$AE$10&amp;'001-C DMR'!$B32),('DMR 001C NEW'!$E$3:$E$9018&amp;'DMR 001C NEW'!$B$3:$B$9018&amp;'DMR 001C NEW'!$A$3:$A$9018),0),MATCH('001-C DMR'!$AG$11,'DMR 001C NEW'!$A$2:$O$2,0)),"")</f>
        <v>14</v>
      </c>
      <c r="AH32" s="56">
        <f t="array" ref="AH32">IFERROR((($AD32*$EI32)+($AG32*$EJ32))/($EK32),"")</f>
        <v>11.220238275090216</v>
      </c>
      <c r="AI32" s="56">
        <f t="shared" si="42"/>
        <v>11.198792640094021</v>
      </c>
      <c r="AJ32" s="64">
        <f t="shared" si="30"/>
        <v>7</v>
      </c>
      <c r="AK32" s="262" t="str">
        <f t="array" ref="AK32">_xlfn.IFNA(INDEX('DMR 001C NEW'!$A$3:$O$999,MATCH(('001-C DMR'!$AB$6:$AJ$6&amp;'001-C DMR'!AK$10&amp;'001-C DMR'!$B32),('DMR 001C NEW'!$E$3:$E$1112&amp;'DMR 001C NEW'!$B$3:$B$1112&amp;'DMR 001C NEW'!$A$3:$A$1112),0),MATCH('001-C DMR'!$AD$11,'DMR 001C NEW'!$A$2:$O$2,0)),"")</f>
        <v/>
      </c>
      <c r="AL32" s="262" t="str">
        <f t="array" ref="AL32">_xlfn.IFNA(INDEX('DMR 001C NEW'!$A$3:$O$999,MATCH(('001-C DMR'!$AB$6:$AJ$6&amp;'001-C DMR'!AL$10&amp;'001-C DMR'!$B32),('DMR 001C NEW'!$E$3:$E$1112&amp;'DMR 001C NEW'!$B$3:$B$1112&amp;'DMR 001C NEW'!$A$3:$A$1112),0),MATCH('001-C DMR'!$AD$11,'DMR 001C NEW'!$A$2:$O$2,0)),"")</f>
        <v/>
      </c>
      <c r="AM32" s="262" t="str">
        <f t="array" ref="AM32">_xlfn.IFNA(INDEX('DMR 001C NEW'!$A$3:$O$999,MATCH(('001-C DMR'!$AB$6:$AJ$6&amp;'001-C DMR'!AM$10&amp;'001-C DMR'!$B32),('DMR 001C NEW'!$E$3:$E$1112&amp;'DMR 001C NEW'!$B$3:$B$1112&amp;'DMR 001C NEW'!$A$3:$A$1112),0),MATCH('001-C DMR'!$AD$11,'DMR 001C NEW'!$A$2:$O$2,0)),"")</f>
        <v/>
      </c>
      <c r="AN32" s="262" t="str">
        <f t="array" ref="AN32">_xlfn.IFNA(INDEX('DMR 001C NEW'!$A$3:$O$999,MATCH(('001-C DMR'!$AB$6:$AJ$6&amp;'001-C DMR'!AN$10&amp;'001-C DMR'!$B32),('DMR 001C NEW'!$E$3:$E$1112&amp;'DMR 001C NEW'!$B$3:$B$1112&amp;'DMR 001C NEW'!$A$3:$A$1112),0),MATCH('001-C DMR'!$AD$11,'DMR 001C NEW'!$A$2:$O$2,0)),"")</f>
        <v/>
      </c>
      <c r="AO32" s="262" t="str">
        <f t="array" ref="AO32">_xlfn.IFNA(INDEX('DMR 001C NEW'!$A$3:$O$999,MATCH(('001-C DMR'!$AB$6:$AJ$6&amp;'001-C DMR'!AO$10&amp;'001-C DMR'!$B32),('DMR 001C NEW'!$E$3:$E$1112&amp;'DMR 001C NEW'!$B$3:$B$1112&amp;'DMR 001C NEW'!$A$3:$A$1112),0),MATCH('001-C DMR'!$AD$11,'DMR 001C NEW'!$A$2:$O$2,0)),"")</f>
        <v/>
      </c>
      <c r="AP32" s="262" t="str">
        <f t="array" ref="AP32">_xlfn.IFNA(INDEX('DMR 001C NEW'!$A$3:$O$999,MATCH(('001-C DMR'!$AB$6:$AJ$6&amp;'001-C DMR'!AP$10&amp;'001-C DMR'!$B32),('DMR 001C NEW'!$E$3:$E$1112&amp;'DMR 001C NEW'!$B$3:$B$1112&amp;'DMR 001C NEW'!$A$3:$A$1112),0),MATCH('001-C DMR'!$AD$11,'DMR 001C NEW'!$A$2:$O$2,0)),"")</f>
        <v/>
      </c>
      <c r="AQ32" s="61" t="str">
        <f t="array" ref="AQ32">IF(AS32&lt;AR32,"&lt;","")</f>
        <v/>
      </c>
      <c r="AR32" s="58" t="str">
        <f t="array" ref="AR32">_xlfn.IFNA((INDEX('DMR 001C NEW'!$A$3:$O$9999,MATCH(('001-C DMR'!$AQ$6:$AZ$6&amp;'001-C DMR'!$AQ$10:$AS$10&amp;'001-C DMR'!$B32),('DMR 001C NEW'!$E$3:$E$7246&amp;'DMR 001C NEW'!$B$3:$B$7246&amp;'DMR 001C NEW'!$A$3:$A$7246),0),MATCH('001-C DMR'!$AR$11,'DMR 001C NEW'!$A$2:$O$2,0))),"")</f>
        <v/>
      </c>
      <c r="AS32" s="58" t="str">
        <f t="array" ref="AS32">_xlfn.IFNA(INDEX('DMR 001C NEW'!$A$3:$O$9999,MATCH(('001-C DMR'!$AQ$6:$AZ$6&amp;'001-C DMR'!$AQ$10:$AS$10&amp;'001-C DMR'!$B32),('DMR 001C NEW'!$E$3:$E$7246&amp;'DMR 001C NEW'!$B$3:$B$7246&amp;'DMR 001C NEW'!$A$3:$A$7246),0),MATCH('001-C DMR'!$AS$11,'DMR 001C NEW'!$A$2:$O$2,0)),"")</f>
        <v/>
      </c>
      <c r="AT32" s="58" t="str">
        <f t="shared" si="27"/>
        <v/>
      </c>
      <c r="AU32" s="57" t="str">
        <f t="array" ref="AU32">IF(AW32&lt;AV32,"&lt;","")</f>
        <v/>
      </c>
      <c r="AV32" s="58" t="str">
        <f t="array" ref="AV32">_xlfn.IFNA((INDEX('DMR 001C NEW'!$A$3:$O$9999,MATCH(('001-C DMR'!$AQ$6:$AZ$6&amp;'001-C DMR'!$AU$10&amp;'001-C DMR'!$B32),('DMR 001C NEW'!$E$3:$E$7246&amp;'DMR 001C NEW'!$B$3:$B$7246&amp;'DMR 001C NEW'!$A$3:$A$7246),0),MATCH('001-C DMR'!$AR$11,'DMR 001C NEW'!$A$2:$O$2,0))),"")</f>
        <v/>
      </c>
      <c r="AW32" s="58" t="str">
        <f t="array" ref="AW32">_xlfn.IFNA(INDEX('DMR 001C NEW'!$A$3:$O$9999,MATCH(('001-C DMR'!$AQ$6:$AZ$6&amp;'001-C DMR'!$AU$10&amp;'001-C DMR'!$B32),('DMR 001C NEW'!$E$3:$E$7246&amp;'DMR 001C NEW'!$B$3:$B$7246&amp;'DMR 001C NEW'!$A$3:$A$7246),0),MATCH('001-C DMR'!$AW$11,'DMR 001C NEW'!$A$2:$O$2,0)),"")</f>
        <v/>
      </c>
      <c r="AX32" s="58" t="str">
        <f t="shared" si="6"/>
        <v/>
      </c>
      <c r="AY32" s="56" t="str">
        <f t="array" ref="AY32">IFERROR((($AT32*$EI32)+($AX32*$EJ32))/($EK32),"")</f>
        <v/>
      </c>
      <c r="AZ32" s="64">
        <f t="shared" si="31"/>
        <v>3</v>
      </c>
      <c r="BA32" s="279" t="str">
        <f t="array" ref="BA32">_xlfn.IFNA(INDEX('DMR 001C NEW'!$A$3:$O$9999,MATCH(('001-C DMR'!$AQ$6:$AZ$6&amp;'001-C DMR'!BA$10&amp;'001-C DMR'!$B32),('DMR 001C NEW'!$E$3:$E$1112&amp;'DMR 001C NEW'!$B$3:$B$1112&amp;'DMR 001C NEW'!$A$3:$A$1112),0),MATCH('001-C DMR'!$BA$11,'DMR 001C NEW'!$A$2:$O$2,0)),"")</f>
        <v/>
      </c>
      <c r="BB32" s="280" t="str">
        <f t="array" ref="BB32">_xlfn.IFNA(INDEX('DMR 001C NEW'!$A$3:$O$9999,MATCH(('001-C DMR'!$AQ$6:$AZ$6&amp;'001-C DMR'!BB$10&amp;'001-C DMR'!$B32),('DMR 001C NEW'!$E$3:$E$1112&amp;'DMR 001C NEW'!$B$3:$B$1112&amp;'DMR 001C NEW'!$A$3:$A$1112),0),MATCH('001-C DMR'!$BA$11,'DMR 001C NEW'!$A$2:$O$2,0)),"")</f>
        <v/>
      </c>
      <c r="BC32" s="280" t="str">
        <f t="array" ref="BC32">_xlfn.IFNA(INDEX('DMR 001C NEW'!$A$3:$O$9999,MATCH(('001-C DMR'!$AQ$6:$AZ$6&amp;'001-C DMR'!BC$10&amp;'001-C DMR'!$B32),('DMR 001C NEW'!$E$3:$E$1112&amp;'DMR 001C NEW'!$B$3:$B$1112&amp;'DMR 001C NEW'!$A$3:$A$1112),0),MATCH('001-C DMR'!$BA$11,'DMR 001C NEW'!$A$2:$O$2,0)),"")</f>
        <v/>
      </c>
      <c r="BD32" s="280" t="str">
        <f t="array" ref="BD32">_xlfn.IFNA(INDEX('DMR 001C NEW'!$A$3:$O$9999,MATCH(('001-C DMR'!$AQ$6:$AZ$6&amp;'001-C DMR'!BD$10&amp;'001-C DMR'!$B32),('DMR 001C NEW'!$E$3:$E$1112&amp;'DMR 001C NEW'!$B$3:$B$1112&amp;'DMR 001C NEW'!$A$3:$A$1112),0),MATCH('001-C DMR'!$BA$11,'DMR 001C NEW'!$A$2:$O$2,0)),"")</f>
        <v/>
      </c>
      <c r="BE32" s="280" t="str">
        <f t="array" ref="BE32">_xlfn.IFNA(INDEX('DMR 001C NEW'!$A$3:$O$9999,MATCH(('001-C DMR'!$AQ$6:$AZ$6&amp;'001-C DMR'!BE$10&amp;'001-C DMR'!$B32),('DMR 001C NEW'!$E$3:$E$1112&amp;'DMR 001C NEW'!$B$3:$B$1112&amp;'DMR 001C NEW'!$A$3:$A$1112),0),MATCH('001-C DMR'!$BA$11,'DMR 001C NEW'!$A$2:$O$2,0)),"")</f>
        <v/>
      </c>
      <c r="BF32" s="281" t="str">
        <f t="array" ref="BF32">_xlfn.IFNA(INDEX('DMR 001C NEW'!$A$3:$O$9999,MATCH(('001-C DMR'!$AQ$6:$AZ$6&amp;'001-C DMR'!BF$10&amp;'001-C DMR'!$B32),('DMR 001C NEW'!$E$3:$E$1112&amp;'DMR 001C NEW'!$B$3:$B$1112&amp;'DMR 001C NEW'!$A$3:$A$1112),0),MATCH('001-C DMR'!$BA$11,'DMR 001C NEW'!$A$2:$O$2,0)),"")</f>
        <v/>
      </c>
      <c r="BG32" s="57"/>
      <c r="BH32" s="58" t="str">
        <f t="array" ref="BH32">_xlfn.IFNA((INDEX('DMR 001C NEW'!$A$3:$O$9999,MATCH(('001-C DMR'!$BG$6&amp;'001-C DMR'!$BG$10&amp;'001-C DMR'!$B32),('DMR 001C NEW'!$E$3:$E$7246&amp;'DMR 001C NEW'!$B$3:$B$7246&amp;'DMR 001C NEW'!$A$3:$A$7246),0),MATCH('001-C DMR'!$BH$11,'DMR 001C NEW'!$A$2:$O$2,0))),"")</f>
        <v/>
      </c>
      <c r="BI32" s="58" t="str">
        <f t="array" ref="BI32">_xlfn.IFNA(INDEX('DMR 001C NEW'!$A$3:$O$9999,MATCH(('001-C DMR'!$BG$6&amp;'001-C DMR'!$BG$10&amp;'001-C DMR'!$B32),('DMR 001C NEW'!$E$3:$E$7246&amp;'DMR 001C NEW'!$B$3:$B$7246&amp;'DMR 001C NEW'!$A$3:$A$7246),0),MATCH('001-C DMR'!$BI$11,'DMR 001C NEW'!$A$2:$O$2,0)),"")</f>
        <v/>
      </c>
      <c r="BJ32" s="58" t="str">
        <f t="shared" si="7"/>
        <v/>
      </c>
      <c r="BK32" s="57" t="str">
        <f t="shared" si="8"/>
        <v/>
      </c>
      <c r="BL32" s="58" t="str">
        <f t="array" ref="BL32">_xlfn.IFNA((INDEX('DMR 001C NEW'!$A$3:$O$9999,MATCH(('001-C DMR'!$BG$6&amp;'001-C DMR'!$BK$10&amp;'001-C DMR'!$B32),('DMR 001C NEW'!$E$3:$E$7246&amp;'DMR 001C NEW'!$B$3:$B$7246&amp;'DMR 001C NEW'!$A$3:$A$7246),0),MATCH('001-C DMR'!$BH$11,'DMR 001C NEW'!$A$2:$O$2,0))),"")</f>
        <v/>
      </c>
      <c r="BM32" s="58" t="str">
        <f t="array" ref="BM32">_xlfn.IFNA(INDEX('DMR 001C NEW'!$A$3:$O$9999,MATCH(('001-C DMR'!$BG$6&amp;'001-C DMR'!$BK$10&amp;'001-C DMR'!$B32),('DMR 001C NEW'!$E$3:$E$7246&amp;'DMR 001C NEW'!$B$3:$B$7246&amp;'DMR 001C NEW'!$A$3:$A$7246),0),MATCH('001-C DMR'!$BI$11,'DMR 001C NEW'!$A$2:$O$2,0)),"")</f>
        <v/>
      </c>
      <c r="BN32" s="58" t="str">
        <f t="shared" si="9"/>
        <v/>
      </c>
      <c r="BO32" s="56" t="str">
        <f t="array" ref="BO32">IFERROR((($BJ32*$EI32)+($BN32*$EJ32))/($EK32),"")</f>
        <v/>
      </c>
      <c r="BP32" s="64">
        <f t="shared" si="32"/>
        <v>3</v>
      </c>
      <c r="BQ32" s="280" t="str">
        <f t="array" ref="BQ32">_xlfn.IFNA(INDEX('DMR 001C NEW'!$A$3:$O$999,MATCH(('001-C DMR'!$BG$6&amp;'001-C DMR'!BQ$10&amp;'001-C DMR'!$B32),('DMR 001C NEW'!$E$3:$E$1112&amp;'DMR 001C NEW'!$B$3:$B$1112&amp;'DMR 001C NEW'!$A$3:$A$1112),0),MATCH('001-C DMR'!$BQ$11,'DMR 001C NEW'!$A$2:$O$2,0)),"")</f>
        <v/>
      </c>
      <c r="BR32" s="280" t="str">
        <f t="array" ref="BR32">_xlfn.IFNA(INDEX('DMR 001C NEW'!$A$3:$O$999,MATCH(('001-C DMR'!$BG$6&amp;'001-C DMR'!BR$10&amp;'001-C DMR'!$B32),('DMR 001C NEW'!$E$3:$E$1112&amp;'DMR 001C NEW'!$B$3:$B$1112&amp;'DMR 001C NEW'!$A$3:$A$1112),0),MATCH('001-C DMR'!$BQ$11,'DMR 001C NEW'!$A$2:$O$2,0)),"")</f>
        <v/>
      </c>
      <c r="BS32" s="280" t="str">
        <f t="array" ref="BS32">_xlfn.IFNA(INDEX('DMR 001C NEW'!$A$3:$O$999,MATCH(('001-C DMR'!$BG$6&amp;'001-C DMR'!BS$10&amp;'001-C DMR'!$B32),('DMR 001C NEW'!$E$3:$E$1112&amp;'DMR 001C NEW'!$B$3:$B$1112&amp;'DMR 001C NEW'!$A$3:$A$1112),0),MATCH('001-C DMR'!$BQ$11,'DMR 001C NEW'!$A$2:$O$2,0)),"")</f>
        <v/>
      </c>
      <c r="BT32" s="280" t="str">
        <f t="array" ref="BT32">_xlfn.IFNA(INDEX('DMR 001C NEW'!$A$3:$O$999,MATCH(('001-C DMR'!$BG$6&amp;'001-C DMR'!BT$10&amp;'001-C DMR'!$B32),('DMR 001C NEW'!$E$3:$E$1112&amp;'DMR 001C NEW'!$B$3:$B$1112&amp;'DMR 001C NEW'!$A$3:$A$1112),0),MATCH('001-C DMR'!$BQ$11,'DMR 001C NEW'!$A$2:$O$2,0)),"")</f>
        <v/>
      </c>
      <c r="BU32" s="280" t="str">
        <f t="array" ref="BU32">_xlfn.IFNA(INDEX('DMR 001C NEW'!$A$3:$O$999,MATCH(('001-C DMR'!$BG$6&amp;'001-C DMR'!BU$10&amp;'001-C DMR'!$B32),('DMR 001C NEW'!$E$3:$E$1112&amp;'DMR 001C NEW'!$B$3:$B$1112&amp;'DMR 001C NEW'!$A$3:$A$1112),0),MATCH('001-C DMR'!$BQ$11,'DMR 001C NEW'!$A$2:$O$2,0)),"")</f>
        <v/>
      </c>
      <c r="BV32" s="280" t="str">
        <f t="array" ref="BV32">_xlfn.IFNA(INDEX('DMR 001C NEW'!$A$3:$O$999,MATCH(('001-C DMR'!$BG$6&amp;'001-C DMR'!BV$10&amp;'001-C DMR'!$B32),('DMR 001C NEW'!$E$3:$E$1112&amp;'DMR 001C NEW'!$B$3:$B$1112&amp;'DMR 001C NEW'!$A$3:$A$1112),0),MATCH('001-C DMR'!$BQ$11,'DMR 001C NEW'!$A$2:$O$2,0)),"")</f>
        <v/>
      </c>
      <c r="BW32" s="65"/>
      <c r="BX32" s="65"/>
      <c r="BY32" s="57" t="str">
        <f t="shared" si="10"/>
        <v/>
      </c>
      <c r="BZ32" s="58" t="str">
        <f t="array" ref="BZ32">_xlfn.IFNA((INDEX('DMR 001C NEW'!$A$3:$O$9999,MATCH(('001-C DMR'!$BY$6&amp;'001-C DMR'!$BY$10&amp;'001-C DMR'!$B32),('DMR 001C NEW'!$E$3:$E$7246&amp;'DMR 001C NEW'!$B$3:$B$7246&amp;'DMR 001C NEW'!$A$3:$A$7246),0),MATCH('001-C DMR'!$BZ$11,'DMR 001C NEW'!$A$2:$O$2,0))),"")</f>
        <v/>
      </c>
      <c r="CA32" s="138" t="str">
        <f t="array" ref="CA32">_xlfn.IFNA(INDEX('DMR 001C NEW'!$A$3:$O$9999,MATCH(('001-C DMR'!$BY$6&amp;'001-C DMR'!$BY$10&amp;'001-C DMR'!$B32),('DMR 001C NEW'!$E$3:$E$7246&amp;'DMR 001C NEW'!$B$3:$B$7246&amp;'DMR 001C NEW'!$A$3:$A$7246),0),MATCH('001-C DMR'!$CA$11,'DMR 001C NEW'!$A$2:$O$2,0)),"")</f>
        <v/>
      </c>
      <c r="CB32" s="57" t="str">
        <f t="shared" si="11"/>
        <v/>
      </c>
      <c r="CC32" s="58" t="str">
        <f t="array" ref="CC32">_xlfn.IFNA((INDEX('DMR 001C NEW'!$A$3:$O$9999,MATCH(('001-C DMR'!$BY$6&amp;'001-C DMR'!$CB$10&amp;'001-C DMR'!$B32),('DMR 001C NEW'!$E$3:$E$7246&amp;'DMR 001C NEW'!$B$3:$B$7246&amp;'DMR 001C NEW'!$A$3:$A$7246),0),MATCH('001-C DMR'!$BZ$11,'DMR 001C NEW'!$A$2:$O$2,0))),"")</f>
        <v/>
      </c>
      <c r="CD32" s="138" t="str">
        <f t="array" ref="CD32">_xlfn.IFNA(INDEX('DMR 001C NEW'!$A$3:$O$9999,MATCH(('001-C DMR'!$BY$6&amp;'001-C DMR'!$CB$10&amp;'001-C DMR'!$B32),('DMR 001C NEW'!$E$3:$E$7246&amp;'DMR 001C NEW'!$B$3:$B$7246&amp;'DMR 001C NEW'!$A$3:$A$7246),0),MATCH('001-C DMR'!$CA$11,'DMR 001C NEW'!$A$2:$O$2,0)),"")</f>
        <v/>
      </c>
      <c r="CE32" s="138" t="str">
        <f t="array" ref="CE32">IFERROR((($CA32*$EI32)+($CD32*$EJ32))/($EK32),"")</f>
        <v/>
      </c>
      <c r="CF32" s="64">
        <f t="shared" si="33"/>
        <v>1</v>
      </c>
      <c r="CG32" s="280" t="str">
        <f t="array" ref="CG32">_xlfn.IFNA(INDEX('DMR 001C NEW'!$A$3:$O$999,MATCH(('001-C DMR'!$BY$6&amp;'001-C DMR'!CG$10&amp;'001-C DMR'!$B32),('DMR 001C NEW'!$E$3:$E$1112&amp;'DMR 001C NEW'!$B$3:$B$1112&amp;'DMR 001C NEW'!$A$3:$A$1112),0),MATCH('001-C DMR'!$CA$11,'DMR 001C NEW'!$A$2:$O$2,0)),"")</f>
        <v/>
      </c>
      <c r="CH32" s="280" t="str">
        <f t="array" ref="CH32">_xlfn.IFNA(INDEX('DMR 001C NEW'!$A$3:$O$999,MATCH(('001-C DMR'!$BY$6&amp;'001-C DMR'!CH$10&amp;'001-C DMR'!$B32),('DMR 001C NEW'!$E$3:$E$1112&amp;'DMR 001C NEW'!$B$3:$B$1112&amp;'DMR 001C NEW'!$A$3:$A$1112),0),MATCH('001-C DMR'!$CA$11,'DMR 001C NEW'!$A$2:$O$2,0)),"")</f>
        <v/>
      </c>
      <c r="CI32" s="280" t="str">
        <f t="array" ref="CI32">_xlfn.IFNA(INDEX('DMR 001C NEW'!$A$3:$O$999,MATCH(('001-C DMR'!$BY$6&amp;'001-C DMR'!CI$10&amp;'001-C DMR'!$B32),('DMR 001C NEW'!$E$3:$E$1112&amp;'DMR 001C NEW'!$B$3:$B$1112&amp;'DMR 001C NEW'!$A$3:$A$1112),0),MATCH('001-C DMR'!$CA$11,'DMR 001C NEW'!$A$2:$O$2,0)),"")</f>
        <v/>
      </c>
      <c r="CJ32" s="280" t="str">
        <f t="array" ref="CJ32">_xlfn.IFNA(INDEX('DMR 001C NEW'!$A$3:$O$999,MATCH(('001-C DMR'!$BY$6&amp;'001-C DMR'!CJ$10&amp;'001-C DMR'!$B32),('DMR 001C NEW'!$E$3:$E$1112&amp;'DMR 001C NEW'!$B$3:$B$1112&amp;'DMR 001C NEW'!$A$3:$A$1112),0),MATCH('001-C DMR'!$CA$11,'DMR 001C NEW'!$A$2:$O$2,0)),"")</f>
        <v/>
      </c>
      <c r="CK32" s="280" t="str">
        <f t="array" ref="CK32">_xlfn.IFNA(INDEX('DMR 001C NEW'!$A$3:$O$999,MATCH(('001-C DMR'!$BY$6&amp;'001-C DMR'!CK$10&amp;'001-C DMR'!$B32),('DMR 001C NEW'!$E$3:$E$1112&amp;'DMR 001C NEW'!$B$3:$B$1112&amp;'DMR 001C NEW'!$A$3:$A$1112),0),MATCH('001-C DMR'!$CA$11,'DMR 001C NEW'!$A$2:$O$2,0)),"")</f>
        <v/>
      </c>
      <c r="CL32" s="280" t="str">
        <f t="array" ref="CL32">_xlfn.IFNA(INDEX('DMR 001C NEW'!$A$3:$O$999,MATCH(('001-C DMR'!$BY$6&amp;'001-C DMR'!CL$10&amp;'001-C DMR'!$B32),('DMR 001C NEW'!$E$3:$E$1112&amp;'DMR 001C NEW'!$B$3:$B$1112&amp;'DMR 001C NEW'!$A$3:$A$1112),0),MATCH('001-C DMR'!$CA$11,'DMR 001C NEW'!$A$2:$O$2,0)),"")</f>
        <v/>
      </c>
      <c r="CM32" s="61" t="str">
        <f t="shared" si="12"/>
        <v/>
      </c>
      <c r="CN32" s="138" t="str">
        <f t="array" ref="CN32">_xlfn.IFNA((INDEX('DMR 001C NEW'!$A$3:$O$9999,MATCH(('001-C DMR'!$CM$6&amp;'001-C DMR'!$CM$10&amp;'001-C DMR'!$B32),('DMR 001C NEW'!$E$3:$E$9018&amp;'DMR 001C NEW'!$B$3:$B$9018&amp;'DMR 001C NEW'!$A$3:$A$9018),0),MATCH('001-C DMR'!$CN$11,'DMR 001C NEW'!$A$2:$O$2,0))*1000),"")</f>
        <v/>
      </c>
      <c r="CO32" s="138" t="str">
        <f t="array" ref="CO32">_xlfn.IFNA(INDEX('DMR 001C NEW'!$A$3:$O$9999,MATCH(('001-C DMR'!$CM$6&amp;'001-C DMR'!$CM$10&amp;'001-C DMR'!$B32),('DMR 001C NEW'!$E$3:$E$9018&amp;'DMR 001C NEW'!$B$3:$B$9018&amp;'DMR 001C NEW'!$A$3:$A$9018),0),MATCH('001-C DMR'!$CO$11,'DMR 001C NEW'!$A$2:$O$2,0))*1000,"")</f>
        <v/>
      </c>
      <c r="CP32" s="138" t="str">
        <f t="shared" si="13"/>
        <v/>
      </c>
      <c r="CQ32" s="64">
        <f t="shared" si="34"/>
        <v>1</v>
      </c>
      <c r="CR32" s="280" t="str">
        <f t="array" ref="CR32">_xlfn.IFNA(INDEX('DMR 001C NEW'!$A$3:$O$999,MATCH(('001-C DMR'!$CM$6&amp;'001-C DMR'!CR$10&amp;'001-C DMR'!$B32),('DMR 001C NEW'!$E$3:$E$1112&amp;'DMR 001C NEW'!$B$3:$B$1112&amp;'DMR 001C NEW'!$A$3:$A$1112),0),MATCH('001-C DMR'!$CO$11,'DMR 001C NEW'!$A$2:$O$2,0)),"")</f>
        <v/>
      </c>
      <c r="CS32" s="280" t="str">
        <f t="array" ref="CS32">_xlfn.IFNA(INDEX('DMR 001C NEW'!$A$3:$O$999,MATCH(('001-C DMR'!$CM$6&amp;'001-C DMR'!CS$10&amp;'001-C DMR'!$B32),('DMR 001C NEW'!$E$3:$E$1112&amp;'DMR 001C NEW'!$B$3:$B$1112&amp;'DMR 001C NEW'!$A$3:$A$1112),0),MATCH('001-C DMR'!$CO$11,'DMR 001C NEW'!$A$2:$O$2,0)),"")</f>
        <v/>
      </c>
      <c r="CT32" s="280" t="str">
        <f t="array" ref="CT32">_xlfn.IFNA(INDEX('DMR 001C NEW'!$A$3:$O$999,MATCH(('001-C DMR'!$CM$6&amp;'001-C DMR'!CT$10&amp;'001-C DMR'!$B32),('DMR 001C NEW'!$E$3:$E$1112&amp;'DMR 001C NEW'!$B$3:$B$1112&amp;'DMR 001C NEW'!$A$3:$A$1112),0),MATCH('001-C DMR'!$CO$11,'DMR 001C NEW'!$A$2:$O$2,0)),"")</f>
        <v/>
      </c>
      <c r="CU32" s="280" t="str">
        <f t="array" ref="CU32">_xlfn.IFNA(INDEX('DMR 001C NEW'!$A$3:$O$999,MATCH(('001-C DMR'!$CM$6&amp;'001-C DMR'!CU$10&amp;'001-C DMR'!$B32),('DMR 001C NEW'!$E$3:$E$1112&amp;'DMR 001C NEW'!$B$3:$B$1112&amp;'DMR 001C NEW'!$A$3:$A$1112),0),MATCH('001-C DMR'!$CO$11,'DMR 001C NEW'!$A$2:$O$2,0)),"")</f>
        <v/>
      </c>
      <c r="CV32" s="280" t="str">
        <f t="array" ref="CV32">_xlfn.IFNA(INDEX('DMR 001C NEW'!$A$3:$O$999,MATCH(('001-C DMR'!$CM$6&amp;'001-C DMR'!CV$10&amp;'001-C DMR'!$B32),('DMR 001C NEW'!$E$3:$E$1112&amp;'DMR 001C NEW'!$B$3:$B$1112&amp;'DMR 001C NEW'!$A$3:$A$1112),0),MATCH('001-C DMR'!$CO$11,'DMR 001C NEW'!$A$2:$O$2,0)),"")</f>
        <v/>
      </c>
      <c r="CW32" s="280" t="str">
        <f t="array" ref="CW32">_xlfn.IFNA(INDEX('DMR 001C NEW'!$A$3:$O$999,MATCH(('001-C DMR'!$CM$6&amp;'001-C DMR'!CW$10&amp;'001-C DMR'!$B32),('DMR 001C NEW'!$E$3:$E$1112&amp;'DMR 001C NEW'!$B$3:$B$1112&amp;'DMR 001C NEW'!$A$3:$A$1112),0),MATCH('001-C DMR'!$CO$11,'DMR 001C NEW'!$A$2:$O$2,0)),"")</f>
        <v/>
      </c>
      <c r="CX32" s="280" t="str">
        <f t="array" ref="CX32">_xlfn.IFNA(INDEX('DMR 001C NEW'!$A$3:$O$999,MATCH(('001-C DMR'!$CM$6&amp;'001-C DMR'!CX$10&amp;'001-C DMR'!$B32),('DMR 001C NEW'!$E$3:$E$1112&amp;'DMR 001C NEW'!$B$3:$B$1112&amp;'DMR 001C NEW'!$A$3:$A$1112),0),MATCH('001-C DMR'!$CO$11,'DMR 001C NEW'!$A$2:$O$2,0)),"")</f>
        <v/>
      </c>
      <c r="CY32" s="61" t="str">
        <f t="shared" si="14"/>
        <v/>
      </c>
      <c r="CZ32" s="138" t="str">
        <f t="array" ref="CZ32">_xlfn.IFNA((INDEX('DMR 001C NEW'!$A$3:$O$9999,MATCH(('001-C DMR'!$CY$6&amp;'001-C DMR'!$CY$10&amp;'001-C DMR'!$B32),('DMR 001C NEW'!$E$3:$E$9018&amp;'DMR 001C NEW'!$B$3:$B$9018&amp;'DMR 001C NEW'!$A$3:$A$9018),0),MATCH('001-C DMR'!$CZ$11,'DMR 001C NEW'!$A$2:$O$2,0))*1000),"")</f>
        <v/>
      </c>
      <c r="DA32" s="138" t="str">
        <f t="array" ref="DA32">_xlfn.IFNA(INDEX('DMR 001C NEW'!$A$3:$O$9999,MATCH(('001-C DMR'!$CY$6&amp;'001-C DMR'!$CY$10&amp;'001-C DMR'!$B32),('DMR 001C NEW'!$E$3:$E$9018&amp;'DMR 001C NEW'!$B$3:$B$9018&amp;'DMR 001C NEW'!$A$3:$A$9018),0),MATCH('001-C DMR'!$DA$11,'DMR 001C NEW'!$A$2:$O$2,0))*1000,"")</f>
        <v/>
      </c>
      <c r="DB32" s="138" t="str">
        <f t="shared" si="15"/>
        <v/>
      </c>
      <c r="DC32" s="64">
        <f t="shared" si="35"/>
        <v>1</v>
      </c>
      <c r="DD32" s="280" t="str">
        <f t="array" ref="DD32">_xlfn.IFNA(INDEX('DMR 001C NEW'!$A$3:$O$999,MATCH(('001-C DMR'!$CY$6&amp;'001-C DMR'!DD$10&amp;'001-C DMR'!$B32),('DMR 001C NEW'!$E$3:$E$1112&amp;'DMR 001C NEW'!$B$3:$B$1112&amp;'DMR 001C NEW'!$A$3:$A$1112),0),MATCH('001-C DMR'!$DA$11,'DMR 001C NEW'!$A$2:$O$2,0)),"")</f>
        <v/>
      </c>
      <c r="DE32" s="280" t="str">
        <f t="array" ref="DE32">_xlfn.IFNA(INDEX('DMR 001C NEW'!$A$3:$O$999,MATCH(('001-C DMR'!$CY$6&amp;'001-C DMR'!DE$10&amp;'001-C DMR'!$B32),('DMR 001C NEW'!$E$3:$E$1112&amp;'DMR 001C NEW'!$B$3:$B$1112&amp;'DMR 001C NEW'!$A$3:$A$1112),0),MATCH('001-C DMR'!$DA$11,'DMR 001C NEW'!$A$2:$O$2,0)),"")</f>
        <v/>
      </c>
      <c r="DF32" s="280" t="str">
        <f t="array" ref="DF32">_xlfn.IFNA(INDEX('DMR 001C NEW'!$A$3:$O$999,MATCH(('001-C DMR'!$CY$6&amp;'001-C DMR'!DF$10&amp;'001-C DMR'!$B32),('DMR 001C NEW'!$E$3:$E$1112&amp;'DMR 001C NEW'!$B$3:$B$1112&amp;'DMR 001C NEW'!$A$3:$A$1112),0),MATCH('001-C DMR'!$DA$11,'DMR 001C NEW'!$A$2:$O$2,0)),"")</f>
        <v/>
      </c>
      <c r="DG32" s="280" t="str">
        <f t="array" ref="DG32">_xlfn.IFNA(INDEX('DMR 001C NEW'!$A$3:$O$999,MATCH(('001-C DMR'!$CY$6&amp;'001-C DMR'!DG$10&amp;'001-C DMR'!$B32),('DMR 001C NEW'!$E$3:$E$1112&amp;'DMR 001C NEW'!$B$3:$B$1112&amp;'DMR 001C NEW'!$A$3:$A$1112),0),MATCH('001-C DMR'!$DA$11,'DMR 001C NEW'!$A$2:$O$2,0)),"")</f>
        <v/>
      </c>
      <c r="DH32" s="280" t="str">
        <f t="array" ref="DH32">_xlfn.IFNA(INDEX('DMR 001C NEW'!$A$3:$O$999,MATCH(('001-C DMR'!$CY$6&amp;'001-C DMR'!DH$10&amp;'001-C DMR'!$B32),('DMR 001C NEW'!$E$3:$E$1112&amp;'DMR 001C NEW'!$B$3:$B$1112&amp;'DMR 001C NEW'!$A$3:$A$1112),0),MATCH('001-C DMR'!$DA$11,'DMR 001C NEW'!$A$2:$O$2,0)),"")</f>
        <v/>
      </c>
      <c r="DI32" s="280" t="str">
        <f t="array" ref="DI32">_xlfn.IFNA(INDEX('DMR 001C NEW'!$A$3:$O$999,MATCH(('001-C DMR'!$CY$6&amp;'001-C DMR'!DI$10&amp;'001-C DMR'!$B32),('DMR 001C NEW'!$E$3:$E$1112&amp;'DMR 001C NEW'!$B$3:$B$1112&amp;'DMR 001C NEW'!$A$3:$A$1112),0),MATCH('001-C DMR'!$DA$11,'DMR 001C NEW'!$A$2:$O$2,0)),"")</f>
        <v/>
      </c>
      <c r="DJ32" s="280" t="str">
        <f t="array" ref="DJ32">_xlfn.IFNA(INDEX('DMR 001C NEW'!$A$3:$O$999,MATCH(('001-C DMR'!$CY$6&amp;'001-C DMR'!DJ$10&amp;'001-C DMR'!$B32),('DMR 001C NEW'!$E$3:$E$1112&amp;'DMR 001C NEW'!$B$3:$B$1112&amp;'DMR 001C NEW'!$A$3:$A$1112),0),MATCH('001-C DMR'!$DA$11,'DMR 001C NEW'!$A$2:$O$2,0)),"")</f>
        <v/>
      </c>
      <c r="DK32" s="61" t="str">
        <f t="shared" si="16"/>
        <v/>
      </c>
      <c r="DL32" s="58" t="str">
        <f t="array" ref="DL32">_xlfn.IFNA((INDEX('DMR 001C NEW'!$A$3:$O$9999,MATCH(('001-C DMR'!$DK$6&amp;'001-C DMR'!$DK$10&amp;'001-C DMR'!$B32),('DMR 001C NEW'!$E$3:$E$9018&amp;'DMR 001C NEW'!$B$3:$B$9018&amp;'DMR 001C NEW'!$A$3:$A$9018),0),MATCH('001-C DMR'!$DL$11,'DMR 001C NEW'!$A$2:$O$2,0))),"")</f>
        <v/>
      </c>
      <c r="DM32" s="58" t="str">
        <f t="array" ref="DM32">_xlfn.IFNA(INDEX('DMR 001C NEW'!$A$3:$O$9999,MATCH(('001-C DMR'!$DK$6&amp;'001-C DMR'!$DK$10&amp;'001-C DMR'!$B32),('DMR 001C NEW'!$E$3:$E$9018&amp;'DMR 001C NEW'!$B$3:$B$9018&amp;'DMR 001C NEW'!$A$3:$A$9018),0),MATCH('001-C DMR'!$DM$11,'DMR 001C NEW'!$A$2:$O$2,0)),"")</f>
        <v/>
      </c>
      <c r="DN32" s="58" t="str">
        <f t="shared" si="17"/>
        <v/>
      </c>
      <c r="DO32" s="223"/>
      <c r="DP32" s="224"/>
      <c r="DQ32" s="64">
        <f t="shared" si="18"/>
        <v>1</v>
      </c>
      <c r="DR32" s="280" t="str">
        <f t="array" ref="DR32">_xlfn.IFNA(INDEX('DMR 001C NEW'!$A$3:$O$999,MATCH(('001-C DMR'!$DK$6&amp;'001-C DMR'!DR$10&amp;'001-C DMR'!$B32),('DMR 001C NEW'!$E$3:$E$1112&amp;'DMR 001C NEW'!$B$3:$B$1112&amp;'DMR 001C NEW'!$A$3:$A$1112),0),MATCH('001-C DMR'!$DR$11,'DMR 001C NEW'!$A$2:$O$2,0)),"")</f>
        <v/>
      </c>
      <c r="DS32" s="280" t="str">
        <f t="array" ref="DS32">_xlfn.IFNA(INDEX('DMR 001C NEW'!$A$3:$O$999,MATCH(('001-C DMR'!$DK$6&amp;'001-C DMR'!DS$10&amp;'001-C DMR'!$B32),('DMR 001C NEW'!$E$3:$E$1112&amp;'DMR 001C NEW'!$B$3:$B$1112&amp;'DMR 001C NEW'!$A$3:$A$1112),0),MATCH('001-C DMR'!$DR$11,'DMR 001C NEW'!$A$2:$O$2,0)),"")</f>
        <v/>
      </c>
      <c r="DT32" s="280" t="str">
        <f t="array" ref="DT32">_xlfn.IFNA(INDEX('DMR 001C NEW'!$A$3:$O$999,MATCH(('001-C DMR'!$DK$6&amp;'001-C DMR'!DT$10&amp;'001-C DMR'!$B32),('DMR 001C NEW'!$E$3:$E$1112&amp;'DMR 001C NEW'!$B$3:$B$1112&amp;'DMR 001C NEW'!$A$3:$A$1112),0),MATCH('001-C DMR'!$DR$11,'DMR 001C NEW'!$A$2:$O$2,0)),"")</f>
        <v/>
      </c>
      <c r="DU32" s="280" t="str">
        <f t="array" ref="DU32">_xlfn.IFNA(INDEX('DMR 001C NEW'!$A$3:$O$999,MATCH(('001-C DMR'!$DK$6&amp;'001-C DMR'!DU$10&amp;'001-C DMR'!$B32),('DMR 001C NEW'!$E$3:$E$1112&amp;'DMR 001C NEW'!$B$3:$B$1112&amp;'DMR 001C NEW'!$A$3:$A$1112),0),MATCH('001-C DMR'!$DR$11,'DMR 001C NEW'!$A$2:$O$2,0)),"")</f>
        <v/>
      </c>
      <c r="DV32" s="280" t="str">
        <f t="array" ref="DV32">_xlfn.IFNA(INDEX('DMR 001C NEW'!$A$3:$O$999,MATCH(('001-C DMR'!$DK$6&amp;'001-C DMR'!DV$10&amp;'001-C DMR'!$B32),('DMR 001C NEW'!$E$3:$E$1112&amp;'DMR 001C NEW'!$B$3:$B$1112&amp;'DMR 001C NEW'!$A$3:$A$1112),0),MATCH('001-C DMR'!$DR$11,'DMR 001C NEW'!$A$2:$O$2,0)),"")</f>
        <v/>
      </c>
      <c r="DW32" s="280" t="str">
        <f t="array" ref="DW32">_xlfn.IFNA(INDEX('DMR 001C NEW'!$A$3:$O$999,MATCH(('001-C DMR'!$DK$6&amp;'001-C DMR'!DW$10&amp;'001-C DMR'!$B32),('DMR 001C NEW'!$E$3:$E$1112&amp;'DMR 001C NEW'!$B$3:$B$1112&amp;'DMR 001C NEW'!$A$3:$A$1112),0),MATCH('001-C DMR'!$DR$11,'DMR 001C NEW'!$A$2:$O$2,0)),"")</f>
        <v/>
      </c>
      <c r="DX32" s="280" t="str">
        <f t="array" ref="DX32">_xlfn.IFNA(INDEX('DMR 001C NEW'!$A$3:$O$999,MATCH(('001-C DMR'!$DK$6&amp;'001-C DMR'!DX$10&amp;'001-C DMR'!$B32),('DMR 001C NEW'!$E$3:$E$1112&amp;'DMR 001C NEW'!$B$3:$B$1112&amp;'DMR 001C NEW'!$A$3:$A$1112),0),MATCH('001-C DMR'!$DR$11,'DMR 001C NEW'!$A$2:$O$2,0)),"")</f>
        <v/>
      </c>
      <c r="DY32" s="61" t="str">
        <f t="shared" si="28"/>
        <v/>
      </c>
      <c r="DZ32" s="249" t="str">
        <f t="array" ref="DZ32">_xlfn.IFNA((INDEX('DMR 001C NEW'!$A$3:$O$9999,MATCH(('001-C DMR'!$DY$6&amp;'001-C DMR'!$DY$10&amp;'001-C DMR'!$B32),('DMR 001C NEW'!$E$3:$E$9018&amp;'DMR 001C NEW'!$B$3:$B$9018&amp;'DMR 001C NEW'!$A$3:$A$9018),0),MATCH('001-C DMR'!$DZ$11,'DMR 001C NEW'!$A$2:$O$2,0))),"")</f>
        <v/>
      </c>
      <c r="EA32" s="249" t="str">
        <f t="array" ref="EA32">_xlfn.IFNA((INDEX('DMR 001C NEW'!$A$3:$O$9999,MATCH(('001-C DMR'!$DY$6&amp;'001-C DMR'!$DY$10&amp;'001-C DMR'!$B32),('DMR 001C NEW'!$E$3:$E$9018&amp;'DMR 001C NEW'!$B$3:$B$9018&amp;'DMR 001C NEW'!$A$3:$A$9018),0),MATCH('001-C DMR'!$EA$11,'DMR 001C NEW'!$A$2:$O$2,0))),"")</f>
        <v/>
      </c>
      <c r="EB32" s="249" t="str">
        <f t="array" ref="EB32">IF(EA32="SCRATCHED","",IF(EA32&lt;DZ32,0,EA32))</f>
        <v/>
      </c>
      <c r="EC32" s="249" t="str">
        <f t="shared" si="29"/>
        <v/>
      </c>
      <c r="ED32" s="249" t="str">
        <f t="array" ref="ED32">_xlfn.IFNA((INDEX('DMR 001C NEW'!$A$3:$O$9999,MATCH(('001-C DMR'!$DY$6&amp;'001-C DMR'!$EC$10&amp;'001-C DMR'!$B32),('DMR 001C NEW'!$E$3:$E$9018&amp;'DMR 001C NEW'!$B$3:$B$9018&amp;'DMR 001C NEW'!$A$3:$A$9018),0),MATCH('001-C DMR'!$DZ$11,'DMR 001C NEW'!$A$2:$O$2,0))),"")</f>
        <v/>
      </c>
      <c r="EE32" s="249" t="str">
        <f t="array" ref="EE32">_xlfn.IFNA((INDEX('DMR 001C NEW'!$A$3:$O$9999,MATCH(('001-C DMR'!$DY$6&amp;'001-C DMR'!$EC$10&amp;'001-C DMR'!$B32),('DMR 001C NEW'!$E$3:$E$9018&amp;'DMR 001C NEW'!$B$3:$B$9018&amp;'DMR 001C NEW'!$A$3:$A$9018),0),MATCH('001-C DMR'!$EE$11,'DMR 001C NEW'!$A$2:$O$2,0))),"")</f>
        <v/>
      </c>
      <c r="EF32" s="249" t="str">
        <f t="array" ref="EF32">IF(EE32="SCRATCHED","",IF(EE32&lt;ED32,0,EE32))</f>
        <v/>
      </c>
      <c r="EG32" s="249"/>
      <c r="EH32" s="195"/>
      <c r="EI32" s="194">
        <f t="array" ref="EI32">_xlfn.IFNA(INDEX('DMR Flows-Effluent'!$A$3:$F$186,MATCH(($EI$10&amp;$B32),('DMR Flows-Effluent'!$B$3:$B$186&amp;'DMR Flows-Effluent'!$A$3:$A$186),0),MATCH($EI$8,'DMR Flows-Effluent'!$A$2:$F$2,0)),"")</f>
        <v>42.549500000000002</v>
      </c>
      <c r="EJ32" s="56">
        <f t="array" ref="EJ32">_xlfn.IFNA(INDEX('DMR Flows-Effluent'!$A$3:$F$186,MATCH(($EJ$10&amp;$B32),('DMR Flows-Effluent'!$B$3:$B$186&amp;'DMR Flows-Effluent'!$A$3:$A$186),0),MATCH($EI$8,'DMR Flows-Effluent'!$A$2:$F$2,0)),"")</f>
        <v>79.905600000000007</v>
      </c>
      <c r="EK32" s="168">
        <f t="shared" si="19"/>
        <v>122.45510000000002</v>
      </c>
      <c r="EL32" s="63"/>
      <c r="EM32" s="63"/>
      <c r="EN32" s="63"/>
      <c r="EO32" s="63"/>
      <c r="EP32" s="62"/>
      <c r="EQ32" s="157">
        <f>'E.Coli Calculations'!R26</f>
        <v>76.242397414303113</v>
      </c>
      <c r="ER32" s="56">
        <f>'E.Coli Calculations'!S26</f>
        <v>106.24630178532422</v>
      </c>
      <c r="ES32" s="64">
        <f t="shared" si="36"/>
        <v>7</v>
      </c>
      <c r="ET32" s="61" t="str">
        <f t="shared" si="20"/>
        <v/>
      </c>
      <c r="EU32" s="58" t="str">
        <f t="array" ref="EU32">_xlfn.IFNA((INDEX('DMR 001C NEW'!$A$3:$O$9999,MATCH(('001-C DMR'!$ET$6&amp;'001-C DMR'!$ET$10&amp;'001-C DMR'!$B32),('DMR 001C NEW'!$E$3:$E$9018&amp;'DMR 001C NEW'!$B$3:$B$9018&amp;'DMR 001C NEW'!$A$3:$A$9018),0),MATCH('001-C DMR'!$EU$11,'DMR 001C NEW'!$A$2:$O$2,0))),"")</f>
        <v/>
      </c>
      <c r="EV32" s="58" t="str">
        <f t="array" ref="EV32">_xlfn.IFNA(INDEX('DMR 001C NEW'!$A$3:$O$9999,MATCH(('001-C DMR'!$ET$6&amp;'001-C DMR'!$ET$10&amp;'001-C DMR'!$B32),('DMR 001C NEW'!$E$3:$E$9018&amp;'DMR 001C NEW'!$B$3:$B$9018&amp;'DMR 001C NEW'!$A$3:$A$9018),0),MATCH('001-C DMR'!$EV$11,'DMR 001C NEW'!$A$2:$O$2,0)),"")</f>
        <v/>
      </c>
      <c r="EW32" s="56" t="str">
        <f t="shared" si="21"/>
        <v/>
      </c>
      <c r="EX32" s="64"/>
      <c r="EY32" s="279" t="str">
        <f t="array" ref="EY32">_xlfn.IFNA(INDEX('DMR 001C NEW'!$A$3:$O$999,MATCH(('001-C DMR'!$ET$6&amp;'001-C DMR'!EY$10&amp;'001-C DMR'!$B32),('DMR 001C NEW'!$E$3:$E$1112&amp;'DMR 001C NEW'!$B$3:$B$1112&amp;'DMR 001C NEW'!$A$3:$A$1112),0),MATCH('001-C DMR'!$EY$11,'DMR 001C NEW'!$A$2:$O$2,0)),"")</f>
        <v/>
      </c>
      <c r="EZ32" s="280" t="str">
        <f t="array" ref="EZ32">_xlfn.IFNA(INDEX('DMR 001C NEW'!$A$3:$O$999,MATCH(('001-C DMR'!$ET$6&amp;'001-C DMR'!EZ$10&amp;'001-C DMR'!$B32),('DMR 001C NEW'!$E$3:$E$1112&amp;'DMR 001C NEW'!$B$3:$B$1112&amp;'DMR 001C NEW'!$A$3:$A$1112),0),MATCH('001-C DMR'!$EY$11,'DMR 001C NEW'!$A$2:$O$2,0)),"")</f>
        <v/>
      </c>
      <c r="FA32" s="280" t="str">
        <f t="array" ref="FA32">_xlfn.IFNA(INDEX('DMR 001C NEW'!$A$3:$O$999,MATCH(('001-C DMR'!$ET$6&amp;'001-C DMR'!FA$10&amp;'001-C DMR'!$B32),('DMR 001C NEW'!$E$3:$E$1112&amp;'DMR 001C NEW'!$B$3:$B$1112&amp;'DMR 001C NEW'!$A$3:$A$1112),0),MATCH('001-C DMR'!$EY$11,'DMR 001C NEW'!$A$2:$O$2,0)),"")</f>
        <v/>
      </c>
      <c r="FB32" s="280" t="str">
        <f t="array" ref="FB32">_xlfn.IFNA(INDEX('DMR 001C NEW'!$A$3:$O$999,MATCH(('001-C DMR'!$ET$6&amp;'001-C DMR'!FB$10&amp;'001-C DMR'!$B32),('DMR 001C NEW'!$E$3:$E$1112&amp;'DMR 001C NEW'!$B$3:$B$1112&amp;'DMR 001C NEW'!$A$3:$A$1112),0),MATCH('001-C DMR'!$EY$11,'DMR 001C NEW'!$A$2:$O$2,0)),"")</f>
        <v/>
      </c>
      <c r="FC32" s="280" t="str">
        <f t="array" ref="FC32">_xlfn.IFNA(INDEX('DMR 001C NEW'!$A$3:$O$999,MATCH(('001-C DMR'!$ET$6&amp;'001-C DMR'!FC$10&amp;'001-C DMR'!$B32),('DMR 001C NEW'!$E$3:$E$1112&amp;'DMR 001C NEW'!$B$3:$B$1112&amp;'DMR 001C NEW'!$A$3:$A$1112),0),MATCH('001-C DMR'!$EY$11,'DMR 001C NEW'!$A$2:$O$2,0)),"")</f>
        <v/>
      </c>
      <c r="FD32" s="280" t="str">
        <f t="array" ref="FD32">_xlfn.IFNA(INDEX('DMR 001C NEW'!$A$3:$O$999,MATCH(('001-C DMR'!$ET$6&amp;'001-C DMR'!FD$10&amp;'001-C DMR'!$B32),('DMR 001C NEW'!$E$3:$E$1112&amp;'DMR 001C NEW'!$B$3:$B$1112&amp;'DMR 001C NEW'!$A$3:$A$1112),0),MATCH('001-C DMR'!$EY$11,'DMR 001C NEW'!$A$2:$O$2,0)),"")</f>
        <v/>
      </c>
      <c r="FE32" s="281" t="str">
        <f t="array" ref="FE32">_xlfn.IFNA(INDEX('DMR 001C NEW'!$A$3:$O$999,MATCH(('001-C DMR'!$ET$6&amp;'001-C DMR'!FE$10&amp;'001-C DMR'!$B32),('DMR 001C NEW'!$E$3:$E$1112&amp;'DMR 001C NEW'!$B$3:$B$1112&amp;'DMR 001C NEW'!$A$3:$A$1112),0),MATCH('001-C DMR'!$EY$11,'DMR 001C NEW'!$A$2:$O$2,0)),"")</f>
        <v/>
      </c>
      <c r="FF32" s="57" t="str">
        <f t="shared" si="22"/>
        <v/>
      </c>
      <c r="FG32" s="56">
        <f t="array" ref="FG32">_xlfn.IFNA(INDEX('DMR 001C NEW'!$A$3:$O$9999,MATCH(('001-C DMR'!$FF$6&amp;'001-C DMR'!$FF$10&amp;'001-C DMR'!$B32),('DMR 001C NEW'!$E$3:$E$7246&amp;'DMR 001C NEW'!$B$3:$B$7246&amp;'DMR 001C NEW'!$A$3:$A$7246),0),MATCH('001-C DMR'!$FG$11,'DMR 001C NEW'!$A$2:$O$2,0)),"")</f>
        <v>0</v>
      </c>
      <c r="FH32" s="56">
        <f t="array" ref="FH32">_xlfn.IFNA(INDEX('DMR 001C NEW'!$A$3:$O$9999,MATCH(('001-C DMR'!$FF$6&amp;'001-C DMR'!$FF$10&amp;'001-C DMR'!$B32),('DMR 001C NEW'!$E$3:$E$7246&amp;'DMR 001C NEW'!$B$3:$B$7246&amp;'DMR 001C NEW'!$A$3:$A$7246),0),MATCH('001-C DMR'!$FH$11,'DMR 001C NEW'!$A$2:$O$2,0)),"")</f>
        <v>4</v>
      </c>
      <c r="FI32" s="57" t="str">
        <f t="shared" si="23"/>
        <v/>
      </c>
      <c r="FJ32" s="56">
        <f t="array" ref="FJ32">_xlfn.IFNA(INDEX('DMR 001C NEW'!$A$3:$O$9999,MATCH(('001-C DMR'!$FF$6&amp;'001-C DMR'!$FI$10&amp;'001-C DMR'!$B32),('DMR 001C NEW'!$E$3:$E$7246&amp;'DMR 001C NEW'!$B$3:$B$7246&amp;'DMR 001C NEW'!$A$3:$A$7246),0),MATCH('001-C DMR'!$FG$11,'DMR 001C NEW'!$A$2:$O$2,0)),"")</f>
        <v>0</v>
      </c>
      <c r="FK32" s="56">
        <f t="array" ref="FK32">_xlfn.IFNA(INDEX('DMR 001C NEW'!$A$3:$O$9999,MATCH(('001-C DMR'!$FF$6&amp;'001-C DMR'!$FI$10&amp;'001-C DMR'!$B32),('DMR 001C NEW'!$E$3:$E$7246&amp;'DMR 001C NEW'!$B$3:$B$7246&amp;'DMR 001C NEW'!$A$3:$A$7246),0),MATCH('001-C DMR'!$FH$11,'DMR 001C NEW'!$A$2:$O$2,0)),"")</f>
        <v>5</v>
      </c>
      <c r="FL32" s="56">
        <f t="array" ref="FL32">IFERROR((($FH32*$EI32)+($FK32*$EJ32))/($EK32),"")</f>
        <v>4.6525297843862763</v>
      </c>
      <c r="FM32" s="56">
        <f t="shared" si="43"/>
        <v>4.3915059019178955</v>
      </c>
      <c r="FN32" s="64">
        <f t="shared" si="37"/>
        <v>7</v>
      </c>
      <c r="FO32" s="66"/>
      <c r="FP32" s="280" t="str">
        <f t="array" ref="FP32">_xlfn.IFNA(INDEX('DMR 001C NEW'!$A$3:$O$999,MATCH(('001-C DMR'!$FF$6&amp;'001-C DMR'!FP$10&amp;'001-C DMR'!$B32),('DMR 001C NEW'!$E$3:$E$1112&amp;'DMR 001C NEW'!$B$3:$B$1112&amp;'DMR 001C NEW'!$A$3:$A$1112),0),MATCH('001-C DMR'!$FH$11,'DMR 001C NEW'!$A$2:$O$2,0)),"")</f>
        <v/>
      </c>
      <c r="FQ32" s="280" t="str">
        <f t="array" ref="FQ32">_xlfn.IFNA(INDEX('DMR 001C NEW'!$A$3:$O$999,MATCH(('001-C DMR'!$FF$6&amp;'001-C DMR'!FQ$10&amp;'001-C DMR'!$B32),('DMR 001C NEW'!$E$3:$E$1112&amp;'DMR 001C NEW'!$B$3:$B$1112&amp;'DMR 001C NEW'!$A$3:$A$1112),0),MATCH('001-C DMR'!$FH$11,'DMR 001C NEW'!$A$2:$O$2,0)),"")</f>
        <v/>
      </c>
      <c r="FR32" s="280" t="str">
        <f t="array" ref="FR32">_xlfn.IFNA(INDEX('DMR 001C NEW'!$A$3:$O$999,MATCH(('001-C DMR'!$FF$6&amp;'001-C DMR'!FR$10&amp;'001-C DMR'!$B32),('DMR 001C NEW'!$E$3:$E$1112&amp;'DMR 001C NEW'!$B$3:$B$1112&amp;'DMR 001C NEW'!$A$3:$A$1112),0),MATCH('001-C DMR'!$FH$11,'DMR 001C NEW'!$A$2:$O$2,0)),"")</f>
        <v/>
      </c>
      <c r="FS32" s="280" t="str">
        <f t="array" ref="FS32">_xlfn.IFNA(INDEX('DMR 001C NEW'!$A$3:$O$999,MATCH(('001-C DMR'!$FF$6&amp;'001-C DMR'!FS$10&amp;'001-C DMR'!$B32),('DMR 001C NEW'!$E$3:$E$1112&amp;'DMR 001C NEW'!$B$3:$B$1112&amp;'DMR 001C NEW'!$A$3:$A$1112),0),MATCH('001-C DMR'!$FH$11,'DMR 001C NEW'!$A$2:$O$2,0)),"")</f>
        <v/>
      </c>
      <c r="FT32" s="280" t="str">
        <f t="array" ref="FT32">_xlfn.IFNA(INDEX('DMR 001C NEW'!$A$3:$O$999,MATCH(('001-C DMR'!$FF$6&amp;'001-C DMR'!FT$10&amp;'001-C DMR'!$B32),('DMR 001C NEW'!$E$3:$E$1112&amp;'DMR 001C NEW'!$B$3:$B$1112&amp;'DMR 001C NEW'!$A$3:$A$1112),0),MATCH('001-C DMR'!$FH$11,'DMR 001C NEW'!$A$2:$O$2,0)),"")</f>
        <v/>
      </c>
      <c r="FU32" s="280" t="str">
        <f t="array" ref="FU32">_xlfn.IFNA(INDEX('DMR 001C NEW'!$A$3:$O$999,MATCH(('001-C DMR'!$FF$6&amp;'001-C DMR'!FU$10&amp;'001-C DMR'!$B32),('DMR 001C NEW'!$E$3:$E$1112&amp;'DMR 001C NEW'!$B$3:$B$1112&amp;'DMR 001C NEW'!$A$3:$A$1112),0),MATCH('001-C DMR'!$FH$11,'DMR 001C NEW'!$A$2:$O$2,0)),"")</f>
        <v/>
      </c>
      <c r="FV32" s="66"/>
      <c r="FW32" s="61" t="str">
        <f t="shared" si="24"/>
        <v/>
      </c>
      <c r="FX32" s="58" t="str">
        <f t="array" ref="FX32">_xlfn.IFNA(INDEX('DMR 001C NEW'!$A$3:$O$9999,MATCH(('001-C DMR'!$FW$6&amp;'001-C DMR'!$FW$10&amp;'001-C DMR'!$B32),('DMR 001C NEW'!$E$3:$E$7246&amp;'DMR 001C NEW'!$B$3:$B$7246&amp;'DMR 001C NEW'!$A$3:$A$7246),0),MATCH('001-C DMR'!$FX$11,'DMR 001C NEW'!$A$2:$O$2,0)),"")</f>
        <v/>
      </c>
      <c r="FY32" s="58" t="str">
        <f t="array" ref="FY32">_xlfn.IFNA(INDEX('DMR 001C NEW'!$A$3:$O$9999,MATCH(('001-C DMR'!$FW$6&amp;'001-C DMR'!$FW$10&amp;'001-C DMR'!$B32),('DMR 001C NEW'!$E$3:$E$7246&amp;'DMR 001C NEW'!$B$3:$B$7246&amp;'DMR 001C NEW'!$A$3:$A$7246),0),MATCH('001-C DMR'!$FY$11,'DMR 001C NEW'!$A$2:$O$2,0)),"")</f>
        <v/>
      </c>
      <c r="FZ32" s="57" t="str">
        <f t="shared" si="25"/>
        <v/>
      </c>
      <c r="GA32" s="58" t="str">
        <f t="array" ref="GA32">_xlfn.IFNA(INDEX('DMR 001C NEW'!$A$3:$O$9999,MATCH(('001-C DMR'!$FW$6&amp;'001-C DMR'!$FZ$10&amp;'001-C DMR'!$B32),('DMR 001C NEW'!$E$3:$E$7246&amp;'DMR 001C NEW'!$B$3:$B$7246&amp;'DMR 001C NEW'!$A$3:$A$7246),0),MATCH('001-C DMR'!$FX$11,'DMR 001C NEW'!$A$2:$O$2,0)),"")</f>
        <v/>
      </c>
      <c r="GB32" s="58" t="str">
        <f t="array" ref="GB32">_xlfn.IFNA(INDEX('DMR 001C NEW'!$A$3:$O$9999,MATCH(('001-C DMR'!$FW$6&amp;'001-C DMR'!$FZ$10&amp;'001-C DMR'!$B32),('DMR 001C NEW'!$E$3:$E$7246&amp;'DMR 001C NEW'!$B$3:$B$7246&amp;'DMR 001C NEW'!$A$3:$A$7246),0),MATCH('001-C DMR'!$GB$11,'DMR 001C NEW'!$A$2:$O$2,0)),"")</f>
        <v/>
      </c>
      <c r="GC32" s="56" t="str">
        <f t="shared" si="4"/>
        <v/>
      </c>
      <c r="GD32" s="64">
        <f t="shared" si="38"/>
        <v>1</v>
      </c>
      <c r="GE32" s="279" t="str">
        <f t="array" ref="GE32">_xlfn.IFNA(INDEX('DMR 001C NEW'!$A$3:$O$999,MATCH(('001-C DMR'!$FW$6&amp;'001-C DMR'!GE$10&amp;'001-C DMR'!$B32),('DMR 001C NEW'!$E$3:$E$1112&amp;'DMR 001C NEW'!$B$3:$B$1112&amp;'DMR 001C NEW'!$A$3:$A$1112),0),MATCH('001-C DMR'!$FY$11,'DMR 001C NEW'!$A$2:$O$2,0)),"")</f>
        <v/>
      </c>
      <c r="GF32" s="280" t="str">
        <f t="array" ref="GF32">_xlfn.IFNA(INDEX('DMR 001C NEW'!$A$3:$O$999,MATCH(('001-C DMR'!$FW$6&amp;'001-C DMR'!GF$10&amp;'001-C DMR'!$B32),('DMR 001C NEW'!$E$3:$E$1112&amp;'DMR 001C NEW'!$B$3:$B$1112&amp;'DMR 001C NEW'!$A$3:$A$1112),0),MATCH('001-C DMR'!$FY$11,'DMR 001C NEW'!$A$2:$O$2,0)),"")</f>
        <v/>
      </c>
      <c r="GG32" s="280" t="str">
        <f t="array" ref="GG32">_xlfn.IFNA(INDEX('DMR 001C NEW'!$A$3:$O$999,MATCH(('001-C DMR'!$FW$6&amp;'001-C DMR'!GG$10&amp;'001-C DMR'!$B32),('DMR 001C NEW'!$E$3:$E$1112&amp;'DMR 001C NEW'!$B$3:$B$1112&amp;'DMR 001C NEW'!$A$3:$A$1112),0),MATCH('001-C DMR'!$FY$11,'DMR 001C NEW'!$A$2:$O$2,0)),"")</f>
        <v/>
      </c>
      <c r="GH32" s="280" t="str">
        <f t="array" ref="GH32">_xlfn.IFNA(INDEX('DMR 001C NEW'!$A$3:$O$999,MATCH(('001-C DMR'!$FW$6&amp;'001-C DMR'!GH$10&amp;'001-C DMR'!$B32),('DMR 001C NEW'!$E$3:$E$1112&amp;'DMR 001C NEW'!$B$3:$B$1112&amp;'DMR 001C NEW'!$A$3:$A$1112),0),MATCH('001-C DMR'!$FY$11,'DMR 001C NEW'!$A$2:$O$2,0)),"")</f>
        <v/>
      </c>
      <c r="GI32" s="280" t="str">
        <f t="array" ref="GI32">_xlfn.IFNA(INDEX('DMR 001C NEW'!$A$3:$O$999,MATCH(('001-C DMR'!$FW$6&amp;'001-C DMR'!GI$10&amp;'001-C DMR'!$B32),('DMR 001C NEW'!$E$3:$E$1112&amp;'DMR 001C NEW'!$B$3:$B$1112&amp;'DMR 001C NEW'!$A$3:$A$1112),0),MATCH('001-C DMR'!$FY$11,'DMR 001C NEW'!$A$2:$O$2,0)),"")</f>
        <v/>
      </c>
      <c r="GJ32" s="281" t="str">
        <f t="array" ref="GJ32">_xlfn.IFNA(INDEX('DMR 001C NEW'!$A$3:$O$999,MATCH(('001-C DMR'!$FW$6&amp;'001-C DMR'!GJ$10&amp;'001-C DMR'!$B32),('DMR 001C NEW'!$E$3:$E$1112&amp;'DMR 001C NEW'!$B$3:$B$1112&amp;'DMR 001C NEW'!$A$3:$A$1112),0),MATCH('001-C DMR'!$FY$11,'DMR 001C NEW'!$A$2:$O$2,0)),"")</f>
        <v/>
      </c>
      <c r="GK32" s="58" t="str">
        <f t="array" ref="GK32">_xlfn.IFNA(INDEX('DMR 001C NEW'!$A$3:$O$9999,MATCH(('001-C DMR'!$GK$6&amp;'001-C DMR'!$GK$10&amp;'001-C DMR'!$B32),('DMR 001C NEW'!$E$3:$E$9018&amp;'DMR 001C NEW'!$B$3:$B$9018&amp;'DMR 001C NEW'!$A$3:$A$9018),0),MATCH('001-C DMR'!$GK$11,'DMR 001C NEW'!$A$2:$O$2,0)),"")</f>
        <v>n</v>
      </c>
      <c r="GL32" s="58" t="str">
        <f t="array" ref="GL32">_xlfn.IFNA(INDEX('DMR 001C NEW'!$A$3:$O$9999,MATCH(('001-C DMR'!$GK$6&amp;'001-C DMR'!$GL$10&amp;'001-C DMR'!$B32),('DMR 001C NEW'!$E$3:$E$9018&amp;'DMR 001C NEW'!$B$3:$B$9018&amp;'DMR 001C NEW'!$A$3:$A$9018),0),MATCH('001-C DMR'!$GK$11,'DMR 001C NEW'!$A$2:$O$2,0)),"")</f>
        <v>n</v>
      </c>
      <c r="GM32" s="134"/>
      <c r="GN32" s="64">
        <f t="shared" si="44"/>
        <v>7</v>
      </c>
    </row>
    <row r="33" spans="1:196" s="51" customFormat="1" x14ac:dyDescent="0.25">
      <c r="A33" s="67" t="str">
        <f t="shared" si="5"/>
        <v>Sun</v>
      </c>
      <c r="B33" s="216">
        <f t="shared" si="26"/>
        <v>43695</v>
      </c>
      <c r="C33" s="93">
        <f t="array" ref="C33">INDEX('DMR 001C NEW'!$A$3:$N$10020,MATCH(('001-C DMR'!$C$6:$K$6&amp;'001-C DMR'!$C$10:$E$10&amp;'001-C DMR'!$B33),('DMR 001C NEW'!$E$3:$E$7246&amp;'DMR 001C NEW'!$B$3:$B$7246&amp;'DMR 001C NEW'!$A$3:$A$7246),0),MATCH('001-C DMR'!$C$11,'DMR 001C NEW'!$A$2:$O$2,0))</f>
        <v>5.8</v>
      </c>
      <c r="D33" s="56" t="str">
        <f t="array" ref="D33">INDEX('DMR 001C NEW'!$A$3:$N$11771,MATCH(('001-C DMR'!$C$6:$K$6&amp;'001-C DMR'!$C$10:$E$10&amp;'001-C DMR'!$B33),('DMR 001C NEW'!$E$3:$E$9018&amp;'DMR 001C NEW'!$B$3:$B$9018&amp;'DMR 001C NEW'!$A$3:$A$9018),0),MATCH('001-C DMR'!$D$11,'DMR 001C NEW'!$A$2:$O$2,0))</f>
        <v>AE69694</v>
      </c>
      <c r="E33" s="56">
        <f t="array" ref="E33">INDEX('DMR 001C NEW'!$A$3:$N$9999,MATCH(('001-C DMR'!$E$11&amp;'001-C DMR'!$C$10:$E$10&amp;'001-C DMR'!$B33&amp;$D33),('DMR 001C NEW'!$E$3:$E$7246&amp;'DMR 001C NEW'!$B$3:$B$7246&amp;'DMR 001C NEW'!$A$3:$A$7246&amp;'DMR 001C NEW'!$M$3:$M$7188),0),MATCH($C$11,'DMR 001C NEW'!$A$2:$O$2,0))</f>
        <v>46.6</v>
      </c>
      <c r="F33" s="56">
        <f t="array" ref="F33">INDEX('DMR 001C NEW'!$A$3:$N$9999,MATCH('001-C DMR'!$C$6:$K$6&amp;'001-C DMR'!$F$10&amp;'001-C DMR'!$B33,('DMR 001C NEW'!$E$3:$E$7246&amp;'DMR 001C NEW'!$B$3:$B$7246&amp;'DMR 001C NEW'!$A$3:$A$7246),0),MATCH('001-C DMR'!$C$11,'DMR 001C NEW'!$A$2:$O$2,0))</f>
        <v>6.5</v>
      </c>
      <c r="G33" s="56" t="str">
        <f t="array" ref="G33">INDEX('DMR 001C NEW'!$A$3:$N$3865,MATCH(('001-C DMR'!$C$6:$K$6&amp;'001-C DMR'!$F$10&amp;'001-C DMR'!$B33),('DMR 001C NEW'!$E$3:$E$1112&amp;'DMR 001C NEW'!$B$3:$B$1112&amp;'DMR 001C NEW'!$A$3:$A$1112),0),MATCH('001-C DMR'!$D$11,'DMR 001C NEW'!$A$2:$O$2,0))</f>
        <v>AE69695</v>
      </c>
      <c r="H33" s="56">
        <f t="array" ref="H33">INDEX('DMR 001C NEW'!$A$3:$N$9999,MATCH(('001-C DMR'!$E$11&amp;'001-C DMR'!$F$10&amp;'001-C DMR'!$B33&amp;$G33),('DMR 001C NEW'!$E$3:$E$7246&amp;'DMR 001C NEW'!$B$3:$B$7246&amp;'DMR 001C NEW'!$A$3:$A$7246&amp;'DMR 001C NEW'!$M$3:$M$7188),0),MATCH($C$11,'DMR 001C NEW'!$A$2:$O$2,0))</f>
        <v>99.74</v>
      </c>
      <c r="I33" s="56">
        <f t="shared" si="0"/>
        <v>6.2770944376110425</v>
      </c>
      <c r="J33" s="58" t="str">
        <f t="shared" si="39"/>
        <v/>
      </c>
      <c r="K33" s="64" t="str">
        <f t="shared" si="40"/>
        <v/>
      </c>
      <c r="L33" s="262" t="str">
        <f t="array" ref="L33">_xlfn.IFNA(INDEX('DMR 001C NEW'!$A$3:$N$3865,MATCH(('001-C DMR'!$C$6:$K$6&amp;'001-C DMR'!L$10&amp;'001-C DMR'!$B33),('DMR 001C NEW'!$E$3:$E$1112&amp;'DMR 001C NEW'!$B$3:$B$1112&amp;'DMR 001C NEW'!$A$3:$A$1112),0),MATCH('001-C DMR'!$C$11,'DMR 001C NEW'!$A$2:$O$2,0)),"")</f>
        <v/>
      </c>
      <c r="M33" s="262" t="str">
        <f t="array" ref="M33">_xlfn.IFNA(INDEX('DMR 001C NEW'!$A$3:$N$3865,MATCH(('001-C DMR'!$C$6:$K$6&amp;'001-C DMR'!M$10&amp;'001-C DMR'!$B33),('DMR 001C NEW'!$E$3:$E$1112&amp;'DMR 001C NEW'!$B$3:$B$1112&amp;'DMR 001C NEW'!$A$3:$A$1112),0),MATCH('001-C DMR'!$C$11,'DMR 001C NEW'!$A$2:$O$2,0)),"")</f>
        <v/>
      </c>
      <c r="N33" s="262" t="str">
        <f t="array" ref="N33">_xlfn.IFNA(INDEX('DMR 001C NEW'!$A$3:$N$3865,MATCH(('001-C DMR'!$C$6:$K$6&amp;'001-C DMR'!N$10&amp;'001-C DMR'!$B33),('DMR 001C NEW'!$E$3:$E$1112&amp;'DMR 001C NEW'!$B$3:$B$1112&amp;'DMR 001C NEW'!$A$3:$A$1112),0),MATCH('001-C DMR'!$C$11,'DMR 001C NEW'!$A$2:$O$2,0)),"")</f>
        <v/>
      </c>
      <c r="O33" s="262" t="str">
        <f t="array" ref="O33">_xlfn.IFNA(INDEX('DMR 001C NEW'!$A$3:$N$3865,MATCH(('001-C DMR'!$C$6:$K$6&amp;'001-C DMR'!O$10&amp;'001-C DMR'!$B33),('DMR 001C NEW'!$E$3:$E$1112&amp;'DMR 001C NEW'!$B$3:$B$1112&amp;'DMR 001C NEW'!$A$3:$A$1112),0),MATCH('001-C DMR'!$C$11,'DMR 001C NEW'!$A$2:$O$2,0)),"")</f>
        <v/>
      </c>
      <c r="P33" s="262" t="str">
        <f t="array" ref="P33">_xlfn.IFNA(INDEX('DMR 001C NEW'!$A$3:$N$3865,MATCH(('001-C DMR'!$C$6:$K$6&amp;'001-C DMR'!P$10&amp;'001-C DMR'!$B33),('DMR 001C NEW'!$E$3:$E$1112&amp;'DMR 001C NEW'!$B$3:$B$1112&amp;'DMR 001C NEW'!$A$3:$A$1112),0),MATCH('001-C DMR'!$C$11,'DMR 001C NEW'!$A$2:$O$2,0)),"")</f>
        <v/>
      </c>
      <c r="Q33" s="120" t="e">
        <f t="array" ref="Q33">INDEX('DMR 001C NEW'!$A$3:$N$3865,MATCH(('001-C DMR'!$C$6:$K$6&amp;'001-C DMR'!Q$10&amp;'001-C DMR'!$B33),('DMR 001C NEW'!$E$3:$E$1112&amp;'DMR 001C NEW'!$B$3:$B$1112&amp;'DMR 001C NEW'!$A$3:$A$1112),0),MATCH('001-C DMR'!$C$11,'DMR 001C NEW'!$A$2:$O$2,0))</f>
        <v>#N/A</v>
      </c>
      <c r="R33" s="61"/>
      <c r="S33" s="56">
        <f t="array" ref="S33">_xlfn.IFNA(INDEX('DMR 001C NEW'!$A$3:$N$11771,MATCH(('001-C DMR'!$R$6:$T$6&amp;'001-C DMR'!$R$10&amp;'001-C DMR'!$B33),('DMR 001C NEW'!$E$3:$E$9018&amp;'DMR 001C NEW'!$B$3:$B$9018&amp;'DMR 001C NEW'!$A$3:$A$9018),0),MATCH('001-C DMR'!$S$11,'DMR 001C NEW'!$A$2:$O$2,0)),"")</f>
        <v>7.1</v>
      </c>
      <c r="T33" s="64" t="str">
        <f t="shared" si="41"/>
        <v/>
      </c>
      <c r="U33" s="262" t="str">
        <f t="array" ref="U33">_xlfn.IFNA(INDEX('DMR 001C NEW'!$A$3:$O$591,MATCH('001-C DMR'!$R$6:$T$6&amp;'001-C DMR'!U$10&amp;'001-C DMR'!$B33,('DMR 001C NEW'!$E$3:$E$704&amp;'DMR 001C NEW'!$B$3:$B$704&amp;'DMR 001C NEW'!$A$3:$A$704),0),MATCH('001-C DMR'!$U$11,'DMR 001C NEW'!$A$2:$O$2,0)),"")</f>
        <v/>
      </c>
      <c r="V33" s="262" t="str">
        <f t="array" ref="V33">_xlfn.IFNA(INDEX('DMR 001C NEW'!$A$3:$O$591,MATCH('001-C DMR'!$R$6:$T$6&amp;'001-C DMR'!V$10&amp;'001-C DMR'!$B33,('DMR 001C NEW'!$E$3:$E$704&amp;'DMR 001C NEW'!$B$3:$B$704&amp;'DMR 001C NEW'!$A$3:$A$704),0),MATCH('001-C DMR'!$U$11,'DMR 001C NEW'!$A$2:$O$2,0)),"")</f>
        <v/>
      </c>
      <c r="W33" s="262" t="str">
        <f t="array" ref="W33">_xlfn.IFNA(INDEX('DMR 001C NEW'!$A$3:$O$591,MATCH('001-C DMR'!$R$6:$T$6&amp;'001-C DMR'!W$10&amp;'001-C DMR'!$B33,('DMR 001C NEW'!$E$3:$E$704&amp;'DMR 001C NEW'!$B$3:$B$704&amp;'DMR 001C NEW'!$A$3:$A$704),0),MATCH('001-C DMR'!$U$11,'DMR 001C NEW'!$A$2:$O$2,0)),"")</f>
        <v/>
      </c>
      <c r="X33" s="262" t="str">
        <f t="array" ref="X33">_xlfn.IFNA(INDEX('DMR 001C NEW'!$A$3:$O$591,MATCH('001-C DMR'!$R$6:$T$6&amp;'001-C DMR'!X$10&amp;'001-C DMR'!$B33,('DMR 001C NEW'!$E$3:$E$704&amp;'DMR 001C NEW'!$B$3:$B$704&amp;'DMR 001C NEW'!$A$3:$A$704),0),MATCH('001-C DMR'!$U$11,'DMR 001C NEW'!$A$2:$O$2,0)),"")</f>
        <v/>
      </c>
      <c r="Y33" s="262" t="str">
        <f t="array" ref="Y33">_xlfn.IFNA(INDEX('DMR 001C NEW'!$A$3:$O$591,MATCH('001-C DMR'!$R$6:$T$6&amp;'001-C DMR'!Y$10&amp;'001-C DMR'!$B33,('DMR 001C NEW'!$E$3:$E$704&amp;'DMR 001C NEW'!$B$3:$B$704&amp;'DMR 001C NEW'!$A$3:$A$704),0),MATCH('001-C DMR'!$U$11,'DMR 001C NEW'!$A$2:$O$2,0)),"")</f>
        <v/>
      </c>
      <c r="Z33" s="262" t="str">
        <f t="array" ref="Z33">_xlfn.IFNA(INDEX('DMR 001C NEW'!$A$3:$O$591,MATCH('001-C DMR'!$R$6:$T$6&amp;'001-C DMR'!Z$10&amp;'001-C DMR'!$B33,('DMR 001C NEW'!$E$3:$E$704&amp;'DMR 001C NEW'!$B$3:$B$704&amp;'DMR 001C NEW'!$A$3:$A$704),0),MATCH('001-C DMR'!$U$11,'DMR 001C NEW'!$A$2:$O$2,0)),"")</f>
        <v/>
      </c>
      <c r="AA33" s="262" t="str">
        <f t="array" ref="AA33">_xlfn.IFNA(INDEX('DMR 001C NEW'!$A$3:$O$591,MATCH('001-C DMR'!$R$6:$T$6&amp;'001-C DMR'!AA$10&amp;'001-C DMR'!$B33,('DMR 001C NEW'!$E$3:$E$704&amp;'DMR 001C NEW'!$B$3:$B$704&amp;'DMR 001C NEW'!$A$3:$A$704),0),MATCH('001-C DMR'!$U$11,'DMR 001C NEW'!$A$2:$O$2,0)),"")</f>
        <v/>
      </c>
      <c r="AB33" s="61" t="str">
        <f t="array" ref="AB33">IF(AD33&lt;AC33,"&lt;","")</f>
        <v/>
      </c>
      <c r="AC33" s="56">
        <f t="array" ref="AC33">_xlfn.IFNA(INDEX('DMR 001C NEW'!$A$3:$O$9999,MATCH(('001-C DMR'!$AB$6:$AJ$6&amp;'001-C DMR'!$AB$10:$AD$10&amp;'001-C DMR'!$B33),('DMR 001C NEW'!$E$3:$E$7246&amp;'DMR 001C NEW'!$B$3:$B$7246&amp;'DMR 001C NEW'!$A$3:$A$7246),0),MATCH('001-C DMR'!$AC$11,'DMR 001C NEW'!$A$2:$O$2,0)),"")</f>
        <v>3</v>
      </c>
      <c r="AD33" s="56">
        <f t="array" ref="AD33">_xlfn.IFNA(INDEX('DMR 001C NEW'!$A$3:$O$9999,MATCH(('001-C DMR'!$AB$6:$AJ$6&amp;'001-C DMR'!$AB$10:$AD$10&amp;'001-C DMR'!$B33),('DMR 001C NEW'!$E$3:$E$7246&amp;'DMR 001C NEW'!$B$3:$B$7246&amp;'DMR 001C NEW'!$A$3:$A$7246),0),MATCH('001-C DMR'!$AD$11,'DMR 001C NEW'!$A$2:$O$2,0)),"")</f>
        <v>7</v>
      </c>
      <c r="AE33" s="57" t="str">
        <f t="array" ref="AE33">IF(AG33&lt;AF33,"&lt;","")</f>
        <v/>
      </c>
      <c r="AF33" s="56">
        <f t="array" ref="AF33">_xlfn.IFNA(INDEX('DMR 001C NEW'!$A$3:$O$9999,MATCH(('001-C DMR'!$AB$6:$AJ$6&amp;'001-C DMR'!$AE$10&amp;'001-C DMR'!$B33),('DMR 001C NEW'!$E$3:$E$9018&amp;'DMR 001C NEW'!$B$3:$B$9018&amp;'DMR 001C NEW'!$A$3:$A$9018),0),MATCH('001-C DMR'!$AF$11,'DMR 001C NEW'!$A$2:$O$2,0)),"")</f>
        <v>3</v>
      </c>
      <c r="AG33" s="56">
        <f t="array" ref="AG33">_xlfn.IFNA(INDEX('DMR 001C NEW'!$A$3:$O$9999,MATCH(('001-C DMR'!$AB$6:$AJ$6&amp;'001-C DMR'!$AE$10&amp;'001-C DMR'!$B33),('DMR 001C NEW'!$E$3:$E$9018&amp;'DMR 001C NEW'!$B$3:$B$9018&amp;'DMR 001C NEW'!$A$3:$A$9018),0),MATCH('001-C DMR'!$AG$11,'DMR 001C NEW'!$A$2:$O$2,0)),"")</f>
        <v>16</v>
      </c>
      <c r="AH33" s="56">
        <f t="array" ref="AH33">IFERROR((($AD33*$EI33)+($AG33*$EJ33))/($EK33),"")</f>
        <v>12.732864254486721</v>
      </c>
      <c r="AI33" s="56" t="str">
        <f t="shared" si="42"/>
        <v/>
      </c>
      <c r="AJ33" s="64" t="str">
        <f t="shared" si="30"/>
        <v/>
      </c>
      <c r="AK33" s="262" t="str">
        <f t="array" ref="AK33">_xlfn.IFNA(INDEX('DMR 001C NEW'!$A$3:$O$999,MATCH(('001-C DMR'!$AB$6:$AJ$6&amp;'001-C DMR'!AK$10&amp;'001-C DMR'!$B33),('DMR 001C NEW'!$E$3:$E$1112&amp;'DMR 001C NEW'!$B$3:$B$1112&amp;'DMR 001C NEW'!$A$3:$A$1112),0),MATCH('001-C DMR'!$AD$11,'DMR 001C NEW'!$A$2:$O$2,0)),"")</f>
        <v/>
      </c>
      <c r="AL33" s="262" t="str">
        <f t="array" ref="AL33">_xlfn.IFNA(INDEX('DMR 001C NEW'!$A$3:$O$999,MATCH(('001-C DMR'!$AB$6:$AJ$6&amp;'001-C DMR'!AL$10&amp;'001-C DMR'!$B33),('DMR 001C NEW'!$E$3:$E$1112&amp;'DMR 001C NEW'!$B$3:$B$1112&amp;'DMR 001C NEW'!$A$3:$A$1112),0),MATCH('001-C DMR'!$AD$11,'DMR 001C NEW'!$A$2:$O$2,0)),"")</f>
        <v/>
      </c>
      <c r="AM33" s="262" t="str">
        <f t="array" ref="AM33">_xlfn.IFNA(INDEX('DMR 001C NEW'!$A$3:$O$999,MATCH(('001-C DMR'!$AB$6:$AJ$6&amp;'001-C DMR'!AM$10&amp;'001-C DMR'!$B33),('DMR 001C NEW'!$E$3:$E$1112&amp;'DMR 001C NEW'!$B$3:$B$1112&amp;'DMR 001C NEW'!$A$3:$A$1112),0),MATCH('001-C DMR'!$AD$11,'DMR 001C NEW'!$A$2:$O$2,0)),"")</f>
        <v/>
      </c>
      <c r="AN33" s="262" t="str">
        <f t="array" ref="AN33">_xlfn.IFNA(INDEX('DMR 001C NEW'!$A$3:$O$999,MATCH(('001-C DMR'!$AB$6:$AJ$6&amp;'001-C DMR'!AN$10&amp;'001-C DMR'!$B33),('DMR 001C NEW'!$E$3:$E$1112&amp;'DMR 001C NEW'!$B$3:$B$1112&amp;'DMR 001C NEW'!$A$3:$A$1112),0),MATCH('001-C DMR'!$AD$11,'DMR 001C NEW'!$A$2:$O$2,0)),"")</f>
        <v/>
      </c>
      <c r="AO33" s="262" t="str">
        <f t="array" ref="AO33">_xlfn.IFNA(INDEX('DMR 001C NEW'!$A$3:$O$999,MATCH(('001-C DMR'!$AB$6:$AJ$6&amp;'001-C DMR'!AO$10&amp;'001-C DMR'!$B33),('DMR 001C NEW'!$E$3:$E$1112&amp;'DMR 001C NEW'!$B$3:$B$1112&amp;'DMR 001C NEW'!$A$3:$A$1112),0),MATCH('001-C DMR'!$AD$11,'DMR 001C NEW'!$A$2:$O$2,0)),"")</f>
        <v/>
      </c>
      <c r="AP33" s="262" t="str">
        <f t="array" ref="AP33">_xlfn.IFNA(INDEX('DMR 001C NEW'!$A$3:$O$999,MATCH(('001-C DMR'!$AB$6:$AJ$6&amp;'001-C DMR'!AP$10&amp;'001-C DMR'!$B33),('DMR 001C NEW'!$E$3:$E$1112&amp;'DMR 001C NEW'!$B$3:$B$1112&amp;'DMR 001C NEW'!$A$3:$A$1112),0),MATCH('001-C DMR'!$AD$11,'DMR 001C NEW'!$A$2:$O$2,0)),"")</f>
        <v/>
      </c>
      <c r="AQ33" s="61" t="str">
        <f t="array" ref="AQ33">IF(AS33&lt;AR33,"&lt;","")</f>
        <v/>
      </c>
      <c r="AR33" s="58">
        <f t="array" ref="AR33">_xlfn.IFNA((INDEX('DMR 001C NEW'!$A$3:$O$9999,MATCH(('001-C DMR'!$AQ$6:$AZ$6&amp;'001-C DMR'!$AQ$10:$AS$10&amp;'001-C DMR'!$B33),('DMR 001C NEW'!$E$3:$E$7246&amp;'DMR 001C NEW'!$B$3:$B$7246&amp;'DMR 001C NEW'!$A$3:$A$7246),0),MATCH('001-C DMR'!$AR$11,'DMR 001C NEW'!$A$2:$O$2,0))),"")</f>
        <v>0.15</v>
      </c>
      <c r="AS33" s="58">
        <f t="array" ref="AS33">_xlfn.IFNA(INDEX('DMR 001C NEW'!$A$3:$O$9999,MATCH(('001-C DMR'!$AQ$6:$AZ$6&amp;'001-C DMR'!$AQ$10:$AS$10&amp;'001-C DMR'!$B33),('DMR 001C NEW'!$E$3:$E$7246&amp;'DMR 001C NEW'!$B$3:$B$7246&amp;'DMR 001C NEW'!$A$3:$A$7246),0),MATCH('001-C DMR'!$AS$11,'DMR 001C NEW'!$A$2:$O$2,0)),"")</f>
        <v>2.68</v>
      </c>
      <c r="AT33" s="58">
        <f t="shared" si="27"/>
        <v>2.68</v>
      </c>
      <c r="AU33" s="57" t="str">
        <f t="array" ref="AU33">IF(AW33&lt;AV33,"&lt;","")</f>
        <v/>
      </c>
      <c r="AV33" s="58">
        <f t="array" ref="AV33">_xlfn.IFNA((INDEX('DMR 001C NEW'!$A$3:$O$9999,MATCH(('001-C DMR'!$AQ$6:$AZ$6&amp;'001-C DMR'!$AU$10&amp;'001-C DMR'!$B33),('DMR 001C NEW'!$E$3:$E$7246&amp;'DMR 001C NEW'!$B$3:$B$7246&amp;'DMR 001C NEW'!$A$3:$A$7246),0),MATCH('001-C DMR'!$AR$11,'DMR 001C NEW'!$A$2:$O$2,0))),"")</f>
        <v>0.15</v>
      </c>
      <c r="AW33" s="58">
        <f t="array" ref="AW33">_xlfn.IFNA(INDEX('DMR 001C NEW'!$A$3:$O$9999,MATCH(('001-C DMR'!$AQ$6:$AZ$6&amp;'001-C DMR'!$AU$10&amp;'001-C DMR'!$B33),('DMR 001C NEW'!$E$3:$E$7246&amp;'DMR 001C NEW'!$B$3:$B$7246&amp;'DMR 001C NEW'!$A$3:$A$7246),0),MATCH('001-C DMR'!$AW$11,'DMR 001C NEW'!$A$2:$O$2,0)),"")</f>
        <v>1.4</v>
      </c>
      <c r="AX33" s="58">
        <f t="shared" si="6"/>
        <v>1.4</v>
      </c>
      <c r="AY33" s="56">
        <f t="array" ref="AY33">IFERROR((($AT33*$EI33)+($AX33*$EJ33))/($EK33),"")</f>
        <v>1.8646593060285552</v>
      </c>
      <c r="AZ33" s="64" t="str">
        <f t="shared" si="31"/>
        <v/>
      </c>
      <c r="BA33" s="279" t="str">
        <f t="array" ref="BA33">_xlfn.IFNA(INDEX('DMR 001C NEW'!$A$3:$O$9999,MATCH(('001-C DMR'!$AQ$6:$AZ$6&amp;'001-C DMR'!BA$10&amp;'001-C DMR'!$B33),('DMR 001C NEW'!$E$3:$E$1112&amp;'DMR 001C NEW'!$B$3:$B$1112&amp;'DMR 001C NEW'!$A$3:$A$1112),0),MATCH('001-C DMR'!$BA$11,'DMR 001C NEW'!$A$2:$O$2,0)),"")</f>
        <v/>
      </c>
      <c r="BB33" s="280" t="str">
        <f t="array" ref="BB33">_xlfn.IFNA(INDEX('DMR 001C NEW'!$A$3:$O$9999,MATCH(('001-C DMR'!$AQ$6:$AZ$6&amp;'001-C DMR'!BB$10&amp;'001-C DMR'!$B33),('DMR 001C NEW'!$E$3:$E$1112&amp;'DMR 001C NEW'!$B$3:$B$1112&amp;'DMR 001C NEW'!$A$3:$A$1112),0),MATCH('001-C DMR'!$BA$11,'DMR 001C NEW'!$A$2:$O$2,0)),"")</f>
        <v/>
      </c>
      <c r="BC33" s="280" t="str">
        <f t="array" ref="BC33">_xlfn.IFNA(INDEX('DMR 001C NEW'!$A$3:$O$9999,MATCH(('001-C DMR'!$AQ$6:$AZ$6&amp;'001-C DMR'!BC$10&amp;'001-C DMR'!$B33),('DMR 001C NEW'!$E$3:$E$1112&amp;'DMR 001C NEW'!$B$3:$B$1112&amp;'DMR 001C NEW'!$A$3:$A$1112),0),MATCH('001-C DMR'!$BA$11,'DMR 001C NEW'!$A$2:$O$2,0)),"")</f>
        <v/>
      </c>
      <c r="BD33" s="280" t="str">
        <f t="array" ref="BD33">_xlfn.IFNA(INDEX('DMR 001C NEW'!$A$3:$O$9999,MATCH(('001-C DMR'!$AQ$6:$AZ$6&amp;'001-C DMR'!BD$10&amp;'001-C DMR'!$B33),('DMR 001C NEW'!$E$3:$E$1112&amp;'DMR 001C NEW'!$B$3:$B$1112&amp;'DMR 001C NEW'!$A$3:$A$1112),0),MATCH('001-C DMR'!$BA$11,'DMR 001C NEW'!$A$2:$O$2,0)),"")</f>
        <v/>
      </c>
      <c r="BE33" s="280" t="str">
        <f t="array" ref="BE33">_xlfn.IFNA(INDEX('DMR 001C NEW'!$A$3:$O$9999,MATCH(('001-C DMR'!$AQ$6:$AZ$6&amp;'001-C DMR'!BE$10&amp;'001-C DMR'!$B33),('DMR 001C NEW'!$E$3:$E$1112&amp;'DMR 001C NEW'!$B$3:$B$1112&amp;'DMR 001C NEW'!$A$3:$A$1112),0),MATCH('001-C DMR'!$BA$11,'DMR 001C NEW'!$A$2:$O$2,0)),"")</f>
        <v/>
      </c>
      <c r="BF33" s="281" t="str">
        <f t="array" ref="BF33">_xlfn.IFNA(INDEX('DMR 001C NEW'!$A$3:$O$9999,MATCH(('001-C DMR'!$AQ$6:$AZ$6&amp;'001-C DMR'!BF$10&amp;'001-C DMR'!$B33),('DMR 001C NEW'!$E$3:$E$1112&amp;'DMR 001C NEW'!$B$3:$B$1112&amp;'DMR 001C NEW'!$A$3:$A$1112),0),MATCH('001-C DMR'!$BA$11,'DMR 001C NEW'!$A$2:$O$2,0)),"")</f>
        <v/>
      </c>
      <c r="BG33" s="57"/>
      <c r="BH33" s="58">
        <f t="array" ref="BH33">_xlfn.IFNA((INDEX('DMR 001C NEW'!$A$3:$O$9999,MATCH(('001-C DMR'!$BG$6&amp;'001-C DMR'!$BG$10&amp;'001-C DMR'!$B33),('DMR 001C NEW'!$E$3:$E$7246&amp;'DMR 001C NEW'!$B$3:$B$7246&amp;'DMR 001C NEW'!$A$3:$A$7246),0),MATCH('001-C DMR'!$BH$11,'DMR 001C NEW'!$A$2:$O$2,0))),"")</f>
        <v>0.06</v>
      </c>
      <c r="BI33" s="58">
        <f t="array" ref="BI33">_xlfn.IFNA(INDEX('DMR 001C NEW'!$A$3:$O$9999,MATCH(('001-C DMR'!$BG$6&amp;'001-C DMR'!$BG$10&amp;'001-C DMR'!$B33),('DMR 001C NEW'!$E$3:$E$7246&amp;'DMR 001C NEW'!$B$3:$B$7246&amp;'DMR 001C NEW'!$A$3:$A$7246),0),MATCH('001-C DMR'!$BI$11,'DMR 001C NEW'!$A$2:$O$2,0)),"")</f>
        <v>4.57</v>
      </c>
      <c r="BJ33" s="58">
        <f t="shared" si="7"/>
        <v>4.57</v>
      </c>
      <c r="BK33" s="57" t="str">
        <f t="shared" si="8"/>
        <v/>
      </c>
      <c r="BL33" s="58">
        <f t="array" ref="BL33">_xlfn.IFNA((INDEX('DMR 001C NEW'!$A$3:$O$9999,MATCH(('001-C DMR'!$BG$6&amp;'001-C DMR'!$BK$10&amp;'001-C DMR'!$B33),('DMR 001C NEW'!$E$3:$E$7246&amp;'DMR 001C NEW'!$B$3:$B$7246&amp;'DMR 001C NEW'!$A$3:$A$7246),0),MATCH('001-C DMR'!$BH$11,'DMR 001C NEW'!$A$2:$O$2,0))),"")</f>
        <v>0.06</v>
      </c>
      <c r="BM33" s="58">
        <f t="array" ref="BM33">_xlfn.IFNA(INDEX('DMR 001C NEW'!$A$3:$O$9999,MATCH(('001-C DMR'!$BG$6&amp;'001-C DMR'!$BK$10&amp;'001-C DMR'!$B33),('DMR 001C NEW'!$E$3:$E$7246&amp;'DMR 001C NEW'!$B$3:$B$7246&amp;'DMR 001C NEW'!$A$3:$A$7246),0),MATCH('001-C DMR'!$BI$11,'DMR 001C NEW'!$A$2:$O$2,0)),"")</f>
        <v>6.2</v>
      </c>
      <c r="BN33" s="58">
        <f t="shared" si="9"/>
        <v>6.2</v>
      </c>
      <c r="BO33" s="56">
        <f t="array" ref="BO33">IFERROR((($BJ33*$EI33)+($BN33*$EJ33))/($EK33),"")</f>
        <v>5.608285414979262</v>
      </c>
      <c r="BP33" s="64" t="str">
        <f t="shared" si="32"/>
        <v/>
      </c>
      <c r="BQ33" s="280" t="str">
        <f t="array" ref="BQ33">_xlfn.IFNA(INDEX('DMR 001C NEW'!$A$3:$O$999,MATCH(('001-C DMR'!$BG$6&amp;'001-C DMR'!BQ$10&amp;'001-C DMR'!$B33),('DMR 001C NEW'!$E$3:$E$1112&amp;'DMR 001C NEW'!$B$3:$B$1112&amp;'DMR 001C NEW'!$A$3:$A$1112),0),MATCH('001-C DMR'!$BQ$11,'DMR 001C NEW'!$A$2:$O$2,0)),"")</f>
        <v/>
      </c>
      <c r="BR33" s="280" t="str">
        <f t="array" ref="BR33">_xlfn.IFNA(INDEX('DMR 001C NEW'!$A$3:$O$999,MATCH(('001-C DMR'!$BG$6&amp;'001-C DMR'!BR$10&amp;'001-C DMR'!$B33),('DMR 001C NEW'!$E$3:$E$1112&amp;'DMR 001C NEW'!$B$3:$B$1112&amp;'DMR 001C NEW'!$A$3:$A$1112),0),MATCH('001-C DMR'!$BQ$11,'DMR 001C NEW'!$A$2:$O$2,0)),"")</f>
        <v/>
      </c>
      <c r="BS33" s="280" t="str">
        <f t="array" ref="BS33">_xlfn.IFNA(INDEX('DMR 001C NEW'!$A$3:$O$999,MATCH(('001-C DMR'!$BG$6&amp;'001-C DMR'!BS$10&amp;'001-C DMR'!$B33),('DMR 001C NEW'!$E$3:$E$1112&amp;'DMR 001C NEW'!$B$3:$B$1112&amp;'DMR 001C NEW'!$A$3:$A$1112),0),MATCH('001-C DMR'!$BQ$11,'DMR 001C NEW'!$A$2:$O$2,0)),"")</f>
        <v/>
      </c>
      <c r="BT33" s="280" t="str">
        <f t="array" ref="BT33">_xlfn.IFNA(INDEX('DMR 001C NEW'!$A$3:$O$999,MATCH(('001-C DMR'!$BG$6&amp;'001-C DMR'!BT$10&amp;'001-C DMR'!$B33),('DMR 001C NEW'!$E$3:$E$1112&amp;'DMR 001C NEW'!$B$3:$B$1112&amp;'DMR 001C NEW'!$A$3:$A$1112),0),MATCH('001-C DMR'!$BQ$11,'DMR 001C NEW'!$A$2:$O$2,0)),"")</f>
        <v/>
      </c>
      <c r="BU33" s="280" t="str">
        <f t="array" ref="BU33">_xlfn.IFNA(INDEX('DMR 001C NEW'!$A$3:$O$999,MATCH(('001-C DMR'!$BG$6&amp;'001-C DMR'!BU$10&amp;'001-C DMR'!$B33),('DMR 001C NEW'!$E$3:$E$1112&amp;'DMR 001C NEW'!$B$3:$B$1112&amp;'DMR 001C NEW'!$A$3:$A$1112),0),MATCH('001-C DMR'!$BQ$11,'DMR 001C NEW'!$A$2:$O$2,0)),"")</f>
        <v/>
      </c>
      <c r="BV33" s="280" t="str">
        <f t="array" ref="BV33">_xlfn.IFNA(INDEX('DMR 001C NEW'!$A$3:$O$999,MATCH(('001-C DMR'!$BG$6&amp;'001-C DMR'!BV$10&amp;'001-C DMR'!$B33),('DMR 001C NEW'!$E$3:$E$1112&amp;'DMR 001C NEW'!$B$3:$B$1112&amp;'DMR 001C NEW'!$A$3:$A$1112),0),MATCH('001-C DMR'!$BQ$11,'DMR 001C NEW'!$A$2:$O$2,0)),"")</f>
        <v/>
      </c>
      <c r="BW33" s="65"/>
      <c r="BX33" s="65"/>
      <c r="BY33" s="57" t="str">
        <f t="shared" si="10"/>
        <v/>
      </c>
      <c r="BZ33" s="58" t="str">
        <f t="array" ref="BZ33">_xlfn.IFNA((INDEX('DMR 001C NEW'!$A$3:$O$9999,MATCH(('001-C DMR'!$BY$6&amp;'001-C DMR'!$BY$10&amp;'001-C DMR'!$B33),('DMR 001C NEW'!$E$3:$E$7246&amp;'DMR 001C NEW'!$B$3:$B$7246&amp;'DMR 001C NEW'!$A$3:$A$7246),0),MATCH('001-C DMR'!$BZ$11,'DMR 001C NEW'!$A$2:$O$2,0))),"")</f>
        <v/>
      </c>
      <c r="CA33" s="138" t="str">
        <f t="array" ref="CA33">_xlfn.IFNA(INDEX('DMR 001C NEW'!$A$3:$O$9999,MATCH(('001-C DMR'!$BY$6&amp;'001-C DMR'!$BY$10&amp;'001-C DMR'!$B33),('DMR 001C NEW'!$E$3:$E$7246&amp;'DMR 001C NEW'!$B$3:$B$7246&amp;'DMR 001C NEW'!$A$3:$A$7246),0),MATCH('001-C DMR'!$CA$11,'DMR 001C NEW'!$A$2:$O$2,0)),"")</f>
        <v/>
      </c>
      <c r="CB33" s="57" t="str">
        <f t="shared" si="11"/>
        <v/>
      </c>
      <c r="CC33" s="58" t="str">
        <f t="array" ref="CC33">_xlfn.IFNA((INDEX('DMR 001C NEW'!$A$3:$O$9999,MATCH(('001-C DMR'!$BY$6&amp;'001-C DMR'!$CB$10&amp;'001-C DMR'!$B33),('DMR 001C NEW'!$E$3:$E$7246&amp;'DMR 001C NEW'!$B$3:$B$7246&amp;'DMR 001C NEW'!$A$3:$A$7246),0),MATCH('001-C DMR'!$BZ$11,'DMR 001C NEW'!$A$2:$O$2,0))),"")</f>
        <v/>
      </c>
      <c r="CD33" s="138" t="str">
        <f t="array" ref="CD33">_xlfn.IFNA(INDEX('DMR 001C NEW'!$A$3:$O$9999,MATCH(('001-C DMR'!$BY$6&amp;'001-C DMR'!$CB$10&amp;'001-C DMR'!$B33),('DMR 001C NEW'!$E$3:$E$7246&amp;'DMR 001C NEW'!$B$3:$B$7246&amp;'DMR 001C NEW'!$A$3:$A$7246),0),MATCH('001-C DMR'!$CA$11,'DMR 001C NEW'!$A$2:$O$2,0)),"")</f>
        <v/>
      </c>
      <c r="CE33" s="138" t="str">
        <f t="array" ref="CE33">IFERROR((($CA33*$EI33)+($CD33*$EJ33))/($EK33),"")</f>
        <v/>
      </c>
      <c r="CF33" s="64" t="str">
        <f t="shared" si="33"/>
        <v/>
      </c>
      <c r="CG33" s="280" t="str">
        <f t="array" ref="CG33">_xlfn.IFNA(INDEX('DMR 001C NEW'!$A$3:$O$999,MATCH(('001-C DMR'!$BY$6&amp;'001-C DMR'!CG$10&amp;'001-C DMR'!$B33),('DMR 001C NEW'!$E$3:$E$1112&amp;'DMR 001C NEW'!$B$3:$B$1112&amp;'DMR 001C NEW'!$A$3:$A$1112),0),MATCH('001-C DMR'!$CA$11,'DMR 001C NEW'!$A$2:$O$2,0)),"")</f>
        <v/>
      </c>
      <c r="CH33" s="280" t="str">
        <f t="array" ref="CH33">_xlfn.IFNA(INDEX('DMR 001C NEW'!$A$3:$O$999,MATCH(('001-C DMR'!$BY$6&amp;'001-C DMR'!CH$10&amp;'001-C DMR'!$B33),('DMR 001C NEW'!$E$3:$E$1112&amp;'DMR 001C NEW'!$B$3:$B$1112&amp;'DMR 001C NEW'!$A$3:$A$1112),0),MATCH('001-C DMR'!$CA$11,'DMR 001C NEW'!$A$2:$O$2,0)),"")</f>
        <v/>
      </c>
      <c r="CI33" s="280" t="str">
        <f t="array" ref="CI33">_xlfn.IFNA(INDEX('DMR 001C NEW'!$A$3:$O$999,MATCH(('001-C DMR'!$BY$6&amp;'001-C DMR'!CI$10&amp;'001-C DMR'!$B33),('DMR 001C NEW'!$E$3:$E$1112&amp;'DMR 001C NEW'!$B$3:$B$1112&amp;'DMR 001C NEW'!$A$3:$A$1112),0),MATCH('001-C DMR'!$CA$11,'DMR 001C NEW'!$A$2:$O$2,0)),"")</f>
        <v/>
      </c>
      <c r="CJ33" s="280" t="str">
        <f t="array" ref="CJ33">_xlfn.IFNA(INDEX('DMR 001C NEW'!$A$3:$O$999,MATCH(('001-C DMR'!$BY$6&amp;'001-C DMR'!CJ$10&amp;'001-C DMR'!$B33),('DMR 001C NEW'!$E$3:$E$1112&amp;'DMR 001C NEW'!$B$3:$B$1112&amp;'DMR 001C NEW'!$A$3:$A$1112),0),MATCH('001-C DMR'!$CA$11,'DMR 001C NEW'!$A$2:$O$2,0)),"")</f>
        <v/>
      </c>
      <c r="CK33" s="280" t="str">
        <f t="array" ref="CK33">_xlfn.IFNA(INDEX('DMR 001C NEW'!$A$3:$O$999,MATCH(('001-C DMR'!$BY$6&amp;'001-C DMR'!CK$10&amp;'001-C DMR'!$B33),('DMR 001C NEW'!$E$3:$E$1112&amp;'DMR 001C NEW'!$B$3:$B$1112&amp;'DMR 001C NEW'!$A$3:$A$1112),0),MATCH('001-C DMR'!$CA$11,'DMR 001C NEW'!$A$2:$O$2,0)),"")</f>
        <v/>
      </c>
      <c r="CL33" s="280" t="str">
        <f t="array" ref="CL33">_xlfn.IFNA(INDEX('DMR 001C NEW'!$A$3:$O$999,MATCH(('001-C DMR'!$BY$6&amp;'001-C DMR'!CL$10&amp;'001-C DMR'!$B33),('DMR 001C NEW'!$E$3:$E$1112&amp;'DMR 001C NEW'!$B$3:$B$1112&amp;'DMR 001C NEW'!$A$3:$A$1112),0),MATCH('001-C DMR'!$CA$11,'DMR 001C NEW'!$A$2:$O$2,0)),"")</f>
        <v/>
      </c>
      <c r="CM33" s="61" t="str">
        <f t="shared" si="12"/>
        <v/>
      </c>
      <c r="CN33" s="138" t="str">
        <f t="array" ref="CN33">_xlfn.IFNA((INDEX('DMR 001C NEW'!$A$3:$O$9999,MATCH(('001-C DMR'!$CM$6&amp;'001-C DMR'!$CM$10&amp;'001-C DMR'!$B33),('DMR 001C NEW'!$E$3:$E$9018&amp;'DMR 001C NEW'!$B$3:$B$9018&amp;'DMR 001C NEW'!$A$3:$A$9018),0),MATCH('001-C DMR'!$CN$11,'DMR 001C NEW'!$A$2:$O$2,0))*1000),"")</f>
        <v/>
      </c>
      <c r="CO33" s="138" t="str">
        <f t="array" ref="CO33">_xlfn.IFNA(INDEX('DMR 001C NEW'!$A$3:$O$9999,MATCH(('001-C DMR'!$CM$6&amp;'001-C DMR'!$CM$10&amp;'001-C DMR'!$B33),('DMR 001C NEW'!$E$3:$E$9018&amp;'DMR 001C NEW'!$B$3:$B$9018&amp;'DMR 001C NEW'!$A$3:$A$9018),0),MATCH('001-C DMR'!$CO$11,'DMR 001C NEW'!$A$2:$O$2,0))*1000,"")</f>
        <v/>
      </c>
      <c r="CP33" s="138" t="str">
        <f t="shared" si="13"/>
        <v/>
      </c>
      <c r="CQ33" s="64" t="str">
        <f t="shared" si="34"/>
        <v/>
      </c>
      <c r="CR33" s="280" t="str">
        <f t="array" ref="CR33">_xlfn.IFNA(INDEX('DMR 001C NEW'!$A$3:$O$999,MATCH(('001-C DMR'!$CM$6&amp;'001-C DMR'!CR$10&amp;'001-C DMR'!$B33),('DMR 001C NEW'!$E$3:$E$1112&amp;'DMR 001C NEW'!$B$3:$B$1112&amp;'DMR 001C NEW'!$A$3:$A$1112),0),MATCH('001-C DMR'!$CO$11,'DMR 001C NEW'!$A$2:$O$2,0)),"")</f>
        <v/>
      </c>
      <c r="CS33" s="280" t="str">
        <f t="array" ref="CS33">_xlfn.IFNA(INDEX('DMR 001C NEW'!$A$3:$O$999,MATCH(('001-C DMR'!$CM$6&amp;'001-C DMR'!CS$10&amp;'001-C DMR'!$B33),('DMR 001C NEW'!$E$3:$E$1112&amp;'DMR 001C NEW'!$B$3:$B$1112&amp;'DMR 001C NEW'!$A$3:$A$1112),0),MATCH('001-C DMR'!$CO$11,'DMR 001C NEW'!$A$2:$O$2,0)),"")</f>
        <v/>
      </c>
      <c r="CT33" s="280" t="str">
        <f t="array" ref="CT33">_xlfn.IFNA(INDEX('DMR 001C NEW'!$A$3:$O$999,MATCH(('001-C DMR'!$CM$6&amp;'001-C DMR'!CT$10&amp;'001-C DMR'!$B33),('DMR 001C NEW'!$E$3:$E$1112&amp;'DMR 001C NEW'!$B$3:$B$1112&amp;'DMR 001C NEW'!$A$3:$A$1112),0),MATCH('001-C DMR'!$CO$11,'DMR 001C NEW'!$A$2:$O$2,0)),"")</f>
        <v/>
      </c>
      <c r="CU33" s="280" t="str">
        <f t="array" ref="CU33">_xlfn.IFNA(INDEX('DMR 001C NEW'!$A$3:$O$999,MATCH(('001-C DMR'!$CM$6&amp;'001-C DMR'!CU$10&amp;'001-C DMR'!$B33),('DMR 001C NEW'!$E$3:$E$1112&amp;'DMR 001C NEW'!$B$3:$B$1112&amp;'DMR 001C NEW'!$A$3:$A$1112),0),MATCH('001-C DMR'!$CO$11,'DMR 001C NEW'!$A$2:$O$2,0)),"")</f>
        <v/>
      </c>
      <c r="CV33" s="280" t="str">
        <f t="array" ref="CV33">_xlfn.IFNA(INDEX('DMR 001C NEW'!$A$3:$O$999,MATCH(('001-C DMR'!$CM$6&amp;'001-C DMR'!CV$10&amp;'001-C DMR'!$B33),('DMR 001C NEW'!$E$3:$E$1112&amp;'DMR 001C NEW'!$B$3:$B$1112&amp;'DMR 001C NEW'!$A$3:$A$1112),0),MATCH('001-C DMR'!$CO$11,'DMR 001C NEW'!$A$2:$O$2,0)),"")</f>
        <v/>
      </c>
      <c r="CW33" s="280" t="str">
        <f t="array" ref="CW33">_xlfn.IFNA(INDEX('DMR 001C NEW'!$A$3:$O$999,MATCH(('001-C DMR'!$CM$6&amp;'001-C DMR'!CW$10&amp;'001-C DMR'!$B33),('DMR 001C NEW'!$E$3:$E$1112&amp;'DMR 001C NEW'!$B$3:$B$1112&amp;'DMR 001C NEW'!$A$3:$A$1112),0),MATCH('001-C DMR'!$CO$11,'DMR 001C NEW'!$A$2:$O$2,0)),"")</f>
        <v/>
      </c>
      <c r="CX33" s="280" t="str">
        <f t="array" ref="CX33">_xlfn.IFNA(INDEX('DMR 001C NEW'!$A$3:$O$999,MATCH(('001-C DMR'!$CM$6&amp;'001-C DMR'!CX$10&amp;'001-C DMR'!$B33),('DMR 001C NEW'!$E$3:$E$1112&amp;'DMR 001C NEW'!$B$3:$B$1112&amp;'DMR 001C NEW'!$A$3:$A$1112),0),MATCH('001-C DMR'!$CO$11,'DMR 001C NEW'!$A$2:$O$2,0)),"")</f>
        <v/>
      </c>
      <c r="CY33" s="61" t="str">
        <f t="shared" si="14"/>
        <v/>
      </c>
      <c r="CZ33" s="138" t="str">
        <f t="array" ref="CZ33">_xlfn.IFNA((INDEX('DMR 001C NEW'!$A$3:$O$9999,MATCH(('001-C DMR'!$CY$6&amp;'001-C DMR'!$CY$10&amp;'001-C DMR'!$B33),('DMR 001C NEW'!$E$3:$E$9018&amp;'DMR 001C NEW'!$B$3:$B$9018&amp;'DMR 001C NEW'!$A$3:$A$9018),0),MATCH('001-C DMR'!$CZ$11,'DMR 001C NEW'!$A$2:$O$2,0))*1000),"")</f>
        <v/>
      </c>
      <c r="DA33" s="138" t="str">
        <f t="array" ref="DA33">_xlfn.IFNA(INDEX('DMR 001C NEW'!$A$3:$O$9999,MATCH(('001-C DMR'!$CY$6&amp;'001-C DMR'!$CY$10&amp;'001-C DMR'!$B33),('DMR 001C NEW'!$E$3:$E$9018&amp;'DMR 001C NEW'!$B$3:$B$9018&amp;'DMR 001C NEW'!$A$3:$A$9018),0),MATCH('001-C DMR'!$DA$11,'DMR 001C NEW'!$A$2:$O$2,0))*1000,"")</f>
        <v/>
      </c>
      <c r="DB33" s="138" t="str">
        <f t="shared" si="15"/>
        <v/>
      </c>
      <c r="DC33" s="64" t="str">
        <f t="shared" si="35"/>
        <v/>
      </c>
      <c r="DD33" s="280" t="str">
        <f t="array" ref="DD33">_xlfn.IFNA(INDEX('DMR 001C NEW'!$A$3:$O$999,MATCH(('001-C DMR'!$CY$6&amp;'001-C DMR'!DD$10&amp;'001-C DMR'!$B33),('DMR 001C NEW'!$E$3:$E$1112&amp;'DMR 001C NEW'!$B$3:$B$1112&amp;'DMR 001C NEW'!$A$3:$A$1112),0),MATCH('001-C DMR'!$DA$11,'DMR 001C NEW'!$A$2:$O$2,0)),"")</f>
        <v/>
      </c>
      <c r="DE33" s="280" t="str">
        <f t="array" ref="DE33">_xlfn.IFNA(INDEX('DMR 001C NEW'!$A$3:$O$999,MATCH(('001-C DMR'!$CY$6&amp;'001-C DMR'!DE$10&amp;'001-C DMR'!$B33),('DMR 001C NEW'!$E$3:$E$1112&amp;'DMR 001C NEW'!$B$3:$B$1112&amp;'DMR 001C NEW'!$A$3:$A$1112),0),MATCH('001-C DMR'!$DA$11,'DMR 001C NEW'!$A$2:$O$2,0)),"")</f>
        <v/>
      </c>
      <c r="DF33" s="280" t="str">
        <f t="array" ref="DF33">_xlfn.IFNA(INDEX('DMR 001C NEW'!$A$3:$O$999,MATCH(('001-C DMR'!$CY$6&amp;'001-C DMR'!DF$10&amp;'001-C DMR'!$B33),('DMR 001C NEW'!$E$3:$E$1112&amp;'DMR 001C NEW'!$B$3:$B$1112&amp;'DMR 001C NEW'!$A$3:$A$1112),0),MATCH('001-C DMR'!$DA$11,'DMR 001C NEW'!$A$2:$O$2,0)),"")</f>
        <v/>
      </c>
      <c r="DG33" s="280" t="str">
        <f t="array" ref="DG33">_xlfn.IFNA(INDEX('DMR 001C NEW'!$A$3:$O$999,MATCH(('001-C DMR'!$CY$6&amp;'001-C DMR'!DG$10&amp;'001-C DMR'!$B33),('DMR 001C NEW'!$E$3:$E$1112&amp;'DMR 001C NEW'!$B$3:$B$1112&amp;'DMR 001C NEW'!$A$3:$A$1112),0),MATCH('001-C DMR'!$DA$11,'DMR 001C NEW'!$A$2:$O$2,0)),"")</f>
        <v/>
      </c>
      <c r="DH33" s="280" t="str">
        <f t="array" ref="DH33">_xlfn.IFNA(INDEX('DMR 001C NEW'!$A$3:$O$999,MATCH(('001-C DMR'!$CY$6&amp;'001-C DMR'!DH$10&amp;'001-C DMR'!$B33),('DMR 001C NEW'!$E$3:$E$1112&amp;'DMR 001C NEW'!$B$3:$B$1112&amp;'DMR 001C NEW'!$A$3:$A$1112),0),MATCH('001-C DMR'!$DA$11,'DMR 001C NEW'!$A$2:$O$2,0)),"")</f>
        <v/>
      </c>
      <c r="DI33" s="280" t="str">
        <f t="array" ref="DI33">_xlfn.IFNA(INDEX('DMR 001C NEW'!$A$3:$O$999,MATCH(('001-C DMR'!$CY$6&amp;'001-C DMR'!DI$10&amp;'001-C DMR'!$B33),('DMR 001C NEW'!$E$3:$E$1112&amp;'DMR 001C NEW'!$B$3:$B$1112&amp;'DMR 001C NEW'!$A$3:$A$1112),0),MATCH('001-C DMR'!$DA$11,'DMR 001C NEW'!$A$2:$O$2,0)),"")</f>
        <v/>
      </c>
      <c r="DJ33" s="280" t="str">
        <f t="array" ref="DJ33">_xlfn.IFNA(INDEX('DMR 001C NEW'!$A$3:$O$999,MATCH(('001-C DMR'!$CY$6&amp;'001-C DMR'!DJ$10&amp;'001-C DMR'!$B33),('DMR 001C NEW'!$E$3:$E$1112&amp;'DMR 001C NEW'!$B$3:$B$1112&amp;'DMR 001C NEW'!$A$3:$A$1112),0),MATCH('001-C DMR'!$DA$11,'DMR 001C NEW'!$A$2:$O$2,0)),"")</f>
        <v/>
      </c>
      <c r="DK33" s="61" t="str">
        <f t="shared" si="16"/>
        <v/>
      </c>
      <c r="DL33" s="58" t="str">
        <f t="array" ref="DL33">_xlfn.IFNA((INDEX('DMR 001C NEW'!$A$3:$O$9999,MATCH(('001-C DMR'!$DK$6&amp;'001-C DMR'!$DK$10&amp;'001-C DMR'!$B33),('DMR 001C NEW'!$E$3:$E$9018&amp;'DMR 001C NEW'!$B$3:$B$9018&amp;'DMR 001C NEW'!$A$3:$A$9018),0),MATCH('001-C DMR'!$DL$11,'DMR 001C NEW'!$A$2:$O$2,0))),"")</f>
        <v/>
      </c>
      <c r="DM33" s="58" t="str">
        <f t="array" ref="DM33">_xlfn.IFNA(INDEX('DMR 001C NEW'!$A$3:$O$9999,MATCH(('001-C DMR'!$DK$6&amp;'001-C DMR'!$DK$10&amp;'001-C DMR'!$B33),('DMR 001C NEW'!$E$3:$E$9018&amp;'DMR 001C NEW'!$B$3:$B$9018&amp;'DMR 001C NEW'!$A$3:$A$9018),0),MATCH('001-C DMR'!$DM$11,'DMR 001C NEW'!$A$2:$O$2,0)),"")</f>
        <v/>
      </c>
      <c r="DN33" s="58" t="str">
        <f t="shared" si="17"/>
        <v/>
      </c>
      <c r="DO33" s="223"/>
      <c r="DP33" s="224"/>
      <c r="DQ33" s="64" t="str">
        <f t="shared" si="18"/>
        <v/>
      </c>
      <c r="DR33" s="280" t="str">
        <f t="array" ref="DR33">_xlfn.IFNA(INDEX('DMR 001C NEW'!$A$3:$O$999,MATCH(('001-C DMR'!$DK$6&amp;'001-C DMR'!DR$10&amp;'001-C DMR'!$B33),('DMR 001C NEW'!$E$3:$E$1112&amp;'DMR 001C NEW'!$B$3:$B$1112&amp;'DMR 001C NEW'!$A$3:$A$1112),0),MATCH('001-C DMR'!$DR$11,'DMR 001C NEW'!$A$2:$O$2,0)),"")</f>
        <v/>
      </c>
      <c r="DS33" s="280" t="str">
        <f t="array" ref="DS33">_xlfn.IFNA(INDEX('DMR 001C NEW'!$A$3:$O$999,MATCH(('001-C DMR'!$DK$6&amp;'001-C DMR'!DS$10&amp;'001-C DMR'!$B33),('DMR 001C NEW'!$E$3:$E$1112&amp;'DMR 001C NEW'!$B$3:$B$1112&amp;'DMR 001C NEW'!$A$3:$A$1112),0),MATCH('001-C DMR'!$DR$11,'DMR 001C NEW'!$A$2:$O$2,0)),"")</f>
        <v/>
      </c>
      <c r="DT33" s="280" t="str">
        <f t="array" ref="DT33">_xlfn.IFNA(INDEX('DMR 001C NEW'!$A$3:$O$999,MATCH(('001-C DMR'!$DK$6&amp;'001-C DMR'!DT$10&amp;'001-C DMR'!$B33),('DMR 001C NEW'!$E$3:$E$1112&amp;'DMR 001C NEW'!$B$3:$B$1112&amp;'DMR 001C NEW'!$A$3:$A$1112),0),MATCH('001-C DMR'!$DR$11,'DMR 001C NEW'!$A$2:$O$2,0)),"")</f>
        <v/>
      </c>
      <c r="DU33" s="280" t="str">
        <f t="array" ref="DU33">_xlfn.IFNA(INDEX('DMR 001C NEW'!$A$3:$O$999,MATCH(('001-C DMR'!$DK$6&amp;'001-C DMR'!DU$10&amp;'001-C DMR'!$B33),('DMR 001C NEW'!$E$3:$E$1112&amp;'DMR 001C NEW'!$B$3:$B$1112&amp;'DMR 001C NEW'!$A$3:$A$1112),0),MATCH('001-C DMR'!$DR$11,'DMR 001C NEW'!$A$2:$O$2,0)),"")</f>
        <v/>
      </c>
      <c r="DV33" s="280" t="str">
        <f t="array" ref="DV33">_xlfn.IFNA(INDEX('DMR 001C NEW'!$A$3:$O$999,MATCH(('001-C DMR'!$DK$6&amp;'001-C DMR'!DV$10&amp;'001-C DMR'!$B33),('DMR 001C NEW'!$E$3:$E$1112&amp;'DMR 001C NEW'!$B$3:$B$1112&amp;'DMR 001C NEW'!$A$3:$A$1112),0),MATCH('001-C DMR'!$DR$11,'DMR 001C NEW'!$A$2:$O$2,0)),"")</f>
        <v/>
      </c>
      <c r="DW33" s="280" t="str">
        <f t="array" ref="DW33">_xlfn.IFNA(INDEX('DMR 001C NEW'!$A$3:$O$999,MATCH(('001-C DMR'!$DK$6&amp;'001-C DMR'!DW$10&amp;'001-C DMR'!$B33),('DMR 001C NEW'!$E$3:$E$1112&amp;'DMR 001C NEW'!$B$3:$B$1112&amp;'DMR 001C NEW'!$A$3:$A$1112),0),MATCH('001-C DMR'!$DR$11,'DMR 001C NEW'!$A$2:$O$2,0)),"")</f>
        <v/>
      </c>
      <c r="DX33" s="280" t="str">
        <f t="array" ref="DX33">_xlfn.IFNA(INDEX('DMR 001C NEW'!$A$3:$O$999,MATCH(('001-C DMR'!$DK$6&amp;'001-C DMR'!DX$10&amp;'001-C DMR'!$B33),('DMR 001C NEW'!$E$3:$E$1112&amp;'DMR 001C NEW'!$B$3:$B$1112&amp;'DMR 001C NEW'!$A$3:$A$1112),0),MATCH('001-C DMR'!$DR$11,'DMR 001C NEW'!$A$2:$O$2,0)),"")</f>
        <v/>
      </c>
      <c r="DY33" s="61" t="str">
        <f t="shared" si="28"/>
        <v/>
      </c>
      <c r="DZ33" s="249" t="str">
        <f t="array" ref="DZ33">_xlfn.IFNA((INDEX('DMR 001C NEW'!$A$3:$O$9999,MATCH(('001-C DMR'!$DY$6&amp;'001-C DMR'!$DY$10&amp;'001-C DMR'!$B33),('DMR 001C NEW'!$E$3:$E$9018&amp;'DMR 001C NEW'!$B$3:$B$9018&amp;'DMR 001C NEW'!$A$3:$A$9018),0),MATCH('001-C DMR'!$DZ$11,'DMR 001C NEW'!$A$2:$O$2,0))),"")</f>
        <v/>
      </c>
      <c r="EA33" s="249" t="str">
        <f t="array" ref="EA33">_xlfn.IFNA((INDEX('DMR 001C NEW'!$A$3:$O$9999,MATCH(('001-C DMR'!$DY$6&amp;'001-C DMR'!$DY$10&amp;'001-C DMR'!$B33),('DMR 001C NEW'!$E$3:$E$9018&amp;'DMR 001C NEW'!$B$3:$B$9018&amp;'DMR 001C NEW'!$A$3:$A$9018),0),MATCH('001-C DMR'!$EA$11,'DMR 001C NEW'!$A$2:$O$2,0))),"")</f>
        <v/>
      </c>
      <c r="EB33" s="249" t="str">
        <f t="array" ref="EB33">IF(EA33="SCRATCHED","",IF(EA33&lt;DZ33,0,EA33))</f>
        <v/>
      </c>
      <c r="EC33" s="249" t="str">
        <f t="shared" si="29"/>
        <v/>
      </c>
      <c r="ED33" s="249" t="str">
        <f t="array" ref="ED33">_xlfn.IFNA((INDEX('DMR 001C NEW'!$A$3:$O$9999,MATCH(('001-C DMR'!$DY$6&amp;'001-C DMR'!$EC$10&amp;'001-C DMR'!$B33),('DMR 001C NEW'!$E$3:$E$9018&amp;'DMR 001C NEW'!$B$3:$B$9018&amp;'DMR 001C NEW'!$A$3:$A$9018),0),MATCH('001-C DMR'!$DZ$11,'DMR 001C NEW'!$A$2:$O$2,0))),"")</f>
        <v/>
      </c>
      <c r="EE33" s="249" t="str">
        <f t="array" ref="EE33">_xlfn.IFNA((INDEX('DMR 001C NEW'!$A$3:$O$9999,MATCH(('001-C DMR'!$DY$6&amp;'001-C DMR'!$EC$10&amp;'001-C DMR'!$B33),('DMR 001C NEW'!$E$3:$E$9018&amp;'DMR 001C NEW'!$B$3:$B$9018&amp;'DMR 001C NEW'!$A$3:$A$9018),0),MATCH('001-C DMR'!$EE$11,'DMR 001C NEW'!$A$2:$O$2,0))),"")</f>
        <v/>
      </c>
      <c r="EF33" s="249" t="str">
        <f t="array" ref="EF33">IF(EE33="SCRATCHED","",IF(EE33&lt;ED33,0,EE33))</f>
        <v/>
      </c>
      <c r="EG33" s="249"/>
      <c r="EH33" s="195"/>
      <c r="EI33" s="194">
        <f t="array" ref="EI33">_xlfn.IFNA(INDEX('DMR Flows-Effluent'!$A$3:$F$186,MATCH(($EI$10&amp;$B33),('DMR Flows-Effluent'!$B$3:$B$186&amp;'DMR Flows-Effluent'!$A$3:$A$186),0),MATCH($EI$8,'DMR Flows-Effluent'!$A$2:$F$2,0)),"")</f>
        <v>45.984499999999997</v>
      </c>
      <c r="EJ33" s="56">
        <f t="array" ref="EJ33">_xlfn.IFNA(INDEX('DMR Flows-Effluent'!$A$3:$F$186,MATCH(($EJ$10&amp;$B33),('DMR Flows-Effluent'!$B$3:$B$186&amp;'DMR Flows-Effluent'!$A$3:$A$186),0),MATCH($EI$8,'DMR Flows-Effluent'!$A$2:$F$2,0)),"")</f>
        <v>80.689300000000003</v>
      </c>
      <c r="EK33" s="168">
        <f t="shared" si="19"/>
        <v>126.6738</v>
      </c>
      <c r="EL33" s="63"/>
      <c r="EM33" s="63"/>
      <c r="EN33" s="63"/>
      <c r="EO33" s="63"/>
      <c r="EP33" s="62"/>
      <c r="EQ33" s="157">
        <f>'E.Coli Calculations'!R27</f>
        <v>56.754971607393159</v>
      </c>
      <c r="ER33" s="56"/>
      <c r="ES33" s="64" t="str">
        <f t="shared" si="36"/>
        <v/>
      </c>
      <c r="ET33" s="61" t="str">
        <f t="shared" si="20"/>
        <v/>
      </c>
      <c r="EU33" s="58" t="str">
        <f t="array" ref="EU33">_xlfn.IFNA((INDEX('DMR 001C NEW'!$A$3:$O$9999,MATCH(('001-C DMR'!$ET$6&amp;'001-C DMR'!$ET$10&amp;'001-C DMR'!$B33),('DMR 001C NEW'!$E$3:$E$9018&amp;'DMR 001C NEW'!$B$3:$B$9018&amp;'DMR 001C NEW'!$A$3:$A$9018),0),MATCH('001-C DMR'!$EU$11,'DMR 001C NEW'!$A$2:$O$2,0))),"")</f>
        <v/>
      </c>
      <c r="EV33" s="58" t="str">
        <f t="array" ref="EV33">_xlfn.IFNA(INDEX('DMR 001C NEW'!$A$3:$O$9999,MATCH(('001-C DMR'!$ET$6&amp;'001-C DMR'!$ET$10&amp;'001-C DMR'!$B33),('DMR 001C NEW'!$E$3:$E$9018&amp;'DMR 001C NEW'!$B$3:$B$9018&amp;'DMR 001C NEW'!$A$3:$A$9018),0),MATCH('001-C DMR'!$EV$11,'DMR 001C NEW'!$A$2:$O$2,0)),"")</f>
        <v/>
      </c>
      <c r="EW33" s="56" t="str">
        <f t="shared" si="21"/>
        <v/>
      </c>
      <c r="EX33" s="64"/>
      <c r="EY33" s="279" t="str">
        <f t="array" ref="EY33">_xlfn.IFNA(INDEX('DMR 001C NEW'!$A$3:$O$999,MATCH(('001-C DMR'!$ET$6&amp;'001-C DMR'!EY$10&amp;'001-C DMR'!$B33),('DMR 001C NEW'!$E$3:$E$1112&amp;'DMR 001C NEW'!$B$3:$B$1112&amp;'DMR 001C NEW'!$A$3:$A$1112),0),MATCH('001-C DMR'!$EY$11,'DMR 001C NEW'!$A$2:$O$2,0)),"")</f>
        <v/>
      </c>
      <c r="EZ33" s="280" t="str">
        <f t="array" ref="EZ33">_xlfn.IFNA(INDEX('DMR 001C NEW'!$A$3:$O$999,MATCH(('001-C DMR'!$ET$6&amp;'001-C DMR'!EZ$10&amp;'001-C DMR'!$B33),('DMR 001C NEW'!$E$3:$E$1112&amp;'DMR 001C NEW'!$B$3:$B$1112&amp;'DMR 001C NEW'!$A$3:$A$1112),0),MATCH('001-C DMR'!$EY$11,'DMR 001C NEW'!$A$2:$O$2,0)),"")</f>
        <v/>
      </c>
      <c r="FA33" s="280" t="str">
        <f t="array" ref="FA33">_xlfn.IFNA(INDEX('DMR 001C NEW'!$A$3:$O$999,MATCH(('001-C DMR'!$ET$6&amp;'001-C DMR'!FA$10&amp;'001-C DMR'!$B33),('DMR 001C NEW'!$E$3:$E$1112&amp;'DMR 001C NEW'!$B$3:$B$1112&amp;'DMR 001C NEW'!$A$3:$A$1112),0),MATCH('001-C DMR'!$EY$11,'DMR 001C NEW'!$A$2:$O$2,0)),"")</f>
        <v/>
      </c>
      <c r="FB33" s="280" t="str">
        <f t="array" ref="FB33">_xlfn.IFNA(INDEX('DMR 001C NEW'!$A$3:$O$999,MATCH(('001-C DMR'!$ET$6&amp;'001-C DMR'!FB$10&amp;'001-C DMR'!$B33),('DMR 001C NEW'!$E$3:$E$1112&amp;'DMR 001C NEW'!$B$3:$B$1112&amp;'DMR 001C NEW'!$A$3:$A$1112),0),MATCH('001-C DMR'!$EY$11,'DMR 001C NEW'!$A$2:$O$2,0)),"")</f>
        <v/>
      </c>
      <c r="FC33" s="280" t="str">
        <f t="array" ref="FC33">_xlfn.IFNA(INDEX('DMR 001C NEW'!$A$3:$O$999,MATCH(('001-C DMR'!$ET$6&amp;'001-C DMR'!FC$10&amp;'001-C DMR'!$B33),('DMR 001C NEW'!$E$3:$E$1112&amp;'DMR 001C NEW'!$B$3:$B$1112&amp;'DMR 001C NEW'!$A$3:$A$1112),0),MATCH('001-C DMR'!$EY$11,'DMR 001C NEW'!$A$2:$O$2,0)),"")</f>
        <v/>
      </c>
      <c r="FD33" s="280" t="str">
        <f t="array" ref="FD33">_xlfn.IFNA(INDEX('DMR 001C NEW'!$A$3:$O$999,MATCH(('001-C DMR'!$ET$6&amp;'001-C DMR'!FD$10&amp;'001-C DMR'!$B33),('DMR 001C NEW'!$E$3:$E$1112&amp;'DMR 001C NEW'!$B$3:$B$1112&amp;'DMR 001C NEW'!$A$3:$A$1112),0),MATCH('001-C DMR'!$EY$11,'DMR 001C NEW'!$A$2:$O$2,0)),"")</f>
        <v/>
      </c>
      <c r="FE33" s="281" t="str">
        <f t="array" ref="FE33">_xlfn.IFNA(INDEX('DMR 001C NEW'!$A$3:$O$999,MATCH(('001-C DMR'!$ET$6&amp;'001-C DMR'!FE$10&amp;'001-C DMR'!$B33),('DMR 001C NEW'!$E$3:$E$1112&amp;'DMR 001C NEW'!$B$3:$B$1112&amp;'DMR 001C NEW'!$A$3:$A$1112),0),MATCH('001-C DMR'!$EY$11,'DMR 001C NEW'!$A$2:$O$2,0)),"")</f>
        <v/>
      </c>
      <c r="FF33" s="57" t="str">
        <f t="shared" si="22"/>
        <v/>
      </c>
      <c r="FG33" s="56">
        <f t="array" ref="FG33">_xlfn.IFNA(INDEX('DMR 001C NEW'!$A$3:$O$9999,MATCH(('001-C DMR'!$FF$6&amp;'001-C DMR'!$FF$10&amp;'001-C DMR'!$B33),('DMR 001C NEW'!$E$3:$E$7246&amp;'DMR 001C NEW'!$B$3:$B$7246&amp;'DMR 001C NEW'!$A$3:$A$7246),0),MATCH('001-C DMR'!$FG$11,'DMR 001C NEW'!$A$2:$O$2,0)),"")</f>
        <v>0</v>
      </c>
      <c r="FH33" s="56">
        <f t="array" ref="FH33">_xlfn.IFNA(INDEX('DMR 001C NEW'!$A$3:$O$9999,MATCH(('001-C DMR'!$FF$6&amp;'001-C DMR'!$FF$10&amp;'001-C DMR'!$B33),('DMR 001C NEW'!$E$3:$E$7246&amp;'DMR 001C NEW'!$B$3:$B$7246&amp;'DMR 001C NEW'!$A$3:$A$7246),0),MATCH('001-C DMR'!$FH$11,'DMR 001C NEW'!$A$2:$O$2,0)),"")</f>
        <v>4</v>
      </c>
      <c r="FI33" s="57" t="str">
        <f t="shared" si="23"/>
        <v/>
      </c>
      <c r="FJ33" s="56">
        <f t="array" ref="FJ33">_xlfn.IFNA(INDEX('DMR 001C NEW'!$A$3:$O$9999,MATCH(('001-C DMR'!$FF$6&amp;'001-C DMR'!$FI$10&amp;'001-C DMR'!$B33),('DMR 001C NEW'!$E$3:$E$7246&amp;'DMR 001C NEW'!$B$3:$B$7246&amp;'DMR 001C NEW'!$A$3:$A$7246),0),MATCH('001-C DMR'!$FG$11,'DMR 001C NEW'!$A$2:$O$2,0)),"")</f>
        <v>0</v>
      </c>
      <c r="FK33" s="56">
        <f t="array" ref="FK33">_xlfn.IFNA(INDEX('DMR 001C NEW'!$A$3:$O$9999,MATCH(('001-C DMR'!$FF$6&amp;'001-C DMR'!$FI$10&amp;'001-C DMR'!$B33),('DMR 001C NEW'!$E$3:$E$7246&amp;'DMR 001C NEW'!$B$3:$B$7246&amp;'DMR 001C NEW'!$A$3:$A$7246),0),MATCH('001-C DMR'!$FH$11,'DMR 001C NEW'!$A$2:$O$2,0)),"")</f>
        <v>5</v>
      </c>
      <c r="FL33" s="56">
        <f t="array" ref="FL33">IFERROR((($FH33*$EI33)+($FK33*$EJ33))/($EK33),"")</f>
        <v>4.6369849171651909</v>
      </c>
      <c r="FM33" s="56" t="str">
        <f t="shared" si="43"/>
        <v/>
      </c>
      <c r="FN33" s="64" t="str">
        <f t="shared" si="37"/>
        <v/>
      </c>
      <c r="FO33" s="66"/>
      <c r="FP33" s="280" t="str">
        <f t="array" ref="FP33">_xlfn.IFNA(INDEX('DMR 001C NEW'!$A$3:$O$999,MATCH(('001-C DMR'!$FF$6&amp;'001-C DMR'!FP$10&amp;'001-C DMR'!$B33),('DMR 001C NEW'!$E$3:$E$1112&amp;'DMR 001C NEW'!$B$3:$B$1112&amp;'DMR 001C NEW'!$A$3:$A$1112),0),MATCH('001-C DMR'!$FH$11,'DMR 001C NEW'!$A$2:$O$2,0)),"")</f>
        <v/>
      </c>
      <c r="FQ33" s="280" t="str">
        <f t="array" ref="FQ33">_xlfn.IFNA(INDEX('DMR 001C NEW'!$A$3:$O$999,MATCH(('001-C DMR'!$FF$6&amp;'001-C DMR'!FQ$10&amp;'001-C DMR'!$B33),('DMR 001C NEW'!$E$3:$E$1112&amp;'DMR 001C NEW'!$B$3:$B$1112&amp;'DMR 001C NEW'!$A$3:$A$1112),0),MATCH('001-C DMR'!$FH$11,'DMR 001C NEW'!$A$2:$O$2,0)),"")</f>
        <v/>
      </c>
      <c r="FR33" s="280" t="str">
        <f t="array" ref="FR33">_xlfn.IFNA(INDEX('DMR 001C NEW'!$A$3:$O$999,MATCH(('001-C DMR'!$FF$6&amp;'001-C DMR'!FR$10&amp;'001-C DMR'!$B33),('DMR 001C NEW'!$E$3:$E$1112&amp;'DMR 001C NEW'!$B$3:$B$1112&amp;'DMR 001C NEW'!$A$3:$A$1112),0),MATCH('001-C DMR'!$FH$11,'DMR 001C NEW'!$A$2:$O$2,0)),"")</f>
        <v/>
      </c>
      <c r="FS33" s="280" t="str">
        <f t="array" ref="FS33">_xlfn.IFNA(INDEX('DMR 001C NEW'!$A$3:$O$999,MATCH(('001-C DMR'!$FF$6&amp;'001-C DMR'!FS$10&amp;'001-C DMR'!$B33),('DMR 001C NEW'!$E$3:$E$1112&amp;'DMR 001C NEW'!$B$3:$B$1112&amp;'DMR 001C NEW'!$A$3:$A$1112),0),MATCH('001-C DMR'!$FH$11,'DMR 001C NEW'!$A$2:$O$2,0)),"")</f>
        <v/>
      </c>
      <c r="FT33" s="280" t="str">
        <f t="array" ref="FT33">_xlfn.IFNA(INDEX('DMR 001C NEW'!$A$3:$O$999,MATCH(('001-C DMR'!$FF$6&amp;'001-C DMR'!FT$10&amp;'001-C DMR'!$B33),('DMR 001C NEW'!$E$3:$E$1112&amp;'DMR 001C NEW'!$B$3:$B$1112&amp;'DMR 001C NEW'!$A$3:$A$1112),0),MATCH('001-C DMR'!$FH$11,'DMR 001C NEW'!$A$2:$O$2,0)),"")</f>
        <v/>
      </c>
      <c r="FU33" s="280" t="str">
        <f t="array" ref="FU33">_xlfn.IFNA(INDEX('DMR 001C NEW'!$A$3:$O$999,MATCH(('001-C DMR'!$FF$6&amp;'001-C DMR'!FU$10&amp;'001-C DMR'!$B33),('DMR 001C NEW'!$E$3:$E$1112&amp;'DMR 001C NEW'!$B$3:$B$1112&amp;'DMR 001C NEW'!$A$3:$A$1112),0),MATCH('001-C DMR'!$FH$11,'DMR 001C NEW'!$A$2:$O$2,0)),"")</f>
        <v/>
      </c>
      <c r="FV33" s="66"/>
      <c r="FW33" s="61" t="str">
        <f t="shared" si="24"/>
        <v/>
      </c>
      <c r="FX33" s="58" t="str">
        <f t="array" ref="FX33">_xlfn.IFNA(INDEX('DMR 001C NEW'!$A$3:$O$9999,MATCH(('001-C DMR'!$FW$6&amp;'001-C DMR'!$FW$10&amp;'001-C DMR'!$B33),('DMR 001C NEW'!$E$3:$E$7246&amp;'DMR 001C NEW'!$B$3:$B$7246&amp;'DMR 001C NEW'!$A$3:$A$7246),0),MATCH('001-C DMR'!$FX$11,'DMR 001C NEW'!$A$2:$O$2,0)),"")</f>
        <v/>
      </c>
      <c r="FY33" s="58" t="str">
        <f t="array" ref="FY33">_xlfn.IFNA(INDEX('DMR 001C NEW'!$A$3:$O$9999,MATCH(('001-C DMR'!$FW$6&amp;'001-C DMR'!$FW$10&amp;'001-C DMR'!$B33),('DMR 001C NEW'!$E$3:$E$7246&amp;'DMR 001C NEW'!$B$3:$B$7246&amp;'DMR 001C NEW'!$A$3:$A$7246),0),MATCH('001-C DMR'!$FY$11,'DMR 001C NEW'!$A$2:$O$2,0)),"")</f>
        <v/>
      </c>
      <c r="FZ33" s="57" t="str">
        <f t="shared" si="25"/>
        <v/>
      </c>
      <c r="GA33" s="58" t="str">
        <f t="array" ref="GA33">_xlfn.IFNA(INDEX('DMR 001C NEW'!$A$3:$O$9999,MATCH(('001-C DMR'!$FW$6&amp;'001-C DMR'!$FZ$10&amp;'001-C DMR'!$B33),('DMR 001C NEW'!$E$3:$E$7246&amp;'DMR 001C NEW'!$B$3:$B$7246&amp;'DMR 001C NEW'!$A$3:$A$7246),0),MATCH('001-C DMR'!$FX$11,'DMR 001C NEW'!$A$2:$O$2,0)),"")</f>
        <v/>
      </c>
      <c r="GB33" s="58" t="str">
        <f t="array" ref="GB33">_xlfn.IFNA(INDEX('DMR 001C NEW'!$A$3:$O$9999,MATCH(('001-C DMR'!$FW$6&amp;'001-C DMR'!$FZ$10&amp;'001-C DMR'!$B33),('DMR 001C NEW'!$E$3:$E$7246&amp;'DMR 001C NEW'!$B$3:$B$7246&amp;'DMR 001C NEW'!$A$3:$A$7246),0),MATCH('001-C DMR'!$GB$11,'DMR 001C NEW'!$A$2:$O$2,0)),"")</f>
        <v/>
      </c>
      <c r="GC33" s="138" t="str">
        <f t="shared" si="4"/>
        <v/>
      </c>
      <c r="GD33" s="64" t="str">
        <f t="shared" si="38"/>
        <v/>
      </c>
      <c r="GE33" s="279" t="str">
        <f t="array" ref="GE33">_xlfn.IFNA(INDEX('DMR 001C NEW'!$A$3:$O$999,MATCH(('001-C DMR'!$FW$6&amp;'001-C DMR'!GE$10&amp;'001-C DMR'!$B33),('DMR 001C NEW'!$E$3:$E$1112&amp;'DMR 001C NEW'!$B$3:$B$1112&amp;'DMR 001C NEW'!$A$3:$A$1112),0),MATCH('001-C DMR'!$FY$11,'DMR 001C NEW'!$A$2:$O$2,0)),"")</f>
        <v/>
      </c>
      <c r="GF33" s="280" t="str">
        <f t="array" ref="GF33">_xlfn.IFNA(INDEX('DMR 001C NEW'!$A$3:$O$999,MATCH(('001-C DMR'!$FW$6&amp;'001-C DMR'!GF$10&amp;'001-C DMR'!$B33),('DMR 001C NEW'!$E$3:$E$1112&amp;'DMR 001C NEW'!$B$3:$B$1112&amp;'DMR 001C NEW'!$A$3:$A$1112),0),MATCH('001-C DMR'!$FY$11,'DMR 001C NEW'!$A$2:$O$2,0)),"")</f>
        <v/>
      </c>
      <c r="GG33" s="280" t="str">
        <f t="array" ref="GG33">_xlfn.IFNA(INDEX('DMR 001C NEW'!$A$3:$O$999,MATCH(('001-C DMR'!$FW$6&amp;'001-C DMR'!GG$10&amp;'001-C DMR'!$B33),('DMR 001C NEW'!$E$3:$E$1112&amp;'DMR 001C NEW'!$B$3:$B$1112&amp;'DMR 001C NEW'!$A$3:$A$1112),0),MATCH('001-C DMR'!$FY$11,'DMR 001C NEW'!$A$2:$O$2,0)),"")</f>
        <v/>
      </c>
      <c r="GH33" s="280" t="str">
        <f t="array" ref="GH33">_xlfn.IFNA(INDEX('DMR 001C NEW'!$A$3:$O$999,MATCH(('001-C DMR'!$FW$6&amp;'001-C DMR'!GH$10&amp;'001-C DMR'!$B33),('DMR 001C NEW'!$E$3:$E$1112&amp;'DMR 001C NEW'!$B$3:$B$1112&amp;'DMR 001C NEW'!$A$3:$A$1112),0),MATCH('001-C DMR'!$FY$11,'DMR 001C NEW'!$A$2:$O$2,0)),"")</f>
        <v/>
      </c>
      <c r="GI33" s="280" t="str">
        <f t="array" ref="GI33">_xlfn.IFNA(INDEX('DMR 001C NEW'!$A$3:$O$999,MATCH(('001-C DMR'!$FW$6&amp;'001-C DMR'!GI$10&amp;'001-C DMR'!$B33),('DMR 001C NEW'!$E$3:$E$1112&amp;'DMR 001C NEW'!$B$3:$B$1112&amp;'DMR 001C NEW'!$A$3:$A$1112),0),MATCH('001-C DMR'!$FY$11,'DMR 001C NEW'!$A$2:$O$2,0)),"")</f>
        <v/>
      </c>
      <c r="GJ33" s="281" t="str">
        <f t="array" ref="GJ33">_xlfn.IFNA(INDEX('DMR 001C NEW'!$A$3:$O$999,MATCH(('001-C DMR'!$FW$6&amp;'001-C DMR'!GJ$10&amp;'001-C DMR'!$B33),('DMR 001C NEW'!$E$3:$E$1112&amp;'DMR 001C NEW'!$B$3:$B$1112&amp;'DMR 001C NEW'!$A$3:$A$1112),0),MATCH('001-C DMR'!$FY$11,'DMR 001C NEW'!$A$2:$O$2,0)),"")</f>
        <v/>
      </c>
      <c r="GK33" s="58" t="str">
        <f t="array" ref="GK33">_xlfn.IFNA(INDEX('DMR 001C NEW'!$A$3:$O$9999,MATCH(('001-C DMR'!$GK$6&amp;'001-C DMR'!$GK$10&amp;'001-C DMR'!$B33),('DMR 001C NEW'!$E$3:$E$9018&amp;'DMR 001C NEW'!$B$3:$B$9018&amp;'DMR 001C NEW'!$A$3:$A$9018),0),MATCH('001-C DMR'!$GK$11,'DMR 001C NEW'!$A$2:$O$2,0)),"")</f>
        <v>n</v>
      </c>
      <c r="GL33" s="58" t="str">
        <f t="array" ref="GL33">_xlfn.IFNA(INDEX('DMR 001C NEW'!$A$3:$O$9999,MATCH(('001-C DMR'!$GK$6&amp;'001-C DMR'!$GL$10&amp;'001-C DMR'!$B33),('DMR 001C NEW'!$E$3:$E$9018&amp;'DMR 001C NEW'!$B$3:$B$9018&amp;'DMR 001C NEW'!$A$3:$A$9018),0),MATCH('001-C DMR'!$GK$11,'DMR 001C NEW'!$A$2:$O$2,0)),"")</f>
        <v>n</v>
      </c>
      <c r="GM33" s="134"/>
      <c r="GN33" s="64" t="str">
        <f t="shared" si="44"/>
        <v/>
      </c>
    </row>
    <row r="34" spans="1:196" s="51" customFormat="1" x14ac:dyDescent="0.25">
      <c r="A34" s="67" t="str">
        <f t="shared" si="5"/>
        <v>Mon</v>
      </c>
      <c r="B34" s="216">
        <f t="shared" si="26"/>
        <v>43696</v>
      </c>
      <c r="C34" s="93">
        <f t="array" ref="C34">INDEX('DMR 001C NEW'!$A$3:$N$10020,MATCH(('001-C DMR'!$C$6:$K$6&amp;'001-C DMR'!$C$10:$E$10&amp;'001-C DMR'!$B34),('DMR 001C NEW'!$E$3:$E$7246&amp;'DMR 001C NEW'!$B$3:$B$7246&amp;'DMR 001C NEW'!$A$3:$A$7246),0),MATCH('001-C DMR'!$C$11,'DMR 001C NEW'!$A$2:$O$2,0))</f>
        <v>5.8</v>
      </c>
      <c r="D34" s="56" t="str">
        <f t="array" ref="D34">INDEX('DMR 001C NEW'!$A$3:$N$11771,MATCH(('001-C DMR'!$C$6:$K$6&amp;'001-C DMR'!$C$10:$E$10&amp;'001-C DMR'!$B34),('DMR 001C NEW'!$E$3:$E$9018&amp;'DMR 001C NEW'!$B$3:$B$9018&amp;'DMR 001C NEW'!$A$3:$A$9018),0),MATCH('001-C DMR'!$D$11,'DMR 001C NEW'!$A$2:$O$2,0))</f>
        <v>AE69761</v>
      </c>
      <c r="E34" s="56">
        <f t="array" ref="E34">INDEX('DMR 001C NEW'!$A$3:$N$9999,MATCH(('001-C DMR'!$E$11&amp;'001-C DMR'!$C$10:$E$10&amp;'001-C DMR'!$B34&amp;$D34),('DMR 001C NEW'!$E$3:$E$7246&amp;'DMR 001C NEW'!$B$3:$B$7246&amp;'DMR 001C NEW'!$A$3:$A$7246&amp;'DMR 001C NEW'!$M$3:$M$7188),0),MATCH($C$11,'DMR 001C NEW'!$A$2:$O$2,0))</f>
        <v>36.130000000000003</v>
      </c>
      <c r="F34" s="56">
        <f t="array" ref="F34">INDEX('DMR 001C NEW'!$A$3:$N$9999,MATCH('001-C DMR'!$C$6:$K$6&amp;'001-C DMR'!$F$10&amp;'001-C DMR'!$B34,('DMR 001C NEW'!$E$3:$E$7246&amp;'DMR 001C NEW'!$B$3:$B$7246&amp;'DMR 001C NEW'!$A$3:$A$7246),0),MATCH('001-C DMR'!$C$11,'DMR 001C NEW'!$A$2:$O$2,0))</f>
        <v>6.5</v>
      </c>
      <c r="G34" s="56" t="str">
        <f t="array" ref="G34">INDEX('DMR 001C NEW'!$A$3:$N$3865,MATCH(('001-C DMR'!$C$6:$K$6&amp;'001-C DMR'!$F$10&amp;'001-C DMR'!$B34),('DMR 001C NEW'!$E$3:$E$1112&amp;'DMR 001C NEW'!$B$3:$B$1112&amp;'DMR 001C NEW'!$A$3:$A$1112),0),MATCH('001-C DMR'!$D$11,'DMR 001C NEW'!$A$2:$O$2,0))</f>
        <v>AE69762</v>
      </c>
      <c r="H34" s="56">
        <f t="array" ref="H34">INDEX('DMR 001C NEW'!$A$3:$N$9999,MATCH(('001-C DMR'!$E$11&amp;'001-C DMR'!$F$10&amp;'001-C DMR'!$B34&amp;$G34),('DMR 001C NEW'!$E$3:$E$7246&amp;'DMR 001C NEW'!$B$3:$B$7246&amp;'DMR 001C NEW'!$A$3:$A$7246&amp;'DMR 001C NEW'!$M$3:$M$7188),0),MATCH($C$11,'DMR 001C NEW'!$A$2:$O$2,0))</f>
        <v>99.94</v>
      </c>
      <c r="I34" s="56">
        <f t="shared" si="0"/>
        <v>6.3141324318365548</v>
      </c>
      <c r="J34" s="58" t="str">
        <f t="shared" si="39"/>
        <v/>
      </c>
      <c r="K34" s="64" t="str">
        <f t="shared" si="40"/>
        <v/>
      </c>
      <c r="L34" s="262" t="str">
        <f t="array" ref="L34">_xlfn.IFNA(INDEX('DMR 001C NEW'!$A$3:$N$3865,MATCH(('001-C DMR'!$C$6:$K$6&amp;'001-C DMR'!L$10&amp;'001-C DMR'!$B34),('DMR 001C NEW'!$E$3:$E$1112&amp;'DMR 001C NEW'!$B$3:$B$1112&amp;'DMR 001C NEW'!$A$3:$A$1112),0),MATCH('001-C DMR'!$C$11,'DMR 001C NEW'!$A$2:$O$2,0)),"")</f>
        <v/>
      </c>
      <c r="M34" s="262" t="str">
        <f t="array" ref="M34">_xlfn.IFNA(INDEX('DMR 001C NEW'!$A$3:$N$3865,MATCH(('001-C DMR'!$C$6:$K$6&amp;'001-C DMR'!M$10&amp;'001-C DMR'!$B34),('DMR 001C NEW'!$E$3:$E$1112&amp;'DMR 001C NEW'!$B$3:$B$1112&amp;'DMR 001C NEW'!$A$3:$A$1112),0),MATCH('001-C DMR'!$C$11,'DMR 001C NEW'!$A$2:$O$2,0)),"")</f>
        <v/>
      </c>
      <c r="N34" s="262" t="str">
        <f t="array" ref="N34">_xlfn.IFNA(INDEX('DMR 001C NEW'!$A$3:$N$3865,MATCH(('001-C DMR'!$C$6:$K$6&amp;'001-C DMR'!N$10&amp;'001-C DMR'!$B34),('DMR 001C NEW'!$E$3:$E$1112&amp;'DMR 001C NEW'!$B$3:$B$1112&amp;'DMR 001C NEW'!$A$3:$A$1112),0),MATCH('001-C DMR'!$C$11,'DMR 001C NEW'!$A$2:$O$2,0)),"")</f>
        <v/>
      </c>
      <c r="O34" s="262" t="str">
        <f t="array" ref="O34">_xlfn.IFNA(INDEX('DMR 001C NEW'!$A$3:$N$3865,MATCH(('001-C DMR'!$C$6:$K$6&amp;'001-C DMR'!O$10&amp;'001-C DMR'!$B34),('DMR 001C NEW'!$E$3:$E$1112&amp;'DMR 001C NEW'!$B$3:$B$1112&amp;'DMR 001C NEW'!$A$3:$A$1112),0),MATCH('001-C DMR'!$C$11,'DMR 001C NEW'!$A$2:$O$2,0)),"")</f>
        <v/>
      </c>
      <c r="P34" s="262" t="str">
        <f t="array" ref="P34">_xlfn.IFNA(INDEX('DMR 001C NEW'!$A$3:$N$3865,MATCH(('001-C DMR'!$C$6:$K$6&amp;'001-C DMR'!P$10&amp;'001-C DMR'!$B34),('DMR 001C NEW'!$E$3:$E$1112&amp;'DMR 001C NEW'!$B$3:$B$1112&amp;'DMR 001C NEW'!$A$3:$A$1112),0),MATCH('001-C DMR'!$C$11,'DMR 001C NEW'!$A$2:$O$2,0)),"")</f>
        <v/>
      </c>
      <c r="Q34" s="120" t="e">
        <f t="array" ref="Q34">INDEX('DMR 001C NEW'!$A$3:$N$3865,MATCH(('001-C DMR'!$C$6:$K$6&amp;'001-C DMR'!Q$10&amp;'001-C DMR'!$B34),('DMR 001C NEW'!$E$3:$E$1112&amp;'DMR 001C NEW'!$B$3:$B$1112&amp;'DMR 001C NEW'!$A$3:$A$1112),0),MATCH('001-C DMR'!$C$11,'DMR 001C NEW'!$A$2:$O$2,0))</f>
        <v>#N/A</v>
      </c>
      <c r="R34" s="61"/>
      <c r="S34" s="56">
        <f t="array" ref="S34">_xlfn.IFNA(INDEX('DMR 001C NEW'!$A$3:$N$11771,MATCH(('001-C DMR'!$R$6:$T$6&amp;'001-C DMR'!$R$10&amp;'001-C DMR'!$B34),('DMR 001C NEW'!$E$3:$E$9018&amp;'DMR 001C NEW'!$B$3:$B$9018&amp;'DMR 001C NEW'!$A$3:$A$9018),0),MATCH('001-C DMR'!$S$11,'DMR 001C NEW'!$A$2:$O$2,0)),"")</f>
        <v>7</v>
      </c>
      <c r="T34" s="64" t="str">
        <f t="shared" si="41"/>
        <v/>
      </c>
      <c r="U34" s="262" t="str">
        <f t="array" ref="U34">_xlfn.IFNA(INDEX('DMR 001C NEW'!$A$3:$O$591,MATCH('001-C DMR'!$R$6:$T$6&amp;'001-C DMR'!U$10&amp;'001-C DMR'!$B34,('DMR 001C NEW'!$E$3:$E$704&amp;'DMR 001C NEW'!$B$3:$B$704&amp;'DMR 001C NEW'!$A$3:$A$704),0),MATCH('001-C DMR'!$U$11,'DMR 001C NEW'!$A$2:$O$2,0)),"")</f>
        <v/>
      </c>
      <c r="V34" s="262" t="str">
        <f t="array" ref="V34">_xlfn.IFNA(INDEX('DMR 001C NEW'!$A$3:$O$591,MATCH('001-C DMR'!$R$6:$T$6&amp;'001-C DMR'!V$10&amp;'001-C DMR'!$B34,('DMR 001C NEW'!$E$3:$E$704&amp;'DMR 001C NEW'!$B$3:$B$704&amp;'DMR 001C NEW'!$A$3:$A$704),0),MATCH('001-C DMR'!$U$11,'DMR 001C NEW'!$A$2:$O$2,0)),"")</f>
        <v/>
      </c>
      <c r="W34" s="262" t="str">
        <f t="array" ref="W34">_xlfn.IFNA(INDEX('DMR 001C NEW'!$A$3:$O$591,MATCH('001-C DMR'!$R$6:$T$6&amp;'001-C DMR'!W$10&amp;'001-C DMR'!$B34,('DMR 001C NEW'!$E$3:$E$704&amp;'DMR 001C NEW'!$B$3:$B$704&amp;'DMR 001C NEW'!$A$3:$A$704),0),MATCH('001-C DMR'!$U$11,'DMR 001C NEW'!$A$2:$O$2,0)),"")</f>
        <v/>
      </c>
      <c r="X34" s="262" t="str">
        <f t="array" ref="X34">_xlfn.IFNA(INDEX('DMR 001C NEW'!$A$3:$O$591,MATCH('001-C DMR'!$R$6:$T$6&amp;'001-C DMR'!X$10&amp;'001-C DMR'!$B34,('DMR 001C NEW'!$E$3:$E$704&amp;'DMR 001C NEW'!$B$3:$B$704&amp;'DMR 001C NEW'!$A$3:$A$704),0),MATCH('001-C DMR'!$U$11,'DMR 001C NEW'!$A$2:$O$2,0)),"")</f>
        <v/>
      </c>
      <c r="Y34" s="262" t="str">
        <f t="array" ref="Y34">_xlfn.IFNA(INDEX('DMR 001C NEW'!$A$3:$O$591,MATCH('001-C DMR'!$R$6:$T$6&amp;'001-C DMR'!Y$10&amp;'001-C DMR'!$B34,('DMR 001C NEW'!$E$3:$E$704&amp;'DMR 001C NEW'!$B$3:$B$704&amp;'DMR 001C NEW'!$A$3:$A$704),0),MATCH('001-C DMR'!$U$11,'DMR 001C NEW'!$A$2:$O$2,0)),"")</f>
        <v/>
      </c>
      <c r="Z34" s="262" t="str">
        <f t="array" ref="Z34">_xlfn.IFNA(INDEX('DMR 001C NEW'!$A$3:$O$591,MATCH('001-C DMR'!$R$6:$T$6&amp;'001-C DMR'!Z$10&amp;'001-C DMR'!$B34,('DMR 001C NEW'!$E$3:$E$704&amp;'DMR 001C NEW'!$B$3:$B$704&amp;'DMR 001C NEW'!$A$3:$A$704),0),MATCH('001-C DMR'!$U$11,'DMR 001C NEW'!$A$2:$O$2,0)),"")</f>
        <v/>
      </c>
      <c r="AA34" s="262" t="str">
        <f t="array" ref="AA34">_xlfn.IFNA(INDEX('DMR 001C NEW'!$A$3:$O$591,MATCH('001-C DMR'!$R$6:$T$6&amp;'001-C DMR'!AA$10&amp;'001-C DMR'!$B34,('DMR 001C NEW'!$E$3:$E$704&amp;'DMR 001C NEW'!$B$3:$B$704&amp;'DMR 001C NEW'!$A$3:$A$704),0),MATCH('001-C DMR'!$U$11,'DMR 001C NEW'!$A$2:$O$2,0)),"")</f>
        <v/>
      </c>
      <c r="AB34" s="61" t="str">
        <f t="array" ref="AB34">IF(AD34&lt;AC34,"&lt;","")</f>
        <v/>
      </c>
      <c r="AC34" s="56">
        <f t="array" ref="AC34">_xlfn.IFNA(INDEX('DMR 001C NEW'!$A$3:$O$9999,MATCH(('001-C DMR'!$AB$6:$AJ$6&amp;'001-C DMR'!$AB$10:$AD$10&amp;'001-C DMR'!$B34),('DMR 001C NEW'!$E$3:$E$7246&amp;'DMR 001C NEW'!$B$3:$B$7246&amp;'DMR 001C NEW'!$A$3:$A$7246),0),MATCH('001-C DMR'!$AC$11,'DMR 001C NEW'!$A$2:$O$2,0)),"")</f>
        <v>3</v>
      </c>
      <c r="AD34" s="56">
        <f t="array" ref="AD34">_xlfn.IFNA(INDEX('DMR 001C NEW'!$A$3:$O$9999,MATCH(('001-C DMR'!$AB$6:$AJ$6&amp;'001-C DMR'!$AB$10:$AD$10&amp;'001-C DMR'!$B34),('DMR 001C NEW'!$E$3:$E$7246&amp;'DMR 001C NEW'!$B$3:$B$7246&amp;'DMR 001C NEW'!$A$3:$A$7246),0),MATCH('001-C DMR'!$AD$11,'DMR 001C NEW'!$A$2:$O$2,0)),"")</f>
        <v>10</v>
      </c>
      <c r="AE34" s="57" t="str">
        <f t="array" ref="AE34">IF(AG34&lt;AF34,"&lt;","")</f>
        <v/>
      </c>
      <c r="AF34" s="56">
        <f t="array" ref="AF34">_xlfn.IFNA(INDEX('DMR 001C NEW'!$A$3:$O$9999,MATCH(('001-C DMR'!$AB$6:$AJ$6&amp;'001-C DMR'!$AE$10&amp;'001-C DMR'!$B34),('DMR 001C NEW'!$E$3:$E$9018&amp;'DMR 001C NEW'!$B$3:$B$9018&amp;'DMR 001C NEW'!$A$3:$A$9018),0),MATCH('001-C DMR'!$AF$11,'DMR 001C NEW'!$A$2:$O$2,0)),"")</f>
        <v>3</v>
      </c>
      <c r="AG34" s="56">
        <f t="array" ref="AG34">_xlfn.IFNA(INDEX('DMR 001C NEW'!$A$3:$O$9999,MATCH(('001-C DMR'!$AB$6:$AJ$6&amp;'001-C DMR'!$AE$10&amp;'001-C DMR'!$B34),('DMR 001C NEW'!$E$3:$E$9018&amp;'DMR 001C NEW'!$B$3:$B$9018&amp;'DMR 001C NEW'!$A$3:$A$9018),0),MATCH('001-C DMR'!$AG$11,'DMR 001C NEW'!$A$2:$O$2,0)),"")</f>
        <v>18</v>
      </c>
      <c r="AH34" s="56">
        <f t="array" ref="AH34">IFERROR((($AD34*$EI34)+($AG34*$EJ34))/($EK34),"")</f>
        <v>15.706073735697275</v>
      </c>
      <c r="AI34" s="56" t="str">
        <f t="shared" si="42"/>
        <v/>
      </c>
      <c r="AJ34" s="64" t="str">
        <f t="shared" si="30"/>
        <v/>
      </c>
      <c r="AK34" s="262" t="str">
        <f t="array" ref="AK34">_xlfn.IFNA(INDEX('DMR 001C NEW'!$A$3:$O$999,MATCH(('001-C DMR'!$AB$6:$AJ$6&amp;'001-C DMR'!AK$10&amp;'001-C DMR'!$B34),('DMR 001C NEW'!$E$3:$E$1112&amp;'DMR 001C NEW'!$B$3:$B$1112&amp;'DMR 001C NEW'!$A$3:$A$1112),0),MATCH('001-C DMR'!$AD$11,'DMR 001C NEW'!$A$2:$O$2,0)),"")</f>
        <v/>
      </c>
      <c r="AL34" s="262" t="str">
        <f t="array" ref="AL34">_xlfn.IFNA(INDEX('DMR 001C NEW'!$A$3:$O$999,MATCH(('001-C DMR'!$AB$6:$AJ$6&amp;'001-C DMR'!AL$10&amp;'001-C DMR'!$B34),('DMR 001C NEW'!$E$3:$E$1112&amp;'DMR 001C NEW'!$B$3:$B$1112&amp;'DMR 001C NEW'!$A$3:$A$1112),0),MATCH('001-C DMR'!$AD$11,'DMR 001C NEW'!$A$2:$O$2,0)),"")</f>
        <v/>
      </c>
      <c r="AM34" s="262" t="str">
        <f t="array" ref="AM34">_xlfn.IFNA(INDEX('DMR 001C NEW'!$A$3:$O$999,MATCH(('001-C DMR'!$AB$6:$AJ$6&amp;'001-C DMR'!AM$10&amp;'001-C DMR'!$B34),('DMR 001C NEW'!$E$3:$E$1112&amp;'DMR 001C NEW'!$B$3:$B$1112&amp;'DMR 001C NEW'!$A$3:$A$1112),0),MATCH('001-C DMR'!$AD$11,'DMR 001C NEW'!$A$2:$O$2,0)),"")</f>
        <v/>
      </c>
      <c r="AN34" s="262" t="str">
        <f t="array" ref="AN34">_xlfn.IFNA(INDEX('DMR 001C NEW'!$A$3:$O$999,MATCH(('001-C DMR'!$AB$6:$AJ$6&amp;'001-C DMR'!AN$10&amp;'001-C DMR'!$B34),('DMR 001C NEW'!$E$3:$E$1112&amp;'DMR 001C NEW'!$B$3:$B$1112&amp;'DMR 001C NEW'!$A$3:$A$1112),0),MATCH('001-C DMR'!$AD$11,'DMR 001C NEW'!$A$2:$O$2,0)),"")</f>
        <v/>
      </c>
      <c r="AO34" s="262" t="str">
        <f t="array" ref="AO34">_xlfn.IFNA(INDEX('DMR 001C NEW'!$A$3:$O$999,MATCH(('001-C DMR'!$AB$6:$AJ$6&amp;'001-C DMR'!AO$10&amp;'001-C DMR'!$B34),('DMR 001C NEW'!$E$3:$E$1112&amp;'DMR 001C NEW'!$B$3:$B$1112&amp;'DMR 001C NEW'!$A$3:$A$1112),0),MATCH('001-C DMR'!$AD$11,'DMR 001C NEW'!$A$2:$O$2,0)),"")</f>
        <v/>
      </c>
      <c r="AP34" s="262" t="str">
        <f t="array" ref="AP34">_xlfn.IFNA(INDEX('DMR 001C NEW'!$A$3:$O$999,MATCH(('001-C DMR'!$AB$6:$AJ$6&amp;'001-C DMR'!AP$10&amp;'001-C DMR'!$B34),('DMR 001C NEW'!$E$3:$E$1112&amp;'DMR 001C NEW'!$B$3:$B$1112&amp;'DMR 001C NEW'!$A$3:$A$1112),0),MATCH('001-C DMR'!$AD$11,'DMR 001C NEW'!$A$2:$O$2,0)),"")</f>
        <v/>
      </c>
      <c r="AQ34" s="61" t="str">
        <f t="array" ref="AQ34">IF(AS34&lt;AR34,"&lt;","")</f>
        <v/>
      </c>
      <c r="AR34" s="58" t="str">
        <f t="array" ref="AR34">_xlfn.IFNA((INDEX('DMR 001C NEW'!$A$3:$O$9999,MATCH(('001-C DMR'!$AQ$6:$AZ$6&amp;'001-C DMR'!$AQ$10:$AS$10&amp;'001-C DMR'!$B34),('DMR 001C NEW'!$E$3:$E$7246&amp;'DMR 001C NEW'!$B$3:$B$7246&amp;'DMR 001C NEW'!$A$3:$A$7246),0),MATCH('001-C DMR'!$AR$11,'DMR 001C NEW'!$A$2:$O$2,0))),"")</f>
        <v/>
      </c>
      <c r="AS34" s="58" t="str">
        <f t="array" ref="AS34">_xlfn.IFNA(INDEX('DMR 001C NEW'!$A$3:$O$9999,MATCH(('001-C DMR'!$AQ$6:$AZ$6&amp;'001-C DMR'!$AQ$10:$AS$10&amp;'001-C DMR'!$B34),('DMR 001C NEW'!$E$3:$E$7246&amp;'DMR 001C NEW'!$B$3:$B$7246&amp;'DMR 001C NEW'!$A$3:$A$7246),0),MATCH('001-C DMR'!$AS$11,'DMR 001C NEW'!$A$2:$O$2,0)),"")</f>
        <v/>
      </c>
      <c r="AT34" s="58" t="str">
        <f t="shared" si="27"/>
        <v/>
      </c>
      <c r="AU34" s="57" t="str">
        <f t="array" ref="AU34">IF(AW34&lt;AV34,"&lt;","")</f>
        <v/>
      </c>
      <c r="AV34" s="58" t="str">
        <f t="array" ref="AV34">_xlfn.IFNA((INDEX('DMR 001C NEW'!$A$3:$O$9999,MATCH(('001-C DMR'!$AQ$6:$AZ$6&amp;'001-C DMR'!$AU$10&amp;'001-C DMR'!$B34),('DMR 001C NEW'!$E$3:$E$7246&amp;'DMR 001C NEW'!$B$3:$B$7246&amp;'DMR 001C NEW'!$A$3:$A$7246),0),MATCH('001-C DMR'!$AR$11,'DMR 001C NEW'!$A$2:$O$2,0))),"")</f>
        <v/>
      </c>
      <c r="AW34" s="58" t="str">
        <f t="array" ref="AW34">_xlfn.IFNA(INDEX('DMR 001C NEW'!$A$3:$O$9999,MATCH(('001-C DMR'!$AQ$6:$AZ$6&amp;'001-C DMR'!$AU$10&amp;'001-C DMR'!$B34),('DMR 001C NEW'!$E$3:$E$7246&amp;'DMR 001C NEW'!$B$3:$B$7246&amp;'DMR 001C NEW'!$A$3:$A$7246),0),MATCH('001-C DMR'!$AW$11,'DMR 001C NEW'!$A$2:$O$2,0)),"")</f>
        <v/>
      </c>
      <c r="AX34" s="58" t="str">
        <f t="shared" si="6"/>
        <v/>
      </c>
      <c r="AY34" s="56" t="str">
        <f t="array" ref="AY34">IFERROR((($AT34*$EI34)+($AX34*$EJ34))/($EK34),"")</f>
        <v/>
      </c>
      <c r="AZ34" s="64" t="str">
        <f t="shared" si="31"/>
        <v/>
      </c>
      <c r="BA34" s="279" t="str">
        <f t="array" ref="BA34">_xlfn.IFNA(INDEX('DMR 001C NEW'!$A$3:$O$9999,MATCH(('001-C DMR'!$AQ$6:$AZ$6&amp;'001-C DMR'!BA$10&amp;'001-C DMR'!$B34),('DMR 001C NEW'!$E$3:$E$1112&amp;'DMR 001C NEW'!$B$3:$B$1112&amp;'DMR 001C NEW'!$A$3:$A$1112),0),MATCH('001-C DMR'!$BA$11,'DMR 001C NEW'!$A$2:$O$2,0)),"")</f>
        <v/>
      </c>
      <c r="BB34" s="280" t="str">
        <f t="array" ref="BB34">_xlfn.IFNA(INDEX('DMR 001C NEW'!$A$3:$O$9999,MATCH(('001-C DMR'!$AQ$6:$AZ$6&amp;'001-C DMR'!BB$10&amp;'001-C DMR'!$B34),('DMR 001C NEW'!$E$3:$E$1112&amp;'DMR 001C NEW'!$B$3:$B$1112&amp;'DMR 001C NEW'!$A$3:$A$1112),0),MATCH('001-C DMR'!$BA$11,'DMR 001C NEW'!$A$2:$O$2,0)),"")</f>
        <v/>
      </c>
      <c r="BC34" s="280" t="str">
        <f t="array" ref="BC34">_xlfn.IFNA(INDEX('DMR 001C NEW'!$A$3:$O$9999,MATCH(('001-C DMR'!$AQ$6:$AZ$6&amp;'001-C DMR'!BC$10&amp;'001-C DMR'!$B34),('DMR 001C NEW'!$E$3:$E$1112&amp;'DMR 001C NEW'!$B$3:$B$1112&amp;'DMR 001C NEW'!$A$3:$A$1112),0),MATCH('001-C DMR'!$BA$11,'DMR 001C NEW'!$A$2:$O$2,0)),"")</f>
        <v/>
      </c>
      <c r="BD34" s="280" t="str">
        <f t="array" ref="BD34">_xlfn.IFNA(INDEX('DMR 001C NEW'!$A$3:$O$9999,MATCH(('001-C DMR'!$AQ$6:$AZ$6&amp;'001-C DMR'!BD$10&amp;'001-C DMR'!$B34),('DMR 001C NEW'!$E$3:$E$1112&amp;'DMR 001C NEW'!$B$3:$B$1112&amp;'DMR 001C NEW'!$A$3:$A$1112),0),MATCH('001-C DMR'!$BA$11,'DMR 001C NEW'!$A$2:$O$2,0)),"")</f>
        <v/>
      </c>
      <c r="BE34" s="280" t="str">
        <f t="array" ref="BE34">_xlfn.IFNA(INDEX('DMR 001C NEW'!$A$3:$O$9999,MATCH(('001-C DMR'!$AQ$6:$AZ$6&amp;'001-C DMR'!BE$10&amp;'001-C DMR'!$B34),('DMR 001C NEW'!$E$3:$E$1112&amp;'DMR 001C NEW'!$B$3:$B$1112&amp;'DMR 001C NEW'!$A$3:$A$1112),0),MATCH('001-C DMR'!$BA$11,'DMR 001C NEW'!$A$2:$O$2,0)),"")</f>
        <v/>
      </c>
      <c r="BF34" s="281" t="str">
        <f t="array" ref="BF34">_xlfn.IFNA(INDEX('DMR 001C NEW'!$A$3:$O$9999,MATCH(('001-C DMR'!$AQ$6:$AZ$6&amp;'001-C DMR'!BF$10&amp;'001-C DMR'!$B34),('DMR 001C NEW'!$E$3:$E$1112&amp;'DMR 001C NEW'!$B$3:$B$1112&amp;'DMR 001C NEW'!$A$3:$A$1112),0),MATCH('001-C DMR'!$BA$11,'DMR 001C NEW'!$A$2:$O$2,0)),"")</f>
        <v/>
      </c>
      <c r="BG34" s="57"/>
      <c r="BH34" s="58" t="str">
        <f t="array" ref="BH34">_xlfn.IFNA((INDEX('DMR 001C NEW'!$A$3:$O$9999,MATCH(('001-C DMR'!$BG$6&amp;'001-C DMR'!$BG$10&amp;'001-C DMR'!$B34),('DMR 001C NEW'!$E$3:$E$7246&amp;'DMR 001C NEW'!$B$3:$B$7246&amp;'DMR 001C NEW'!$A$3:$A$7246),0),MATCH('001-C DMR'!$BH$11,'DMR 001C NEW'!$A$2:$O$2,0))),"")</f>
        <v/>
      </c>
      <c r="BI34" s="58" t="str">
        <f t="array" ref="BI34">_xlfn.IFNA(INDEX('DMR 001C NEW'!$A$3:$O$9999,MATCH(('001-C DMR'!$BG$6&amp;'001-C DMR'!$BG$10&amp;'001-C DMR'!$B34),('DMR 001C NEW'!$E$3:$E$7246&amp;'DMR 001C NEW'!$B$3:$B$7246&amp;'DMR 001C NEW'!$A$3:$A$7246),0),MATCH('001-C DMR'!$BI$11,'DMR 001C NEW'!$A$2:$O$2,0)),"")</f>
        <v/>
      </c>
      <c r="BJ34" s="58" t="str">
        <f t="shared" si="7"/>
        <v/>
      </c>
      <c r="BK34" s="57" t="str">
        <f t="shared" si="8"/>
        <v/>
      </c>
      <c r="BL34" s="58" t="str">
        <f t="array" ref="BL34">_xlfn.IFNA((INDEX('DMR 001C NEW'!$A$3:$O$9999,MATCH(('001-C DMR'!$BG$6&amp;'001-C DMR'!$BK$10&amp;'001-C DMR'!$B34),('DMR 001C NEW'!$E$3:$E$7246&amp;'DMR 001C NEW'!$B$3:$B$7246&amp;'DMR 001C NEW'!$A$3:$A$7246),0),MATCH('001-C DMR'!$BH$11,'DMR 001C NEW'!$A$2:$O$2,0))),"")</f>
        <v/>
      </c>
      <c r="BM34" s="58" t="str">
        <f t="array" ref="BM34">_xlfn.IFNA(INDEX('DMR 001C NEW'!$A$3:$O$9999,MATCH(('001-C DMR'!$BG$6&amp;'001-C DMR'!$BK$10&amp;'001-C DMR'!$B34),('DMR 001C NEW'!$E$3:$E$7246&amp;'DMR 001C NEW'!$B$3:$B$7246&amp;'DMR 001C NEW'!$A$3:$A$7246),0),MATCH('001-C DMR'!$BI$11,'DMR 001C NEW'!$A$2:$O$2,0)),"")</f>
        <v/>
      </c>
      <c r="BN34" s="58" t="str">
        <f t="shared" si="9"/>
        <v/>
      </c>
      <c r="BO34" s="56" t="str">
        <f t="array" ref="BO34">IFERROR((($BJ34*$EI34)+($BN34*$EJ34))/($EK34),"")</f>
        <v/>
      </c>
      <c r="BP34" s="64" t="str">
        <f t="shared" si="32"/>
        <v/>
      </c>
      <c r="BQ34" s="280" t="str">
        <f t="array" ref="BQ34">_xlfn.IFNA(INDEX('DMR 001C NEW'!$A$3:$O$999,MATCH(('001-C DMR'!$BG$6&amp;'001-C DMR'!BQ$10&amp;'001-C DMR'!$B34),('DMR 001C NEW'!$E$3:$E$1112&amp;'DMR 001C NEW'!$B$3:$B$1112&amp;'DMR 001C NEW'!$A$3:$A$1112),0),MATCH('001-C DMR'!$BQ$11,'DMR 001C NEW'!$A$2:$O$2,0)),"")</f>
        <v/>
      </c>
      <c r="BR34" s="280" t="str">
        <f t="array" ref="BR34">_xlfn.IFNA(INDEX('DMR 001C NEW'!$A$3:$O$999,MATCH(('001-C DMR'!$BG$6&amp;'001-C DMR'!BR$10&amp;'001-C DMR'!$B34),('DMR 001C NEW'!$E$3:$E$1112&amp;'DMR 001C NEW'!$B$3:$B$1112&amp;'DMR 001C NEW'!$A$3:$A$1112),0),MATCH('001-C DMR'!$BQ$11,'DMR 001C NEW'!$A$2:$O$2,0)),"")</f>
        <v/>
      </c>
      <c r="BS34" s="280" t="str">
        <f t="array" ref="BS34">_xlfn.IFNA(INDEX('DMR 001C NEW'!$A$3:$O$999,MATCH(('001-C DMR'!$BG$6&amp;'001-C DMR'!BS$10&amp;'001-C DMR'!$B34),('DMR 001C NEW'!$E$3:$E$1112&amp;'DMR 001C NEW'!$B$3:$B$1112&amp;'DMR 001C NEW'!$A$3:$A$1112),0),MATCH('001-C DMR'!$BQ$11,'DMR 001C NEW'!$A$2:$O$2,0)),"")</f>
        <v/>
      </c>
      <c r="BT34" s="280" t="str">
        <f t="array" ref="BT34">_xlfn.IFNA(INDEX('DMR 001C NEW'!$A$3:$O$999,MATCH(('001-C DMR'!$BG$6&amp;'001-C DMR'!BT$10&amp;'001-C DMR'!$B34),('DMR 001C NEW'!$E$3:$E$1112&amp;'DMR 001C NEW'!$B$3:$B$1112&amp;'DMR 001C NEW'!$A$3:$A$1112),0),MATCH('001-C DMR'!$BQ$11,'DMR 001C NEW'!$A$2:$O$2,0)),"")</f>
        <v/>
      </c>
      <c r="BU34" s="280" t="str">
        <f t="array" ref="BU34">_xlfn.IFNA(INDEX('DMR 001C NEW'!$A$3:$O$999,MATCH(('001-C DMR'!$BG$6&amp;'001-C DMR'!BU$10&amp;'001-C DMR'!$B34),('DMR 001C NEW'!$E$3:$E$1112&amp;'DMR 001C NEW'!$B$3:$B$1112&amp;'DMR 001C NEW'!$A$3:$A$1112),0),MATCH('001-C DMR'!$BQ$11,'DMR 001C NEW'!$A$2:$O$2,0)),"")</f>
        <v/>
      </c>
      <c r="BV34" s="280" t="str">
        <f t="array" ref="BV34">_xlfn.IFNA(INDEX('DMR 001C NEW'!$A$3:$O$999,MATCH(('001-C DMR'!$BG$6&amp;'001-C DMR'!BV$10&amp;'001-C DMR'!$B34),('DMR 001C NEW'!$E$3:$E$1112&amp;'DMR 001C NEW'!$B$3:$B$1112&amp;'DMR 001C NEW'!$A$3:$A$1112),0),MATCH('001-C DMR'!$BQ$11,'DMR 001C NEW'!$A$2:$O$2,0)),"")</f>
        <v/>
      </c>
      <c r="BW34" s="65"/>
      <c r="BX34" s="65"/>
      <c r="BY34" s="57" t="str">
        <f t="shared" si="10"/>
        <v/>
      </c>
      <c r="BZ34" s="58" t="str">
        <f t="array" ref="BZ34">_xlfn.IFNA((INDEX('DMR 001C NEW'!$A$3:$O$9999,MATCH(('001-C DMR'!$BY$6&amp;'001-C DMR'!$BY$10&amp;'001-C DMR'!$B34),('DMR 001C NEW'!$E$3:$E$7246&amp;'DMR 001C NEW'!$B$3:$B$7246&amp;'DMR 001C NEW'!$A$3:$A$7246),0),MATCH('001-C DMR'!$BZ$11,'DMR 001C NEW'!$A$2:$O$2,0))),"")</f>
        <v/>
      </c>
      <c r="CA34" s="138" t="str">
        <f t="array" ref="CA34">_xlfn.IFNA(INDEX('DMR 001C NEW'!$A$3:$O$9999,MATCH(('001-C DMR'!$BY$6&amp;'001-C DMR'!$BY$10&amp;'001-C DMR'!$B34),('DMR 001C NEW'!$E$3:$E$7246&amp;'DMR 001C NEW'!$B$3:$B$7246&amp;'DMR 001C NEW'!$A$3:$A$7246),0),MATCH('001-C DMR'!$CA$11,'DMR 001C NEW'!$A$2:$O$2,0)),"")</f>
        <v/>
      </c>
      <c r="CB34" s="57" t="str">
        <f t="shared" si="11"/>
        <v/>
      </c>
      <c r="CC34" s="58" t="str">
        <f t="array" ref="CC34">_xlfn.IFNA((INDEX('DMR 001C NEW'!$A$3:$O$9999,MATCH(('001-C DMR'!$BY$6&amp;'001-C DMR'!$CB$10&amp;'001-C DMR'!$B34),('DMR 001C NEW'!$E$3:$E$7246&amp;'DMR 001C NEW'!$B$3:$B$7246&amp;'DMR 001C NEW'!$A$3:$A$7246),0),MATCH('001-C DMR'!$BZ$11,'DMR 001C NEW'!$A$2:$O$2,0))),"")</f>
        <v/>
      </c>
      <c r="CD34" s="138" t="str">
        <f t="array" ref="CD34">_xlfn.IFNA(INDEX('DMR 001C NEW'!$A$3:$O$9999,MATCH(('001-C DMR'!$BY$6&amp;'001-C DMR'!$CB$10&amp;'001-C DMR'!$B34),('DMR 001C NEW'!$E$3:$E$7246&amp;'DMR 001C NEW'!$B$3:$B$7246&amp;'DMR 001C NEW'!$A$3:$A$7246),0),MATCH('001-C DMR'!$CA$11,'DMR 001C NEW'!$A$2:$O$2,0)),"")</f>
        <v/>
      </c>
      <c r="CE34" s="138" t="str">
        <f t="array" ref="CE34">IFERROR((($CA34*$EI34)+($CD34*$EJ34))/($EK34),"")</f>
        <v/>
      </c>
      <c r="CF34" s="64" t="str">
        <f t="shared" si="33"/>
        <v/>
      </c>
      <c r="CG34" s="280" t="str">
        <f t="array" ref="CG34">_xlfn.IFNA(INDEX('DMR 001C NEW'!$A$3:$O$999,MATCH(('001-C DMR'!$BY$6&amp;'001-C DMR'!CG$10&amp;'001-C DMR'!$B34),('DMR 001C NEW'!$E$3:$E$1112&amp;'DMR 001C NEW'!$B$3:$B$1112&amp;'DMR 001C NEW'!$A$3:$A$1112),0),MATCH('001-C DMR'!$CA$11,'DMR 001C NEW'!$A$2:$O$2,0)),"")</f>
        <v/>
      </c>
      <c r="CH34" s="280" t="str">
        <f t="array" ref="CH34">_xlfn.IFNA(INDEX('DMR 001C NEW'!$A$3:$O$999,MATCH(('001-C DMR'!$BY$6&amp;'001-C DMR'!CH$10&amp;'001-C DMR'!$B34),('DMR 001C NEW'!$E$3:$E$1112&amp;'DMR 001C NEW'!$B$3:$B$1112&amp;'DMR 001C NEW'!$A$3:$A$1112),0),MATCH('001-C DMR'!$CA$11,'DMR 001C NEW'!$A$2:$O$2,0)),"")</f>
        <v/>
      </c>
      <c r="CI34" s="280" t="str">
        <f t="array" ref="CI34">_xlfn.IFNA(INDEX('DMR 001C NEW'!$A$3:$O$999,MATCH(('001-C DMR'!$BY$6&amp;'001-C DMR'!CI$10&amp;'001-C DMR'!$B34),('DMR 001C NEW'!$E$3:$E$1112&amp;'DMR 001C NEW'!$B$3:$B$1112&amp;'DMR 001C NEW'!$A$3:$A$1112),0),MATCH('001-C DMR'!$CA$11,'DMR 001C NEW'!$A$2:$O$2,0)),"")</f>
        <v/>
      </c>
      <c r="CJ34" s="280" t="str">
        <f t="array" ref="CJ34">_xlfn.IFNA(INDEX('DMR 001C NEW'!$A$3:$O$999,MATCH(('001-C DMR'!$BY$6&amp;'001-C DMR'!CJ$10&amp;'001-C DMR'!$B34),('DMR 001C NEW'!$E$3:$E$1112&amp;'DMR 001C NEW'!$B$3:$B$1112&amp;'DMR 001C NEW'!$A$3:$A$1112),0),MATCH('001-C DMR'!$CA$11,'DMR 001C NEW'!$A$2:$O$2,0)),"")</f>
        <v/>
      </c>
      <c r="CK34" s="280" t="str">
        <f t="array" ref="CK34">_xlfn.IFNA(INDEX('DMR 001C NEW'!$A$3:$O$999,MATCH(('001-C DMR'!$BY$6&amp;'001-C DMR'!CK$10&amp;'001-C DMR'!$B34),('DMR 001C NEW'!$E$3:$E$1112&amp;'DMR 001C NEW'!$B$3:$B$1112&amp;'DMR 001C NEW'!$A$3:$A$1112),0),MATCH('001-C DMR'!$CA$11,'DMR 001C NEW'!$A$2:$O$2,0)),"")</f>
        <v/>
      </c>
      <c r="CL34" s="280" t="str">
        <f t="array" ref="CL34">_xlfn.IFNA(INDEX('DMR 001C NEW'!$A$3:$O$999,MATCH(('001-C DMR'!$BY$6&amp;'001-C DMR'!CL$10&amp;'001-C DMR'!$B34),('DMR 001C NEW'!$E$3:$E$1112&amp;'DMR 001C NEW'!$B$3:$B$1112&amp;'DMR 001C NEW'!$A$3:$A$1112),0),MATCH('001-C DMR'!$CA$11,'DMR 001C NEW'!$A$2:$O$2,0)),"")</f>
        <v/>
      </c>
      <c r="CM34" s="61" t="str">
        <f t="shared" si="12"/>
        <v/>
      </c>
      <c r="CN34" s="138" t="str">
        <f t="array" ref="CN34">_xlfn.IFNA((INDEX('DMR 001C NEW'!$A$3:$O$9999,MATCH(('001-C DMR'!$CM$6&amp;'001-C DMR'!$CM$10&amp;'001-C DMR'!$B34),('DMR 001C NEW'!$E$3:$E$9018&amp;'DMR 001C NEW'!$B$3:$B$9018&amp;'DMR 001C NEW'!$A$3:$A$9018),0),MATCH('001-C DMR'!$CN$11,'DMR 001C NEW'!$A$2:$O$2,0))*1000),"")</f>
        <v/>
      </c>
      <c r="CO34" s="138" t="str">
        <f t="array" ref="CO34">_xlfn.IFNA(INDEX('DMR 001C NEW'!$A$3:$O$9999,MATCH(('001-C DMR'!$CM$6&amp;'001-C DMR'!$CM$10&amp;'001-C DMR'!$B34),('DMR 001C NEW'!$E$3:$E$9018&amp;'DMR 001C NEW'!$B$3:$B$9018&amp;'DMR 001C NEW'!$A$3:$A$9018),0),MATCH('001-C DMR'!$CO$11,'DMR 001C NEW'!$A$2:$O$2,0))*1000,"")</f>
        <v/>
      </c>
      <c r="CP34" s="138" t="str">
        <f t="shared" si="13"/>
        <v/>
      </c>
      <c r="CQ34" s="64" t="str">
        <f t="shared" si="34"/>
        <v/>
      </c>
      <c r="CR34" s="280" t="str">
        <f t="array" ref="CR34">_xlfn.IFNA(INDEX('DMR 001C NEW'!$A$3:$O$999,MATCH(('001-C DMR'!$CM$6&amp;'001-C DMR'!CR$10&amp;'001-C DMR'!$B34),('DMR 001C NEW'!$E$3:$E$1112&amp;'DMR 001C NEW'!$B$3:$B$1112&amp;'DMR 001C NEW'!$A$3:$A$1112),0),MATCH('001-C DMR'!$CO$11,'DMR 001C NEW'!$A$2:$O$2,0)),"")</f>
        <v/>
      </c>
      <c r="CS34" s="280" t="str">
        <f t="array" ref="CS34">_xlfn.IFNA(INDEX('DMR 001C NEW'!$A$3:$O$999,MATCH(('001-C DMR'!$CM$6&amp;'001-C DMR'!CS$10&amp;'001-C DMR'!$B34),('DMR 001C NEW'!$E$3:$E$1112&amp;'DMR 001C NEW'!$B$3:$B$1112&amp;'DMR 001C NEW'!$A$3:$A$1112),0),MATCH('001-C DMR'!$CO$11,'DMR 001C NEW'!$A$2:$O$2,0)),"")</f>
        <v/>
      </c>
      <c r="CT34" s="280" t="str">
        <f t="array" ref="CT34">_xlfn.IFNA(INDEX('DMR 001C NEW'!$A$3:$O$999,MATCH(('001-C DMR'!$CM$6&amp;'001-C DMR'!CT$10&amp;'001-C DMR'!$B34),('DMR 001C NEW'!$E$3:$E$1112&amp;'DMR 001C NEW'!$B$3:$B$1112&amp;'DMR 001C NEW'!$A$3:$A$1112),0),MATCH('001-C DMR'!$CO$11,'DMR 001C NEW'!$A$2:$O$2,0)),"")</f>
        <v/>
      </c>
      <c r="CU34" s="280" t="str">
        <f t="array" ref="CU34">_xlfn.IFNA(INDEX('DMR 001C NEW'!$A$3:$O$999,MATCH(('001-C DMR'!$CM$6&amp;'001-C DMR'!CU$10&amp;'001-C DMR'!$B34),('DMR 001C NEW'!$E$3:$E$1112&amp;'DMR 001C NEW'!$B$3:$B$1112&amp;'DMR 001C NEW'!$A$3:$A$1112),0),MATCH('001-C DMR'!$CO$11,'DMR 001C NEW'!$A$2:$O$2,0)),"")</f>
        <v/>
      </c>
      <c r="CV34" s="280" t="str">
        <f t="array" ref="CV34">_xlfn.IFNA(INDEX('DMR 001C NEW'!$A$3:$O$999,MATCH(('001-C DMR'!$CM$6&amp;'001-C DMR'!CV$10&amp;'001-C DMR'!$B34),('DMR 001C NEW'!$E$3:$E$1112&amp;'DMR 001C NEW'!$B$3:$B$1112&amp;'DMR 001C NEW'!$A$3:$A$1112),0),MATCH('001-C DMR'!$CO$11,'DMR 001C NEW'!$A$2:$O$2,0)),"")</f>
        <v/>
      </c>
      <c r="CW34" s="280" t="str">
        <f t="array" ref="CW34">_xlfn.IFNA(INDEX('DMR 001C NEW'!$A$3:$O$999,MATCH(('001-C DMR'!$CM$6&amp;'001-C DMR'!CW$10&amp;'001-C DMR'!$B34),('DMR 001C NEW'!$E$3:$E$1112&amp;'DMR 001C NEW'!$B$3:$B$1112&amp;'DMR 001C NEW'!$A$3:$A$1112),0),MATCH('001-C DMR'!$CO$11,'DMR 001C NEW'!$A$2:$O$2,0)),"")</f>
        <v/>
      </c>
      <c r="CX34" s="280" t="str">
        <f t="array" ref="CX34">_xlfn.IFNA(INDEX('DMR 001C NEW'!$A$3:$O$999,MATCH(('001-C DMR'!$CM$6&amp;'001-C DMR'!CX$10&amp;'001-C DMR'!$B34),('DMR 001C NEW'!$E$3:$E$1112&amp;'DMR 001C NEW'!$B$3:$B$1112&amp;'DMR 001C NEW'!$A$3:$A$1112),0),MATCH('001-C DMR'!$CO$11,'DMR 001C NEW'!$A$2:$O$2,0)),"")</f>
        <v/>
      </c>
      <c r="CY34" s="61" t="str">
        <f t="shared" si="14"/>
        <v/>
      </c>
      <c r="CZ34" s="138" t="str">
        <f t="array" ref="CZ34">_xlfn.IFNA((INDEX('DMR 001C NEW'!$A$3:$O$9999,MATCH(('001-C DMR'!$CY$6&amp;'001-C DMR'!$CY$10&amp;'001-C DMR'!$B34),('DMR 001C NEW'!$E$3:$E$9018&amp;'DMR 001C NEW'!$B$3:$B$9018&amp;'DMR 001C NEW'!$A$3:$A$9018),0),MATCH('001-C DMR'!$CZ$11,'DMR 001C NEW'!$A$2:$O$2,0))*1000),"")</f>
        <v/>
      </c>
      <c r="DA34" s="138" t="str">
        <f t="array" ref="DA34">_xlfn.IFNA(INDEX('DMR 001C NEW'!$A$3:$O$9999,MATCH(('001-C DMR'!$CY$6&amp;'001-C DMR'!$CY$10&amp;'001-C DMR'!$B34),('DMR 001C NEW'!$E$3:$E$9018&amp;'DMR 001C NEW'!$B$3:$B$9018&amp;'DMR 001C NEW'!$A$3:$A$9018),0),MATCH('001-C DMR'!$DA$11,'DMR 001C NEW'!$A$2:$O$2,0))*1000,"")</f>
        <v/>
      </c>
      <c r="DB34" s="138" t="str">
        <f t="shared" si="15"/>
        <v/>
      </c>
      <c r="DC34" s="64" t="str">
        <f t="shared" si="35"/>
        <v/>
      </c>
      <c r="DD34" s="280" t="str">
        <f t="array" ref="DD34">_xlfn.IFNA(INDEX('DMR 001C NEW'!$A$3:$O$999,MATCH(('001-C DMR'!$CY$6&amp;'001-C DMR'!DD$10&amp;'001-C DMR'!$B34),('DMR 001C NEW'!$E$3:$E$1112&amp;'DMR 001C NEW'!$B$3:$B$1112&amp;'DMR 001C NEW'!$A$3:$A$1112),0),MATCH('001-C DMR'!$DA$11,'DMR 001C NEW'!$A$2:$O$2,0)),"")</f>
        <v/>
      </c>
      <c r="DE34" s="280" t="str">
        <f t="array" ref="DE34">_xlfn.IFNA(INDEX('DMR 001C NEW'!$A$3:$O$999,MATCH(('001-C DMR'!$CY$6&amp;'001-C DMR'!DE$10&amp;'001-C DMR'!$B34),('DMR 001C NEW'!$E$3:$E$1112&amp;'DMR 001C NEW'!$B$3:$B$1112&amp;'DMR 001C NEW'!$A$3:$A$1112),0),MATCH('001-C DMR'!$DA$11,'DMR 001C NEW'!$A$2:$O$2,0)),"")</f>
        <v/>
      </c>
      <c r="DF34" s="280" t="str">
        <f t="array" ref="DF34">_xlfn.IFNA(INDEX('DMR 001C NEW'!$A$3:$O$999,MATCH(('001-C DMR'!$CY$6&amp;'001-C DMR'!DF$10&amp;'001-C DMR'!$B34),('DMR 001C NEW'!$E$3:$E$1112&amp;'DMR 001C NEW'!$B$3:$B$1112&amp;'DMR 001C NEW'!$A$3:$A$1112),0),MATCH('001-C DMR'!$DA$11,'DMR 001C NEW'!$A$2:$O$2,0)),"")</f>
        <v/>
      </c>
      <c r="DG34" s="280" t="str">
        <f t="array" ref="DG34">_xlfn.IFNA(INDEX('DMR 001C NEW'!$A$3:$O$999,MATCH(('001-C DMR'!$CY$6&amp;'001-C DMR'!DG$10&amp;'001-C DMR'!$B34),('DMR 001C NEW'!$E$3:$E$1112&amp;'DMR 001C NEW'!$B$3:$B$1112&amp;'DMR 001C NEW'!$A$3:$A$1112),0),MATCH('001-C DMR'!$DA$11,'DMR 001C NEW'!$A$2:$O$2,0)),"")</f>
        <v/>
      </c>
      <c r="DH34" s="280" t="str">
        <f t="array" ref="DH34">_xlfn.IFNA(INDEX('DMR 001C NEW'!$A$3:$O$999,MATCH(('001-C DMR'!$CY$6&amp;'001-C DMR'!DH$10&amp;'001-C DMR'!$B34),('DMR 001C NEW'!$E$3:$E$1112&amp;'DMR 001C NEW'!$B$3:$B$1112&amp;'DMR 001C NEW'!$A$3:$A$1112),0),MATCH('001-C DMR'!$DA$11,'DMR 001C NEW'!$A$2:$O$2,0)),"")</f>
        <v/>
      </c>
      <c r="DI34" s="280" t="str">
        <f t="array" ref="DI34">_xlfn.IFNA(INDEX('DMR 001C NEW'!$A$3:$O$999,MATCH(('001-C DMR'!$CY$6&amp;'001-C DMR'!DI$10&amp;'001-C DMR'!$B34),('DMR 001C NEW'!$E$3:$E$1112&amp;'DMR 001C NEW'!$B$3:$B$1112&amp;'DMR 001C NEW'!$A$3:$A$1112),0),MATCH('001-C DMR'!$DA$11,'DMR 001C NEW'!$A$2:$O$2,0)),"")</f>
        <v/>
      </c>
      <c r="DJ34" s="280" t="str">
        <f t="array" ref="DJ34">_xlfn.IFNA(INDEX('DMR 001C NEW'!$A$3:$O$999,MATCH(('001-C DMR'!$CY$6&amp;'001-C DMR'!DJ$10&amp;'001-C DMR'!$B34),('DMR 001C NEW'!$E$3:$E$1112&amp;'DMR 001C NEW'!$B$3:$B$1112&amp;'DMR 001C NEW'!$A$3:$A$1112),0),MATCH('001-C DMR'!$DA$11,'DMR 001C NEW'!$A$2:$O$2,0)),"")</f>
        <v/>
      </c>
      <c r="DK34" s="61" t="str">
        <f t="shared" si="16"/>
        <v/>
      </c>
      <c r="DL34" s="58" t="str">
        <f t="array" ref="DL34">_xlfn.IFNA((INDEX('DMR 001C NEW'!$A$3:$O$9999,MATCH(('001-C DMR'!$DK$6&amp;'001-C DMR'!$DK$10&amp;'001-C DMR'!$B34),('DMR 001C NEW'!$E$3:$E$9018&amp;'DMR 001C NEW'!$B$3:$B$9018&amp;'DMR 001C NEW'!$A$3:$A$9018),0),MATCH('001-C DMR'!$DL$11,'DMR 001C NEW'!$A$2:$O$2,0))),"")</f>
        <v/>
      </c>
      <c r="DM34" s="58" t="str">
        <f t="array" ref="DM34">_xlfn.IFNA(INDEX('DMR 001C NEW'!$A$3:$O$9999,MATCH(('001-C DMR'!$DK$6&amp;'001-C DMR'!$DK$10&amp;'001-C DMR'!$B34),('DMR 001C NEW'!$E$3:$E$9018&amp;'DMR 001C NEW'!$B$3:$B$9018&amp;'DMR 001C NEW'!$A$3:$A$9018),0),MATCH('001-C DMR'!$DM$11,'DMR 001C NEW'!$A$2:$O$2,0)),"")</f>
        <v/>
      </c>
      <c r="DN34" s="58" t="str">
        <f t="shared" si="17"/>
        <v/>
      </c>
      <c r="DO34" s="223"/>
      <c r="DP34" s="224"/>
      <c r="DQ34" s="64" t="str">
        <f t="shared" si="18"/>
        <v/>
      </c>
      <c r="DR34" s="280" t="str">
        <f t="array" ref="DR34">_xlfn.IFNA(INDEX('DMR 001C NEW'!$A$3:$O$999,MATCH(('001-C DMR'!$DK$6&amp;'001-C DMR'!DR$10&amp;'001-C DMR'!$B34),('DMR 001C NEW'!$E$3:$E$1112&amp;'DMR 001C NEW'!$B$3:$B$1112&amp;'DMR 001C NEW'!$A$3:$A$1112),0),MATCH('001-C DMR'!$DR$11,'DMR 001C NEW'!$A$2:$O$2,0)),"")</f>
        <v/>
      </c>
      <c r="DS34" s="280" t="str">
        <f t="array" ref="DS34">_xlfn.IFNA(INDEX('DMR 001C NEW'!$A$3:$O$999,MATCH(('001-C DMR'!$DK$6&amp;'001-C DMR'!DS$10&amp;'001-C DMR'!$B34),('DMR 001C NEW'!$E$3:$E$1112&amp;'DMR 001C NEW'!$B$3:$B$1112&amp;'DMR 001C NEW'!$A$3:$A$1112),0),MATCH('001-C DMR'!$DR$11,'DMR 001C NEW'!$A$2:$O$2,0)),"")</f>
        <v/>
      </c>
      <c r="DT34" s="280" t="str">
        <f t="array" ref="DT34">_xlfn.IFNA(INDEX('DMR 001C NEW'!$A$3:$O$999,MATCH(('001-C DMR'!$DK$6&amp;'001-C DMR'!DT$10&amp;'001-C DMR'!$B34),('DMR 001C NEW'!$E$3:$E$1112&amp;'DMR 001C NEW'!$B$3:$B$1112&amp;'DMR 001C NEW'!$A$3:$A$1112),0),MATCH('001-C DMR'!$DR$11,'DMR 001C NEW'!$A$2:$O$2,0)),"")</f>
        <v/>
      </c>
      <c r="DU34" s="280" t="str">
        <f t="array" ref="DU34">_xlfn.IFNA(INDEX('DMR 001C NEW'!$A$3:$O$999,MATCH(('001-C DMR'!$DK$6&amp;'001-C DMR'!DU$10&amp;'001-C DMR'!$B34),('DMR 001C NEW'!$E$3:$E$1112&amp;'DMR 001C NEW'!$B$3:$B$1112&amp;'DMR 001C NEW'!$A$3:$A$1112),0),MATCH('001-C DMR'!$DR$11,'DMR 001C NEW'!$A$2:$O$2,0)),"")</f>
        <v/>
      </c>
      <c r="DV34" s="280" t="str">
        <f t="array" ref="DV34">_xlfn.IFNA(INDEX('DMR 001C NEW'!$A$3:$O$999,MATCH(('001-C DMR'!$DK$6&amp;'001-C DMR'!DV$10&amp;'001-C DMR'!$B34),('DMR 001C NEW'!$E$3:$E$1112&amp;'DMR 001C NEW'!$B$3:$B$1112&amp;'DMR 001C NEW'!$A$3:$A$1112),0),MATCH('001-C DMR'!$DR$11,'DMR 001C NEW'!$A$2:$O$2,0)),"")</f>
        <v/>
      </c>
      <c r="DW34" s="280" t="str">
        <f t="array" ref="DW34">_xlfn.IFNA(INDEX('DMR 001C NEW'!$A$3:$O$999,MATCH(('001-C DMR'!$DK$6&amp;'001-C DMR'!DW$10&amp;'001-C DMR'!$B34),('DMR 001C NEW'!$E$3:$E$1112&amp;'DMR 001C NEW'!$B$3:$B$1112&amp;'DMR 001C NEW'!$A$3:$A$1112),0),MATCH('001-C DMR'!$DR$11,'DMR 001C NEW'!$A$2:$O$2,0)),"")</f>
        <v/>
      </c>
      <c r="DX34" s="280" t="str">
        <f t="array" ref="DX34">_xlfn.IFNA(INDEX('DMR 001C NEW'!$A$3:$O$999,MATCH(('001-C DMR'!$DK$6&amp;'001-C DMR'!DX$10&amp;'001-C DMR'!$B34),('DMR 001C NEW'!$E$3:$E$1112&amp;'DMR 001C NEW'!$B$3:$B$1112&amp;'DMR 001C NEW'!$A$3:$A$1112),0),MATCH('001-C DMR'!$DR$11,'DMR 001C NEW'!$A$2:$O$2,0)),"")</f>
        <v/>
      </c>
      <c r="DY34" s="61" t="str">
        <f t="shared" si="28"/>
        <v/>
      </c>
      <c r="DZ34" s="249" t="str">
        <f t="array" ref="DZ34">_xlfn.IFNA((INDEX('DMR 001C NEW'!$A$3:$O$9999,MATCH(('001-C DMR'!$DY$6&amp;'001-C DMR'!$DY$10&amp;'001-C DMR'!$B34),('DMR 001C NEW'!$E$3:$E$9018&amp;'DMR 001C NEW'!$B$3:$B$9018&amp;'DMR 001C NEW'!$A$3:$A$9018),0),MATCH('001-C DMR'!$DZ$11,'DMR 001C NEW'!$A$2:$O$2,0))),"")</f>
        <v/>
      </c>
      <c r="EA34" s="249" t="str">
        <f t="array" ref="EA34">_xlfn.IFNA((INDEX('DMR 001C NEW'!$A$3:$O$9999,MATCH(('001-C DMR'!$DY$6&amp;'001-C DMR'!$DY$10&amp;'001-C DMR'!$B34),('DMR 001C NEW'!$E$3:$E$9018&amp;'DMR 001C NEW'!$B$3:$B$9018&amp;'DMR 001C NEW'!$A$3:$A$9018),0),MATCH('001-C DMR'!$EA$11,'DMR 001C NEW'!$A$2:$O$2,0))),"")</f>
        <v/>
      </c>
      <c r="EB34" s="249" t="str">
        <f t="array" ref="EB34">IF(EA34="SCRATCHED","",IF(EA34&lt;DZ34,0,EA34))</f>
        <v/>
      </c>
      <c r="EC34" s="249" t="str">
        <f t="shared" si="29"/>
        <v/>
      </c>
      <c r="ED34" s="249" t="str">
        <f t="array" ref="ED34">_xlfn.IFNA((INDEX('DMR 001C NEW'!$A$3:$O$9999,MATCH(('001-C DMR'!$DY$6&amp;'001-C DMR'!$EC$10&amp;'001-C DMR'!$B34),('DMR 001C NEW'!$E$3:$E$9018&amp;'DMR 001C NEW'!$B$3:$B$9018&amp;'DMR 001C NEW'!$A$3:$A$9018),0),MATCH('001-C DMR'!$DZ$11,'DMR 001C NEW'!$A$2:$O$2,0))),"")</f>
        <v/>
      </c>
      <c r="EE34" s="249" t="str">
        <f t="array" ref="EE34">_xlfn.IFNA((INDEX('DMR 001C NEW'!$A$3:$O$9999,MATCH(('001-C DMR'!$DY$6&amp;'001-C DMR'!$EC$10&amp;'001-C DMR'!$B34),('DMR 001C NEW'!$E$3:$E$9018&amp;'DMR 001C NEW'!$B$3:$B$9018&amp;'DMR 001C NEW'!$A$3:$A$9018),0),MATCH('001-C DMR'!$EE$11,'DMR 001C NEW'!$A$2:$O$2,0))),"")</f>
        <v/>
      </c>
      <c r="EF34" s="249" t="str">
        <f t="array" ref="EF34">IF(EE34="SCRATCHED","",IF(EE34&lt;ED34,0,EE34))</f>
        <v/>
      </c>
      <c r="EG34" s="249"/>
      <c r="EH34" s="195"/>
      <c r="EI34" s="194">
        <f t="array" ref="EI34">_xlfn.IFNA(INDEX('DMR Flows-Effluent'!$A$3:$F$186,MATCH(($EI$10&amp;$B34),('DMR Flows-Effluent'!$B$3:$B$186&amp;'DMR Flows-Effluent'!$A$3:$A$186),0),MATCH($EI$8,'DMR Flows-Effluent'!$A$2:$F$2,0)),"")</f>
        <v>36.557499999999997</v>
      </c>
      <c r="EJ34" s="56">
        <f t="array" ref="EJ34">_xlfn.IFNA(INDEX('DMR Flows-Effluent'!$A$3:$F$186,MATCH(($EJ$10&amp;$B34),('DMR Flows-Effluent'!$B$3:$B$186&amp;'DMR Flows-Effluent'!$A$3:$A$186),0),MATCH($EI$8,'DMR Flows-Effluent'!$A$2:$F$2,0)),"")</f>
        <v>90.935699999999997</v>
      </c>
      <c r="EK34" s="168">
        <f t="shared" si="19"/>
        <v>127.4932</v>
      </c>
      <c r="EL34" s="63"/>
      <c r="EM34" s="63"/>
      <c r="EN34" s="63"/>
      <c r="EO34" s="63"/>
      <c r="EP34" s="62"/>
      <c r="EQ34" s="157">
        <f>'E.Coli Calculations'!R28</f>
        <v>61.390720493961183</v>
      </c>
      <c r="ER34" s="56"/>
      <c r="ES34" s="64" t="str">
        <f t="shared" si="36"/>
        <v/>
      </c>
      <c r="ET34" s="61" t="str">
        <f t="shared" si="20"/>
        <v/>
      </c>
      <c r="EU34" s="58" t="str">
        <f t="array" ref="EU34">_xlfn.IFNA((INDEX('DMR 001C NEW'!$A$3:$O$9999,MATCH(('001-C DMR'!$ET$6&amp;'001-C DMR'!$ET$10&amp;'001-C DMR'!$B34),('DMR 001C NEW'!$E$3:$E$9018&amp;'DMR 001C NEW'!$B$3:$B$9018&amp;'DMR 001C NEW'!$A$3:$A$9018),0),MATCH('001-C DMR'!$EU$11,'DMR 001C NEW'!$A$2:$O$2,0))),"")</f>
        <v/>
      </c>
      <c r="EV34" s="58" t="str">
        <f t="array" ref="EV34">_xlfn.IFNA(INDEX('DMR 001C NEW'!$A$3:$O$9999,MATCH(('001-C DMR'!$ET$6&amp;'001-C DMR'!$ET$10&amp;'001-C DMR'!$B34),('DMR 001C NEW'!$E$3:$E$9018&amp;'DMR 001C NEW'!$B$3:$B$9018&amp;'DMR 001C NEW'!$A$3:$A$9018),0),MATCH('001-C DMR'!$EV$11,'DMR 001C NEW'!$A$2:$O$2,0)),"")</f>
        <v/>
      </c>
      <c r="EW34" s="56" t="str">
        <f t="shared" si="21"/>
        <v/>
      </c>
      <c r="EX34" s="64"/>
      <c r="EY34" s="279" t="str">
        <f t="array" ref="EY34">_xlfn.IFNA(INDEX('DMR 001C NEW'!$A$3:$O$999,MATCH(('001-C DMR'!$ET$6&amp;'001-C DMR'!EY$10&amp;'001-C DMR'!$B34),('DMR 001C NEW'!$E$3:$E$1112&amp;'DMR 001C NEW'!$B$3:$B$1112&amp;'DMR 001C NEW'!$A$3:$A$1112),0),MATCH('001-C DMR'!$EY$11,'DMR 001C NEW'!$A$2:$O$2,0)),"")</f>
        <v/>
      </c>
      <c r="EZ34" s="280" t="str">
        <f t="array" ref="EZ34">_xlfn.IFNA(INDEX('DMR 001C NEW'!$A$3:$O$999,MATCH(('001-C DMR'!$ET$6&amp;'001-C DMR'!EZ$10&amp;'001-C DMR'!$B34),('DMR 001C NEW'!$E$3:$E$1112&amp;'DMR 001C NEW'!$B$3:$B$1112&amp;'DMR 001C NEW'!$A$3:$A$1112),0),MATCH('001-C DMR'!$EY$11,'DMR 001C NEW'!$A$2:$O$2,0)),"")</f>
        <v/>
      </c>
      <c r="FA34" s="280" t="str">
        <f t="array" ref="FA34">_xlfn.IFNA(INDEX('DMR 001C NEW'!$A$3:$O$999,MATCH(('001-C DMR'!$ET$6&amp;'001-C DMR'!FA$10&amp;'001-C DMR'!$B34),('DMR 001C NEW'!$E$3:$E$1112&amp;'DMR 001C NEW'!$B$3:$B$1112&amp;'DMR 001C NEW'!$A$3:$A$1112),0),MATCH('001-C DMR'!$EY$11,'DMR 001C NEW'!$A$2:$O$2,0)),"")</f>
        <v/>
      </c>
      <c r="FB34" s="280" t="str">
        <f t="array" ref="FB34">_xlfn.IFNA(INDEX('DMR 001C NEW'!$A$3:$O$999,MATCH(('001-C DMR'!$ET$6&amp;'001-C DMR'!FB$10&amp;'001-C DMR'!$B34),('DMR 001C NEW'!$E$3:$E$1112&amp;'DMR 001C NEW'!$B$3:$B$1112&amp;'DMR 001C NEW'!$A$3:$A$1112),0),MATCH('001-C DMR'!$EY$11,'DMR 001C NEW'!$A$2:$O$2,0)),"")</f>
        <v/>
      </c>
      <c r="FC34" s="280" t="str">
        <f t="array" ref="FC34">_xlfn.IFNA(INDEX('DMR 001C NEW'!$A$3:$O$999,MATCH(('001-C DMR'!$ET$6&amp;'001-C DMR'!FC$10&amp;'001-C DMR'!$B34),('DMR 001C NEW'!$E$3:$E$1112&amp;'DMR 001C NEW'!$B$3:$B$1112&amp;'DMR 001C NEW'!$A$3:$A$1112),0),MATCH('001-C DMR'!$EY$11,'DMR 001C NEW'!$A$2:$O$2,0)),"")</f>
        <v/>
      </c>
      <c r="FD34" s="280" t="str">
        <f t="array" ref="FD34">_xlfn.IFNA(INDEX('DMR 001C NEW'!$A$3:$O$999,MATCH(('001-C DMR'!$ET$6&amp;'001-C DMR'!FD$10&amp;'001-C DMR'!$B34),('DMR 001C NEW'!$E$3:$E$1112&amp;'DMR 001C NEW'!$B$3:$B$1112&amp;'DMR 001C NEW'!$A$3:$A$1112),0),MATCH('001-C DMR'!$EY$11,'DMR 001C NEW'!$A$2:$O$2,0)),"")</f>
        <v/>
      </c>
      <c r="FE34" s="281" t="str">
        <f t="array" ref="FE34">_xlfn.IFNA(INDEX('DMR 001C NEW'!$A$3:$O$999,MATCH(('001-C DMR'!$ET$6&amp;'001-C DMR'!FE$10&amp;'001-C DMR'!$B34),('DMR 001C NEW'!$E$3:$E$1112&amp;'DMR 001C NEW'!$B$3:$B$1112&amp;'DMR 001C NEW'!$A$3:$A$1112),0),MATCH('001-C DMR'!$EY$11,'DMR 001C NEW'!$A$2:$O$2,0)),"")</f>
        <v/>
      </c>
      <c r="FF34" s="57" t="str">
        <f t="shared" si="22"/>
        <v/>
      </c>
      <c r="FG34" s="56">
        <f t="array" ref="FG34">_xlfn.IFNA(INDEX('DMR 001C NEW'!$A$3:$O$9999,MATCH(('001-C DMR'!$FF$6&amp;'001-C DMR'!$FF$10&amp;'001-C DMR'!$B34),('DMR 001C NEW'!$E$3:$E$7246&amp;'DMR 001C NEW'!$B$3:$B$7246&amp;'DMR 001C NEW'!$A$3:$A$7246),0),MATCH('001-C DMR'!$FG$11,'DMR 001C NEW'!$A$2:$O$2,0)),"")</f>
        <v>0</v>
      </c>
      <c r="FH34" s="56">
        <f t="array" ref="FH34">_xlfn.IFNA(INDEX('DMR 001C NEW'!$A$3:$O$9999,MATCH(('001-C DMR'!$FF$6&amp;'001-C DMR'!$FF$10&amp;'001-C DMR'!$B34),('DMR 001C NEW'!$E$3:$E$7246&amp;'DMR 001C NEW'!$B$3:$B$7246&amp;'DMR 001C NEW'!$A$3:$A$7246),0),MATCH('001-C DMR'!$FH$11,'DMR 001C NEW'!$A$2:$O$2,0)),"")</f>
        <v>4</v>
      </c>
      <c r="FI34" s="57" t="str">
        <f t="shared" si="23"/>
        <v/>
      </c>
      <c r="FJ34" s="56">
        <f t="array" ref="FJ34">_xlfn.IFNA(INDEX('DMR 001C NEW'!$A$3:$O$9999,MATCH(('001-C DMR'!$FF$6&amp;'001-C DMR'!$FI$10&amp;'001-C DMR'!$B34),('DMR 001C NEW'!$E$3:$E$7246&amp;'DMR 001C NEW'!$B$3:$B$7246&amp;'DMR 001C NEW'!$A$3:$A$7246),0),MATCH('001-C DMR'!$FG$11,'DMR 001C NEW'!$A$2:$O$2,0)),"")</f>
        <v>0</v>
      </c>
      <c r="FK34" s="56">
        <f t="array" ref="FK34">_xlfn.IFNA(INDEX('DMR 001C NEW'!$A$3:$O$9999,MATCH(('001-C DMR'!$FF$6&amp;'001-C DMR'!$FI$10&amp;'001-C DMR'!$B34),('DMR 001C NEW'!$E$3:$E$7246&amp;'DMR 001C NEW'!$B$3:$B$7246&amp;'DMR 001C NEW'!$A$3:$A$7246),0),MATCH('001-C DMR'!$FH$11,'DMR 001C NEW'!$A$2:$O$2,0)),"")</f>
        <v>6</v>
      </c>
      <c r="FL34" s="56">
        <f t="array" ref="FL34">IFERROR((($FH34*$EI34)+($FK34*$EJ34))/($EK34),"")</f>
        <v>5.4265184339243193</v>
      </c>
      <c r="FM34" s="56" t="str">
        <f t="shared" si="43"/>
        <v/>
      </c>
      <c r="FN34" s="64" t="str">
        <f t="shared" si="37"/>
        <v/>
      </c>
      <c r="FO34" s="66"/>
      <c r="FP34" s="280" t="str">
        <f t="array" ref="FP34">_xlfn.IFNA(INDEX('DMR 001C NEW'!$A$3:$O$999,MATCH(('001-C DMR'!$FF$6&amp;'001-C DMR'!FP$10&amp;'001-C DMR'!$B34),('DMR 001C NEW'!$E$3:$E$1112&amp;'DMR 001C NEW'!$B$3:$B$1112&amp;'DMR 001C NEW'!$A$3:$A$1112),0),MATCH('001-C DMR'!$FH$11,'DMR 001C NEW'!$A$2:$O$2,0)),"")</f>
        <v/>
      </c>
      <c r="FQ34" s="280" t="str">
        <f t="array" ref="FQ34">_xlfn.IFNA(INDEX('DMR 001C NEW'!$A$3:$O$999,MATCH(('001-C DMR'!$FF$6&amp;'001-C DMR'!FQ$10&amp;'001-C DMR'!$B34),('DMR 001C NEW'!$E$3:$E$1112&amp;'DMR 001C NEW'!$B$3:$B$1112&amp;'DMR 001C NEW'!$A$3:$A$1112),0),MATCH('001-C DMR'!$FH$11,'DMR 001C NEW'!$A$2:$O$2,0)),"")</f>
        <v/>
      </c>
      <c r="FR34" s="280" t="str">
        <f t="array" ref="FR34">_xlfn.IFNA(INDEX('DMR 001C NEW'!$A$3:$O$999,MATCH(('001-C DMR'!$FF$6&amp;'001-C DMR'!FR$10&amp;'001-C DMR'!$B34),('DMR 001C NEW'!$E$3:$E$1112&amp;'DMR 001C NEW'!$B$3:$B$1112&amp;'DMR 001C NEW'!$A$3:$A$1112),0),MATCH('001-C DMR'!$FH$11,'DMR 001C NEW'!$A$2:$O$2,0)),"")</f>
        <v/>
      </c>
      <c r="FS34" s="280" t="str">
        <f t="array" ref="FS34">_xlfn.IFNA(INDEX('DMR 001C NEW'!$A$3:$O$999,MATCH(('001-C DMR'!$FF$6&amp;'001-C DMR'!FS$10&amp;'001-C DMR'!$B34),('DMR 001C NEW'!$E$3:$E$1112&amp;'DMR 001C NEW'!$B$3:$B$1112&amp;'DMR 001C NEW'!$A$3:$A$1112),0),MATCH('001-C DMR'!$FH$11,'DMR 001C NEW'!$A$2:$O$2,0)),"")</f>
        <v/>
      </c>
      <c r="FT34" s="280" t="str">
        <f t="array" ref="FT34">_xlfn.IFNA(INDEX('DMR 001C NEW'!$A$3:$O$999,MATCH(('001-C DMR'!$FF$6&amp;'001-C DMR'!FT$10&amp;'001-C DMR'!$B34),('DMR 001C NEW'!$E$3:$E$1112&amp;'DMR 001C NEW'!$B$3:$B$1112&amp;'DMR 001C NEW'!$A$3:$A$1112),0),MATCH('001-C DMR'!$FH$11,'DMR 001C NEW'!$A$2:$O$2,0)),"")</f>
        <v/>
      </c>
      <c r="FU34" s="280" t="str">
        <f t="array" ref="FU34">_xlfn.IFNA(INDEX('DMR 001C NEW'!$A$3:$O$999,MATCH(('001-C DMR'!$FF$6&amp;'001-C DMR'!FU$10&amp;'001-C DMR'!$B34),('DMR 001C NEW'!$E$3:$E$1112&amp;'DMR 001C NEW'!$B$3:$B$1112&amp;'DMR 001C NEW'!$A$3:$A$1112),0),MATCH('001-C DMR'!$FH$11,'DMR 001C NEW'!$A$2:$O$2,0)),"")</f>
        <v/>
      </c>
      <c r="FV34" s="66"/>
      <c r="FW34" s="61" t="str">
        <f t="shared" si="24"/>
        <v/>
      </c>
      <c r="FX34" s="58" t="str">
        <f t="array" ref="FX34">_xlfn.IFNA(INDEX('DMR 001C NEW'!$A$3:$O$9999,MATCH(('001-C DMR'!$FW$6&amp;'001-C DMR'!$FW$10&amp;'001-C DMR'!$B34),('DMR 001C NEW'!$E$3:$E$7246&amp;'DMR 001C NEW'!$B$3:$B$7246&amp;'DMR 001C NEW'!$A$3:$A$7246),0),MATCH('001-C DMR'!$FX$11,'DMR 001C NEW'!$A$2:$O$2,0)),"")</f>
        <v/>
      </c>
      <c r="FY34" s="58" t="str">
        <f t="array" ref="FY34">_xlfn.IFNA(INDEX('DMR 001C NEW'!$A$3:$O$9999,MATCH(('001-C DMR'!$FW$6&amp;'001-C DMR'!$FW$10&amp;'001-C DMR'!$B34),('DMR 001C NEW'!$E$3:$E$7246&amp;'DMR 001C NEW'!$B$3:$B$7246&amp;'DMR 001C NEW'!$A$3:$A$7246),0),MATCH('001-C DMR'!$FY$11,'DMR 001C NEW'!$A$2:$O$2,0)),"")</f>
        <v/>
      </c>
      <c r="FZ34" s="57" t="str">
        <f t="shared" si="25"/>
        <v/>
      </c>
      <c r="GA34" s="58" t="str">
        <f t="array" ref="GA34">_xlfn.IFNA(INDEX('DMR 001C NEW'!$A$3:$O$9999,MATCH(('001-C DMR'!$FW$6&amp;'001-C DMR'!$FZ$10&amp;'001-C DMR'!$B34),('DMR 001C NEW'!$E$3:$E$7246&amp;'DMR 001C NEW'!$B$3:$B$7246&amp;'DMR 001C NEW'!$A$3:$A$7246),0),MATCH('001-C DMR'!$FX$11,'DMR 001C NEW'!$A$2:$O$2,0)),"")</f>
        <v/>
      </c>
      <c r="GB34" s="58" t="str">
        <f t="array" ref="GB34">_xlfn.IFNA(INDEX('DMR 001C NEW'!$A$3:$O$9999,MATCH(('001-C DMR'!$FW$6&amp;'001-C DMR'!$FZ$10&amp;'001-C DMR'!$B34),('DMR 001C NEW'!$E$3:$E$7246&amp;'DMR 001C NEW'!$B$3:$B$7246&amp;'DMR 001C NEW'!$A$3:$A$7246),0),MATCH('001-C DMR'!$GB$11,'DMR 001C NEW'!$A$2:$O$2,0)),"")</f>
        <v/>
      </c>
      <c r="GC34" s="56" t="str">
        <f t="shared" si="4"/>
        <v/>
      </c>
      <c r="GD34" s="64" t="str">
        <f t="shared" si="38"/>
        <v/>
      </c>
      <c r="GE34" s="279" t="str">
        <f t="array" ref="GE34">_xlfn.IFNA(INDEX('DMR 001C NEW'!$A$3:$O$999,MATCH(('001-C DMR'!$FW$6&amp;'001-C DMR'!GE$10&amp;'001-C DMR'!$B34),('DMR 001C NEW'!$E$3:$E$1112&amp;'DMR 001C NEW'!$B$3:$B$1112&amp;'DMR 001C NEW'!$A$3:$A$1112),0),MATCH('001-C DMR'!$FY$11,'DMR 001C NEW'!$A$2:$O$2,0)),"")</f>
        <v/>
      </c>
      <c r="GF34" s="280" t="str">
        <f t="array" ref="GF34">_xlfn.IFNA(INDEX('DMR 001C NEW'!$A$3:$O$999,MATCH(('001-C DMR'!$FW$6&amp;'001-C DMR'!GF$10&amp;'001-C DMR'!$B34),('DMR 001C NEW'!$E$3:$E$1112&amp;'DMR 001C NEW'!$B$3:$B$1112&amp;'DMR 001C NEW'!$A$3:$A$1112),0),MATCH('001-C DMR'!$FY$11,'DMR 001C NEW'!$A$2:$O$2,0)),"")</f>
        <v/>
      </c>
      <c r="GG34" s="280" t="str">
        <f t="array" ref="GG34">_xlfn.IFNA(INDEX('DMR 001C NEW'!$A$3:$O$999,MATCH(('001-C DMR'!$FW$6&amp;'001-C DMR'!GG$10&amp;'001-C DMR'!$B34),('DMR 001C NEW'!$E$3:$E$1112&amp;'DMR 001C NEW'!$B$3:$B$1112&amp;'DMR 001C NEW'!$A$3:$A$1112),0),MATCH('001-C DMR'!$FY$11,'DMR 001C NEW'!$A$2:$O$2,0)),"")</f>
        <v/>
      </c>
      <c r="GH34" s="280" t="str">
        <f t="array" ref="GH34">_xlfn.IFNA(INDEX('DMR 001C NEW'!$A$3:$O$999,MATCH(('001-C DMR'!$FW$6&amp;'001-C DMR'!GH$10&amp;'001-C DMR'!$B34),('DMR 001C NEW'!$E$3:$E$1112&amp;'DMR 001C NEW'!$B$3:$B$1112&amp;'DMR 001C NEW'!$A$3:$A$1112),0),MATCH('001-C DMR'!$FY$11,'DMR 001C NEW'!$A$2:$O$2,0)),"")</f>
        <v/>
      </c>
      <c r="GI34" s="280" t="str">
        <f t="array" ref="GI34">_xlfn.IFNA(INDEX('DMR 001C NEW'!$A$3:$O$999,MATCH(('001-C DMR'!$FW$6&amp;'001-C DMR'!GI$10&amp;'001-C DMR'!$B34),('DMR 001C NEW'!$E$3:$E$1112&amp;'DMR 001C NEW'!$B$3:$B$1112&amp;'DMR 001C NEW'!$A$3:$A$1112),0),MATCH('001-C DMR'!$FY$11,'DMR 001C NEW'!$A$2:$O$2,0)),"")</f>
        <v/>
      </c>
      <c r="GJ34" s="281" t="str">
        <f t="array" ref="GJ34">_xlfn.IFNA(INDEX('DMR 001C NEW'!$A$3:$O$999,MATCH(('001-C DMR'!$FW$6&amp;'001-C DMR'!GJ$10&amp;'001-C DMR'!$B34),('DMR 001C NEW'!$E$3:$E$1112&amp;'DMR 001C NEW'!$B$3:$B$1112&amp;'DMR 001C NEW'!$A$3:$A$1112),0),MATCH('001-C DMR'!$FY$11,'DMR 001C NEW'!$A$2:$O$2,0)),"")</f>
        <v/>
      </c>
      <c r="GK34" s="58" t="str">
        <f t="array" ref="GK34">_xlfn.IFNA(INDEX('DMR 001C NEW'!$A$3:$O$9999,MATCH(('001-C DMR'!$GK$6&amp;'001-C DMR'!$GK$10&amp;'001-C DMR'!$B34),('DMR 001C NEW'!$E$3:$E$9018&amp;'DMR 001C NEW'!$B$3:$B$9018&amp;'DMR 001C NEW'!$A$3:$A$9018),0),MATCH('001-C DMR'!$GK$11,'DMR 001C NEW'!$A$2:$O$2,0)),"")</f>
        <v>n</v>
      </c>
      <c r="GL34" s="58" t="str">
        <f t="array" ref="GL34">_xlfn.IFNA(INDEX('DMR 001C NEW'!$A$3:$O$9999,MATCH(('001-C DMR'!$GK$6&amp;'001-C DMR'!$GL$10&amp;'001-C DMR'!$B34),('DMR 001C NEW'!$E$3:$E$9018&amp;'DMR 001C NEW'!$B$3:$B$9018&amp;'DMR 001C NEW'!$A$3:$A$9018),0),MATCH('001-C DMR'!$GK$11,'DMR 001C NEW'!$A$2:$O$2,0)),"")</f>
        <v>n</v>
      </c>
      <c r="GM34" s="134"/>
      <c r="GN34" s="64" t="str">
        <f t="shared" si="44"/>
        <v/>
      </c>
    </row>
    <row r="35" spans="1:196" s="51" customFormat="1" x14ac:dyDescent="0.25">
      <c r="A35" s="67" t="str">
        <f t="shared" si="5"/>
        <v>Tue</v>
      </c>
      <c r="B35" s="216">
        <f t="shared" si="26"/>
        <v>43697</v>
      </c>
      <c r="C35" s="93">
        <f t="array" ref="C35">INDEX('DMR 001C NEW'!$A$3:$N$10020,MATCH(('001-C DMR'!$C$6:$K$6&amp;'001-C DMR'!$C$10:$E$10&amp;'001-C DMR'!$B35),('DMR 001C NEW'!$E$3:$E$7246&amp;'DMR 001C NEW'!$B$3:$B$7246&amp;'DMR 001C NEW'!$A$3:$A$7246),0),MATCH('001-C DMR'!$C$11,'DMR 001C NEW'!$A$2:$O$2,0))</f>
        <v>5.8</v>
      </c>
      <c r="D35" s="56" t="str">
        <f t="array" ref="D35">INDEX('DMR 001C NEW'!$A$3:$N$11771,MATCH(('001-C DMR'!$C$6:$K$6&amp;'001-C DMR'!$C$10:$E$10&amp;'001-C DMR'!$B35),('DMR 001C NEW'!$E$3:$E$9018&amp;'DMR 001C NEW'!$B$3:$B$9018&amp;'DMR 001C NEW'!$A$3:$A$9018),0),MATCH('001-C DMR'!$D$11,'DMR 001C NEW'!$A$2:$O$2,0))</f>
        <v>AE69865</v>
      </c>
      <c r="E35" s="56">
        <f t="array" ref="E35">INDEX('DMR 001C NEW'!$A$3:$N$9999,MATCH(('001-C DMR'!$E$11&amp;'001-C DMR'!$C$10:$E$10&amp;'001-C DMR'!$B35&amp;$D35),('DMR 001C NEW'!$E$3:$E$7246&amp;'DMR 001C NEW'!$B$3:$B$7246&amp;'DMR 001C NEW'!$A$3:$A$7246&amp;'DMR 001C NEW'!$M$3:$M$7188),0),MATCH($C$11,'DMR 001C NEW'!$A$2:$O$2,0))</f>
        <v>42.32</v>
      </c>
      <c r="F35" s="56">
        <f t="array" ref="F35">INDEX('DMR 001C NEW'!$A$3:$N$9999,MATCH('001-C DMR'!$C$6:$K$6&amp;'001-C DMR'!$F$10&amp;'001-C DMR'!$B35,('DMR 001C NEW'!$E$3:$E$7246&amp;'DMR 001C NEW'!$B$3:$B$7246&amp;'DMR 001C NEW'!$A$3:$A$7246),0),MATCH('001-C DMR'!$C$11,'DMR 001C NEW'!$A$2:$O$2,0))</f>
        <v>6.4</v>
      </c>
      <c r="G35" s="56" t="str">
        <f t="array" ref="G35">INDEX('DMR 001C NEW'!$A$3:$N$3865,MATCH(('001-C DMR'!$C$6:$K$6&amp;'001-C DMR'!$F$10&amp;'001-C DMR'!$B35),('DMR 001C NEW'!$E$3:$E$1112&amp;'DMR 001C NEW'!$B$3:$B$1112&amp;'DMR 001C NEW'!$A$3:$A$1112),0),MATCH('001-C DMR'!$D$11,'DMR 001C NEW'!$A$2:$O$2,0))</f>
        <v>AE69866</v>
      </c>
      <c r="H35" s="56">
        <f t="array" ref="H35">INDEX('DMR 001C NEW'!$A$3:$N$9999,MATCH(('001-C DMR'!$E$11&amp;'001-C DMR'!$F$10&amp;'001-C DMR'!$B35&amp;$G35),('DMR 001C NEW'!$E$3:$E$7246&amp;'DMR 001C NEW'!$B$3:$B$7246&amp;'DMR 001C NEW'!$A$3:$A$7246&amp;'DMR 001C NEW'!$M$3:$M$7188),0),MATCH($C$11,'DMR 001C NEW'!$A$2:$O$2,0))</f>
        <v>103.52</v>
      </c>
      <c r="I35" s="56">
        <f t="shared" si="0"/>
        <v>6.225891387822271</v>
      </c>
      <c r="J35" s="58" t="str">
        <f t="shared" si="39"/>
        <v/>
      </c>
      <c r="K35" s="64" t="str">
        <f t="shared" si="40"/>
        <v/>
      </c>
      <c r="L35" s="262" t="str">
        <f t="array" ref="L35">_xlfn.IFNA(INDEX('DMR 001C NEW'!$A$3:$N$3865,MATCH(('001-C DMR'!$C$6:$K$6&amp;'001-C DMR'!L$10&amp;'001-C DMR'!$B35),('DMR 001C NEW'!$E$3:$E$1112&amp;'DMR 001C NEW'!$B$3:$B$1112&amp;'DMR 001C NEW'!$A$3:$A$1112),0),MATCH('001-C DMR'!$C$11,'DMR 001C NEW'!$A$2:$O$2,0)),"")</f>
        <v/>
      </c>
      <c r="M35" s="262" t="str">
        <f t="array" ref="M35">_xlfn.IFNA(INDEX('DMR 001C NEW'!$A$3:$N$3865,MATCH(('001-C DMR'!$C$6:$K$6&amp;'001-C DMR'!M$10&amp;'001-C DMR'!$B35),('DMR 001C NEW'!$E$3:$E$1112&amp;'DMR 001C NEW'!$B$3:$B$1112&amp;'DMR 001C NEW'!$A$3:$A$1112),0),MATCH('001-C DMR'!$C$11,'DMR 001C NEW'!$A$2:$O$2,0)),"")</f>
        <v/>
      </c>
      <c r="N35" s="262" t="str">
        <f t="array" ref="N35">_xlfn.IFNA(INDEX('DMR 001C NEW'!$A$3:$N$3865,MATCH(('001-C DMR'!$C$6:$K$6&amp;'001-C DMR'!N$10&amp;'001-C DMR'!$B35),('DMR 001C NEW'!$E$3:$E$1112&amp;'DMR 001C NEW'!$B$3:$B$1112&amp;'DMR 001C NEW'!$A$3:$A$1112),0),MATCH('001-C DMR'!$C$11,'DMR 001C NEW'!$A$2:$O$2,0)),"")</f>
        <v/>
      </c>
      <c r="O35" s="262" t="str">
        <f t="array" ref="O35">_xlfn.IFNA(INDEX('DMR 001C NEW'!$A$3:$N$3865,MATCH(('001-C DMR'!$C$6:$K$6&amp;'001-C DMR'!O$10&amp;'001-C DMR'!$B35),('DMR 001C NEW'!$E$3:$E$1112&amp;'DMR 001C NEW'!$B$3:$B$1112&amp;'DMR 001C NEW'!$A$3:$A$1112),0),MATCH('001-C DMR'!$C$11,'DMR 001C NEW'!$A$2:$O$2,0)),"")</f>
        <v/>
      </c>
      <c r="P35" s="262" t="str">
        <f t="array" ref="P35">_xlfn.IFNA(INDEX('DMR 001C NEW'!$A$3:$N$3865,MATCH(('001-C DMR'!$C$6:$K$6&amp;'001-C DMR'!P$10&amp;'001-C DMR'!$B35),('DMR 001C NEW'!$E$3:$E$1112&amp;'DMR 001C NEW'!$B$3:$B$1112&amp;'DMR 001C NEW'!$A$3:$A$1112),0),MATCH('001-C DMR'!$C$11,'DMR 001C NEW'!$A$2:$O$2,0)),"")</f>
        <v/>
      </c>
      <c r="Q35" s="120" t="e">
        <f t="array" ref="Q35">INDEX('DMR 001C NEW'!$A$3:$N$3865,MATCH(('001-C DMR'!$C$6:$K$6&amp;'001-C DMR'!Q$10&amp;'001-C DMR'!$B35),('DMR 001C NEW'!$E$3:$E$1112&amp;'DMR 001C NEW'!$B$3:$B$1112&amp;'DMR 001C NEW'!$A$3:$A$1112),0),MATCH('001-C DMR'!$C$11,'DMR 001C NEW'!$A$2:$O$2,0))</f>
        <v>#N/A</v>
      </c>
      <c r="R35" s="61"/>
      <c r="S35" s="56">
        <f t="array" ref="S35">_xlfn.IFNA(INDEX('DMR 001C NEW'!$A$3:$N$11771,MATCH(('001-C DMR'!$R$6:$T$6&amp;'001-C DMR'!$R$10&amp;'001-C DMR'!$B35),('DMR 001C NEW'!$E$3:$E$9018&amp;'DMR 001C NEW'!$B$3:$B$9018&amp;'DMR 001C NEW'!$A$3:$A$9018),0),MATCH('001-C DMR'!$S$11,'DMR 001C NEW'!$A$2:$O$2,0)),"")</f>
        <v>7.1</v>
      </c>
      <c r="T35" s="64" t="str">
        <f t="shared" si="41"/>
        <v/>
      </c>
      <c r="U35" s="262" t="str">
        <f t="array" ref="U35">_xlfn.IFNA(INDEX('DMR 001C NEW'!$A$3:$O$591,MATCH('001-C DMR'!$R$6:$T$6&amp;'001-C DMR'!U$10&amp;'001-C DMR'!$B35,('DMR 001C NEW'!$E$3:$E$704&amp;'DMR 001C NEW'!$B$3:$B$704&amp;'DMR 001C NEW'!$A$3:$A$704),0),MATCH('001-C DMR'!$U$11,'DMR 001C NEW'!$A$2:$O$2,0)),"")</f>
        <v/>
      </c>
      <c r="V35" s="262" t="str">
        <f t="array" ref="V35">_xlfn.IFNA(INDEX('DMR 001C NEW'!$A$3:$O$591,MATCH('001-C DMR'!$R$6:$T$6&amp;'001-C DMR'!V$10&amp;'001-C DMR'!$B35,('DMR 001C NEW'!$E$3:$E$704&amp;'DMR 001C NEW'!$B$3:$B$704&amp;'DMR 001C NEW'!$A$3:$A$704),0),MATCH('001-C DMR'!$U$11,'DMR 001C NEW'!$A$2:$O$2,0)),"")</f>
        <v/>
      </c>
      <c r="W35" s="262" t="str">
        <f t="array" ref="W35">_xlfn.IFNA(INDEX('DMR 001C NEW'!$A$3:$O$591,MATCH('001-C DMR'!$R$6:$T$6&amp;'001-C DMR'!W$10&amp;'001-C DMR'!$B35,('DMR 001C NEW'!$E$3:$E$704&amp;'DMR 001C NEW'!$B$3:$B$704&amp;'DMR 001C NEW'!$A$3:$A$704),0),MATCH('001-C DMR'!$U$11,'DMR 001C NEW'!$A$2:$O$2,0)),"")</f>
        <v/>
      </c>
      <c r="X35" s="262" t="str">
        <f t="array" ref="X35">_xlfn.IFNA(INDEX('DMR 001C NEW'!$A$3:$O$591,MATCH('001-C DMR'!$R$6:$T$6&amp;'001-C DMR'!X$10&amp;'001-C DMR'!$B35,('DMR 001C NEW'!$E$3:$E$704&amp;'DMR 001C NEW'!$B$3:$B$704&amp;'DMR 001C NEW'!$A$3:$A$704),0),MATCH('001-C DMR'!$U$11,'DMR 001C NEW'!$A$2:$O$2,0)),"")</f>
        <v/>
      </c>
      <c r="Y35" s="262" t="str">
        <f t="array" ref="Y35">_xlfn.IFNA(INDEX('DMR 001C NEW'!$A$3:$O$591,MATCH('001-C DMR'!$R$6:$T$6&amp;'001-C DMR'!Y$10&amp;'001-C DMR'!$B35,('DMR 001C NEW'!$E$3:$E$704&amp;'DMR 001C NEW'!$B$3:$B$704&amp;'DMR 001C NEW'!$A$3:$A$704),0),MATCH('001-C DMR'!$U$11,'DMR 001C NEW'!$A$2:$O$2,0)),"")</f>
        <v/>
      </c>
      <c r="Z35" s="262" t="str">
        <f t="array" ref="Z35">_xlfn.IFNA(INDEX('DMR 001C NEW'!$A$3:$O$591,MATCH('001-C DMR'!$R$6:$T$6&amp;'001-C DMR'!Z$10&amp;'001-C DMR'!$B35,('DMR 001C NEW'!$E$3:$E$704&amp;'DMR 001C NEW'!$B$3:$B$704&amp;'DMR 001C NEW'!$A$3:$A$704),0),MATCH('001-C DMR'!$U$11,'DMR 001C NEW'!$A$2:$O$2,0)),"")</f>
        <v/>
      </c>
      <c r="AA35" s="262" t="str">
        <f t="array" ref="AA35">_xlfn.IFNA(INDEX('DMR 001C NEW'!$A$3:$O$591,MATCH('001-C DMR'!$R$6:$T$6&amp;'001-C DMR'!AA$10&amp;'001-C DMR'!$B35,('DMR 001C NEW'!$E$3:$E$704&amp;'DMR 001C NEW'!$B$3:$B$704&amp;'DMR 001C NEW'!$A$3:$A$704),0),MATCH('001-C DMR'!$U$11,'DMR 001C NEW'!$A$2:$O$2,0)),"")</f>
        <v/>
      </c>
      <c r="AB35" s="61" t="str">
        <f t="array" ref="AB35">IF(AD35&lt;AC35,"&lt;","")</f>
        <v/>
      </c>
      <c r="AC35" s="56">
        <f t="array" ref="AC35">_xlfn.IFNA(INDEX('DMR 001C NEW'!$A$3:$O$9999,MATCH(('001-C DMR'!$AB$6:$AJ$6&amp;'001-C DMR'!$AB$10:$AD$10&amp;'001-C DMR'!$B35),('DMR 001C NEW'!$E$3:$E$7246&amp;'DMR 001C NEW'!$B$3:$B$7246&amp;'DMR 001C NEW'!$A$3:$A$7246),0),MATCH('001-C DMR'!$AC$11,'DMR 001C NEW'!$A$2:$O$2,0)),"")</f>
        <v>3</v>
      </c>
      <c r="AD35" s="56">
        <f t="array" ref="AD35">_xlfn.IFNA(INDEX('DMR 001C NEW'!$A$3:$O$9999,MATCH(('001-C DMR'!$AB$6:$AJ$6&amp;'001-C DMR'!$AB$10:$AD$10&amp;'001-C DMR'!$B35),('DMR 001C NEW'!$E$3:$E$7246&amp;'DMR 001C NEW'!$B$3:$B$7246&amp;'DMR 001C NEW'!$A$3:$A$7246),0),MATCH('001-C DMR'!$AD$11,'DMR 001C NEW'!$A$2:$O$2,0)),"")</f>
        <v>10</v>
      </c>
      <c r="AE35" s="57" t="str">
        <f t="array" ref="AE35">IF(AG35&lt;AF35,"&lt;","")</f>
        <v/>
      </c>
      <c r="AF35" s="56">
        <f t="array" ref="AF35">_xlfn.IFNA(INDEX('DMR 001C NEW'!$A$3:$O$9999,MATCH(('001-C DMR'!$AB$6:$AJ$6&amp;'001-C DMR'!$AE$10&amp;'001-C DMR'!$B35),('DMR 001C NEW'!$E$3:$E$9018&amp;'DMR 001C NEW'!$B$3:$B$9018&amp;'DMR 001C NEW'!$A$3:$A$9018),0),MATCH('001-C DMR'!$AF$11,'DMR 001C NEW'!$A$2:$O$2,0)),"")</f>
        <v>3</v>
      </c>
      <c r="AG35" s="56">
        <f t="array" ref="AG35">_xlfn.IFNA(INDEX('DMR 001C NEW'!$A$3:$O$9999,MATCH(('001-C DMR'!$AB$6:$AJ$6&amp;'001-C DMR'!$AE$10&amp;'001-C DMR'!$B35),('DMR 001C NEW'!$E$3:$E$9018&amp;'DMR 001C NEW'!$B$3:$B$9018&amp;'DMR 001C NEW'!$A$3:$A$9018),0),MATCH('001-C DMR'!$AG$11,'DMR 001C NEW'!$A$2:$O$2,0)),"")</f>
        <v>16</v>
      </c>
      <c r="AH35" s="56">
        <f t="array" ref="AH35">IFERROR((($AD35*$EI35)+($AG35*$EJ35))/($EK35),"")</f>
        <v>14.276030338403382</v>
      </c>
      <c r="AI35" s="56" t="str">
        <f t="shared" si="42"/>
        <v/>
      </c>
      <c r="AJ35" s="64" t="str">
        <f t="shared" si="30"/>
        <v/>
      </c>
      <c r="AK35" s="262" t="str">
        <f t="array" ref="AK35">_xlfn.IFNA(INDEX('DMR 001C NEW'!$A$3:$O$999,MATCH(('001-C DMR'!$AB$6:$AJ$6&amp;'001-C DMR'!AK$10&amp;'001-C DMR'!$B35),('DMR 001C NEW'!$E$3:$E$1112&amp;'DMR 001C NEW'!$B$3:$B$1112&amp;'DMR 001C NEW'!$A$3:$A$1112),0),MATCH('001-C DMR'!$AD$11,'DMR 001C NEW'!$A$2:$O$2,0)),"")</f>
        <v/>
      </c>
      <c r="AL35" s="262" t="str">
        <f t="array" ref="AL35">_xlfn.IFNA(INDEX('DMR 001C NEW'!$A$3:$O$999,MATCH(('001-C DMR'!$AB$6:$AJ$6&amp;'001-C DMR'!AL$10&amp;'001-C DMR'!$B35),('DMR 001C NEW'!$E$3:$E$1112&amp;'DMR 001C NEW'!$B$3:$B$1112&amp;'DMR 001C NEW'!$A$3:$A$1112),0),MATCH('001-C DMR'!$AD$11,'DMR 001C NEW'!$A$2:$O$2,0)),"")</f>
        <v/>
      </c>
      <c r="AM35" s="262" t="str">
        <f t="array" ref="AM35">_xlfn.IFNA(INDEX('DMR 001C NEW'!$A$3:$O$999,MATCH(('001-C DMR'!$AB$6:$AJ$6&amp;'001-C DMR'!AM$10&amp;'001-C DMR'!$B35),('DMR 001C NEW'!$E$3:$E$1112&amp;'DMR 001C NEW'!$B$3:$B$1112&amp;'DMR 001C NEW'!$A$3:$A$1112),0),MATCH('001-C DMR'!$AD$11,'DMR 001C NEW'!$A$2:$O$2,0)),"")</f>
        <v/>
      </c>
      <c r="AN35" s="262" t="str">
        <f t="array" ref="AN35">_xlfn.IFNA(INDEX('DMR 001C NEW'!$A$3:$O$999,MATCH(('001-C DMR'!$AB$6:$AJ$6&amp;'001-C DMR'!AN$10&amp;'001-C DMR'!$B35),('DMR 001C NEW'!$E$3:$E$1112&amp;'DMR 001C NEW'!$B$3:$B$1112&amp;'DMR 001C NEW'!$A$3:$A$1112),0),MATCH('001-C DMR'!$AD$11,'DMR 001C NEW'!$A$2:$O$2,0)),"")</f>
        <v/>
      </c>
      <c r="AO35" s="262" t="str">
        <f t="array" ref="AO35">_xlfn.IFNA(INDEX('DMR 001C NEW'!$A$3:$O$999,MATCH(('001-C DMR'!$AB$6:$AJ$6&amp;'001-C DMR'!AO$10&amp;'001-C DMR'!$B35),('DMR 001C NEW'!$E$3:$E$1112&amp;'DMR 001C NEW'!$B$3:$B$1112&amp;'DMR 001C NEW'!$A$3:$A$1112),0),MATCH('001-C DMR'!$AD$11,'DMR 001C NEW'!$A$2:$O$2,0)),"")</f>
        <v/>
      </c>
      <c r="AP35" s="262" t="str">
        <f t="array" ref="AP35">_xlfn.IFNA(INDEX('DMR 001C NEW'!$A$3:$O$999,MATCH(('001-C DMR'!$AB$6:$AJ$6&amp;'001-C DMR'!AP$10&amp;'001-C DMR'!$B35),('DMR 001C NEW'!$E$3:$E$1112&amp;'DMR 001C NEW'!$B$3:$B$1112&amp;'DMR 001C NEW'!$A$3:$A$1112),0),MATCH('001-C DMR'!$AD$11,'DMR 001C NEW'!$A$2:$O$2,0)),"")</f>
        <v/>
      </c>
      <c r="AQ35" s="61" t="str">
        <f t="array" ref="AQ35">IF(AS35&lt;AR35,"&lt;","")</f>
        <v/>
      </c>
      <c r="AR35" s="58" t="str">
        <f t="array" ref="AR35">_xlfn.IFNA((INDEX('DMR 001C NEW'!$A$3:$O$9999,MATCH(('001-C DMR'!$AQ$6:$AZ$6&amp;'001-C DMR'!$AQ$10:$AS$10&amp;'001-C DMR'!$B35),('DMR 001C NEW'!$E$3:$E$7246&amp;'DMR 001C NEW'!$B$3:$B$7246&amp;'DMR 001C NEW'!$A$3:$A$7246),0),MATCH('001-C DMR'!$AR$11,'DMR 001C NEW'!$A$2:$O$2,0))),"")</f>
        <v/>
      </c>
      <c r="AS35" s="58" t="str">
        <f t="array" ref="AS35">_xlfn.IFNA(INDEX('DMR 001C NEW'!$A$3:$O$9999,MATCH(('001-C DMR'!$AQ$6:$AZ$6&amp;'001-C DMR'!$AQ$10:$AS$10&amp;'001-C DMR'!$B35),('DMR 001C NEW'!$E$3:$E$7246&amp;'DMR 001C NEW'!$B$3:$B$7246&amp;'DMR 001C NEW'!$A$3:$A$7246),0),MATCH('001-C DMR'!$AS$11,'DMR 001C NEW'!$A$2:$O$2,0)),"")</f>
        <v/>
      </c>
      <c r="AT35" s="58" t="str">
        <f t="shared" si="27"/>
        <v/>
      </c>
      <c r="AU35" s="57" t="str">
        <f t="array" ref="AU35">IF(AW35&lt;AV35,"&lt;","")</f>
        <v/>
      </c>
      <c r="AV35" s="58" t="str">
        <f t="array" ref="AV35">_xlfn.IFNA((INDEX('DMR 001C NEW'!$A$3:$O$9999,MATCH(('001-C DMR'!$AQ$6:$AZ$6&amp;'001-C DMR'!$AU$10&amp;'001-C DMR'!$B35),('DMR 001C NEW'!$E$3:$E$7246&amp;'DMR 001C NEW'!$B$3:$B$7246&amp;'DMR 001C NEW'!$A$3:$A$7246),0),MATCH('001-C DMR'!$AR$11,'DMR 001C NEW'!$A$2:$O$2,0))),"")</f>
        <v/>
      </c>
      <c r="AW35" s="58" t="str">
        <f t="array" ref="AW35">_xlfn.IFNA(INDEX('DMR 001C NEW'!$A$3:$O$9999,MATCH(('001-C DMR'!$AQ$6:$AZ$6&amp;'001-C DMR'!$AU$10&amp;'001-C DMR'!$B35),('DMR 001C NEW'!$E$3:$E$7246&amp;'DMR 001C NEW'!$B$3:$B$7246&amp;'DMR 001C NEW'!$A$3:$A$7246),0),MATCH('001-C DMR'!$AW$11,'DMR 001C NEW'!$A$2:$O$2,0)),"")</f>
        <v/>
      </c>
      <c r="AX35" s="58" t="str">
        <f t="shared" si="6"/>
        <v/>
      </c>
      <c r="AY35" s="56" t="str">
        <f t="array" ref="AY35">IFERROR((($AT35*$EI35)+($AX35*$EJ35))/($EK35),"")</f>
        <v/>
      </c>
      <c r="AZ35" s="64" t="str">
        <f t="shared" si="31"/>
        <v/>
      </c>
      <c r="BA35" s="279" t="str">
        <f t="array" ref="BA35">_xlfn.IFNA(INDEX('DMR 001C NEW'!$A$3:$O$9999,MATCH(('001-C DMR'!$AQ$6:$AZ$6&amp;'001-C DMR'!BA$10&amp;'001-C DMR'!$B35),('DMR 001C NEW'!$E$3:$E$1112&amp;'DMR 001C NEW'!$B$3:$B$1112&amp;'DMR 001C NEW'!$A$3:$A$1112),0),MATCH('001-C DMR'!$BA$11,'DMR 001C NEW'!$A$2:$O$2,0)),"")</f>
        <v/>
      </c>
      <c r="BB35" s="280" t="str">
        <f t="array" ref="BB35">_xlfn.IFNA(INDEX('DMR 001C NEW'!$A$3:$O$9999,MATCH(('001-C DMR'!$AQ$6:$AZ$6&amp;'001-C DMR'!BB$10&amp;'001-C DMR'!$B35),('DMR 001C NEW'!$E$3:$E$1112&amp;'DMR 001C NEW'!$B$3:$B$1112&amp;'DMR 001C NEW'!$A$3:$A$1112),0),MATCH('001-C DMR'!$BA$11,'DMR 001C NEW'!$A$2:$O$2,0)),"")</f>
        <v/>
      </c>
      <c r="BC35" s="280" t="str">
        <f t="array" ref="BC35">_xlfn.IFNA(INDEX('DMR 001C NEW'!$A$3:$O$9999,MATCH(('001-C DMR'!$AQ$6:$AZ$6&amp;'001-C DMR'!BC$10&amp;'001-C DMR'!$B35),('DMR 001C NEW'!$E$3:$E$1112&amp;'DMR 001C NEW'!$B$3:$B$1112&amp;'DMR 001C NEW'!$A$3:$A$1112),0),MATCH('001-C DMR'!$BA$11,'DMR 001C NEW'!$A$2:$O$2,0)),"")</f>
        <v/>
      </c>
      <c r="BD35" s="280" t="str">
        <f t="array" ref="BD35">_xlfn.IFNA(INDEX('DMR 001C NEW'!$A$3:$O$9999,MATCH(('001-C DMR'!$AQ$6:$AZ$6&amp;'001-C DMR'!BD$10&amp;'001-C DMR'!$B35),('DMR 001C NEW'!$E$3:$E$1112&amp;'DMR 001C NEW'!$B$3:$B$1112&amp;'DMR 001C NEW'!$A$3:$A$1112),0),MATCH('001-C DMR'!$BA$11,'DMR 001C NEW'!$A$2:$O$2,0)),"")</f>
        <v/>
      </c>
      <c r="BE35" s="280" t="str">
        <f t="array" ref="BE35">_xlfn.IFNA(INDEX('DMR 001C NEW'!$A$3:$O$9999,MATCH(('001-C DMR'!$AQ$6:$AZ$6&amp;'001-C DMR'!BE$10&amp;'001-C DMR'!$B35),('DMR 001C NEW'!$E$3:$E$1112&amp;'DMR 001C NEW'!$B$3:$B$1112&amp;'DMR 001C NEW'!$A$3:$A$1112),0),MATCH('001-C DMR'!$BA$11,'DMR 001C NEW'!$A$2:$O$2,0)),"")</f>
        <v/>
      </c>
      <c r="BF35" s="281" t="str">
        <f t="array" ref="BF35">_xlfn.IFNA(INDEX('DMR 001C NEW'!$A$3:$O$9999,MATCH(('001-C DMR'!$AQ$6:$AZ$6&amp;'001-C DMR'!BF$10&amp;'001-C DMR'!$B35),('DMR 001C NEW'!$E$3:$E$1112&amp;'DMR 001C NEW'!$B$3:$B$1112&amp;'DMR 001C NEW'!$A$3:$A$1112),0),MATCH('001-C DMR'!$BA$11,'DMR 001C NEW'!$A$2:$O$2,0)),"")</f>
        <v/>
      </c>
      <c r="BG35" s="57"/>
      <c r="BH35" s="58" t="str">
        <f t="array" ref="BH35">_xlfn.IFNA((INDEX('DMR 001C NEW'!$A$3:$O$9999,MATCH(('001-C DMR'!$BG$6&amp;'001-C DMR'!$BG$10&amp;'001-C DMR'!$B35),('DMR 001C NEW'!$E$3:$E$7246&amp;'DMR 001C NEW'!$B$3:$B$7246&amp;'DMR 001C NEW'!$A$3:$A$7246),0),MATCH('001-C DMR'!$BH$11,'DMR 001C NEW'!$A$2:$O$2,0))),"")</f>
        <v/>
      </c>
      <c r="BI35" s="58" t="str">
        <f t="array" ref="BI35">_xlfn.IFNA(INDEX('DMR 001C NEW'!$A$3:$O$9999,MATCH(('001-C DMR'!$BG$6&amp;'001-C DMR'!$BG$10&amp;'001-C DMR'!$B35),('DMR 001C NEW'!$E$3:$E$7246&amp;'DMR 001C NEW'!$B$3:$B$7246&amp;'DMR 001C NEW'!$A$3:$A$7246),0),MATCH('001-C DMR'!$BI$11,'DMR 001C NEW'!$A$2:$O$2,0)),"")</f>
        <v/>
      </c>
      <c r="BJ35" s="58" t="str">
        <f t="shared" si="7"/>
        <v/>
      </c>
      <c r="BK35" s="57" t="str">
        <f t="shared" si="8"/>
        <v/>
      </c>
      <c r="BL35" s="58" t="str">
        <f t="array" ref="BL35">_xlfn.IFNA((INDEX('DMR 001C NEW'!$A$3:$O$9999,MATCH(('001-C DMR'!$BG$6&amp;'001-C DMR'!$BK$10&amp;'001-C DMR'!$B35),('DMR 001C NEW'!$E$3:$E$7246&amp;'DMR 001C NEW'!$B$3:$B$7246&amp;'DMR 001C NEW'!$A$3:$A$7246),0),MATCH('001-C DMR'!$BH$11,'DMR 001C NEW'!$A$2:$O$2,0))),"")</f>
        <v/>
      </c>
      <c r="BM35" s="58" t="str">
        <f t="array" ref="BM35">_xlfn.IFNA(INDEX('DMR 001C NEW'!$A$3:$O$9999,MATCH(('001-C DMR'!$BG$6&amp;'001-C DMR'!$BK$10&amp;'001-C DMR'!$B35),('DMR 001C NEW'!$E$3:$E$7246&amp;'DMR 001C NEW'!$B$3:$B$7246&amp;'DMR 001C NEW'!$A$3:$A$7246),0),MATCH('001-C DMR'!$BI$11,'DMR 001C NEW'!$A$2:$O$2,0)),"")</f>
        <v/>
      </c>
      <c r="BN35" s="58" t="str">
        <f t="shared" si="9"/>
        <v/>
      </c>
      <c r="BO35" s="56" t="str">
        <f t="array" ref="BO35">IFERROR((($BJ35*$EI35)+($BN35*$EJ35))/($EK35),"")</f>
        <v/>
      </c>
      <c r="BP35" s="64" t="str">
        <f t="shared" si="32"/>
        <v/>
      </c>
      <c r="BQ35" s="280" t="str">
        <f t="array" ref="BQ35">_xlfn.IFNA(INDEX('DMR 001C NEW'!$A$3:$O$999,MATCH(('001-C DMR'!$BG$6&amp;'001-C DMR'!BQ$10&amp;'001-C DMR'!$B35),('DMR 001C NEW'!$E$3:$E$1112&amp;'DMR 001C NEW'!$B$3:$B$1112&amp;'DMR 001C NEW'!$A$3:$A$1112),0),MATCH('001-C DMR'!$BQ$11,'DMR 001C NEW'!$A$2:$O$2,0)),"")</f>
        <v/>
      </c>
      <c r="BR35" s="280" t="str">
        <f t="array" ref="BR35">_xlfn.IFNA(INDEX('DMR 001C NEW'!$A$3:$O$999,MATCH(('001-C DMR'!$BG$6&amp;'001-C DMR'!BR$10&amp;'001-C DMR'!$B35),('DMR 001C NEW'!$E$3:$E$1112&amp;'DMR 001C NEW'!$B$3:$B$1112&amp;'DMR 001C NEW'!$A$3:$A$1112),0),MATCH('001-C DMR'!$BQ$11,'DMR 001C NEW'!$A$2:$O$2,0)),"")</f>
        <v/>
      </c>
      <c r="BS35" s="280" t="str">
        <f t="array" ref="BS35">_xlfn.IFNA(INDEX('DMR 001C NEW'!$A$3:$O$999,MATCH(('001-C DMR'!$BG$6&amp;'001-C DMR'!BS$10&amp;'001-C DMR'!$B35),('DMR 001C NEW'!$E$3:$E$1112&amp;'DMR 001C NEW'!$B$3:$B$1112&amp;'DMR 001C NEW'!$A$3:$A$1112),0),MATCH('001-C DMR'!$BQ$11,'DMR 001C NEW'!$A$2:$O$2,0)),"")</f>
        <v/>
      </c>
      <c r="BT35" s="280" t="str">
        <f t="array" ref="BT35">_xlfn.IFNA(INDEX('DMR 001C NEW'!$A$3:$O$999,MATCH(('001-C DMR'!$BG$6&amp;'001-C DMR'!BT$10&amp;'001-C DMR'!$B35),('DMR 001C NEW'!$E$3:$E$1112&amp;'DMR 001C NEW'!$B$3:$B$1112&amp;'DMR 001C NEW'!$A$3:$A$1112),0),MATCH('001-C DMR'!$BQ$11,'DMR 001C NEW'!$A$2:$O$2,0)),"")</f>
        <v/>
      </c>
      <c r="BU35" s="280" t="str">
        <f t="array" ref="BU35">_xlfn.IFNA(INDEX('DMR 001C NEW'!$A$3:$O$999,MATCH(('001-C DMR'!$BG$6&amp;'001-C DMR'!BU$10&amp;'001-C DMR'!$B35),('DMR 001C NEW'!$E$3:$E$1112&amp;'DMR 001C NEW'!$B$3:$B$1112&amp;'DMR 001C NEW'!$A$3:$A$1112),0),MATCH('001-C DMR'!$BQ$11,'DMR 001C NEW'!$A$2:$O$2,0)),"")</f>
        <v/>
      </c>
      <c r="BV35" s="280" t="str">
        <f t="array" ref="BV35">_xlfn.IFNA(INDEX('DMR 001C NEW'!$A$3:$O$999,MATCH(('001-C DMR'!$BG$6&amp;'001-C DMR'!BV$10&amp;'001-C DMR'!$B35),('DMR 001C NEW'!$E$3:$E$1112&amp;'DMR 001C NEW'!$B$3:$B$1112&amp;'DMR 001C NEW'!$A$3:$A$1112),0),MATCH('001-C DMR'!$BQ$11,'DMR 001C NEW'!$A$2:$O$2,0)),"")</f>
        <v/>
      </c>
      <c r="BW35" s="65"/>
      <c r="BX35" s="65"/>
      <c r="BY35" s="57" t="str">
        <f t="shared" si="10"/>
        <v/>
      </c>
      <c r="BZ35" s="58">
        <f t="array" ref="BZ35">_xlfn.IFNA((INDEX('DMR 001C NEW'!$A$3:$O$9999,MATCH(('001-C DMR'!$BY$6&amp;'001-C DMR'!$BY$10&amp;'001-C DMR'!$B35),('DMR 001C NEW'!$E$3:$E$7246&amp;'DMR 001C NEW'!$B$3:$B$7246&amp;'DMR 001C NEW'!$A$3:$A$7246),0),MATCH('001-C DMR'!$BZ$11,'DMR 001C NEW'!$A$2:$O$2,0))),"")</f>
        <v>0.6</v>
      </c>
      <c r="CA35" s="138">
        <f t="array" ref="CA35">_xlfn.IFNA(INDEX('DMR 001C NEW'!$A$3:$O$9999,MATCH(('001-C DMR'!$BY$6&amp;'001-C DMR'!$BY$10&amp;'001-C DMR'!$B35),('DMR 001C NEW'!$E$3:$E$7246&amp;'DMR 001C NEW'!$B$3:$B$7246&amp;'DMR 001C NEW'!$A$3:$A$7246),0),MATCH('001-C DMR'!$CA$11,'DMR 001C NEW'!$A$2:$O$2,0)),"")</f>
        <v>97.9</v>
      </c>
      <c r="CB35" s="57" t="str">
        <f t="shared" si="11"/>
        <v/>
      </c>
      <c r="CC35" s="58">
        <f t="array" ref="CC35">_xlfn.IFNA((INDEX('DMR 001C NEW'!$A$3:$O$9999,MATCH(('001-C DMR'!$BY$6&amp;'001-C DMR'!$CB$10&amp;'001-C DMR'!$B35),('DMR 001C NEW'!$E$3:$E$7246&amp;'DMR 001C NEW'!$B$3:$B$7246&amp;'DMR 001C NEW'!$A$3:$A$7246),0),MATCH('001-C DMR'!$BZ$11,'DMR 001C NEW'!$A$2:$O$2,0))),"")</f>
        <v>0.6</v>
      </c>
      <c r="CD35" s="138">
        <f t="array" ref="CD35">_xlfn.IFNA(INDEX('DMR 001C NEW'!$A$3:$O$9999,MATCH(('001-C DMR'!$BY$6&amp;'001-C DMR'!$CB$10&amp;'001-C DMR'!$B35),('DMR 001C NEW'!$E$3:$E$7246&amp;'DMR 001C NEW'!$B$3:$B$7246&amp;'DMR 001C NEW'!$A$3:$A$7246),0),MATCH('001-C DMR'!$CA$11,'DMR 001C NEW'!$A$2:$O$2,0)),"")</f>
        <v>104</v>
      </c>
      <c r="CE35" s="138">
        <f t="array" ref="CE35">IFERROR((($CA35*$EI35)+($CD35*$EJ35))/($EK35),"")</f>
        <v>102.24729751071011</v>
      </c>
      <c r="CF35" s="64" t="str">
        <f t="shared" si="33"/>
        <v/>
      </c>
      <c r="CG35" s="280" t="str">
        <f t="array" ref="CG35">_xlfn.IFNA(INDEX('DMR 001C NEW'!$A$3:$O$999,MATCH(('001-C DMR'!$BY$6&amp;'001-C DMR'!CG$10&amp;'001-C DMR'!$B35),('DMR 001C NEW'!$E$3:$E$1112&amp;'DMR 001C NEW'!$B$3:$B$1112&amp;'DMR 001C NEW'!$A$3:$A$1112),0),MATCH('001-C DMR'!$CA$11,'DMR 001C NEW'!$A$2:$O$2,0)),"")</f>
        <v/>
      </c>
      <c r="CH35" s="280" t="str">
        <f t="array" ref="CH35">_xlfn.IFNA(INDEX('DMR 001C NEW'!$A$3:$O$999,MATCH(('001-C DMR'!$BY$6&amp;'001-C DMR'!CH$10&amp;'001-C DMR'!$B35),('DMR 001C NEW'!$E$3:$E$1112&amp;'DMR 001C NEW'!$B$3:$B$1112&amp;'DMR 001C NEW'!$A$3:$A$1112),0),MATCH('001-C DMR'!$CA$11,'DMR 001C NEW'!$A$2:$O$2,0)),"")</f>
        <v/>
      </c>
      <c r="CI35" s="280" t="str">
        <f t="array" ref="CI35">_xlfn.IFNA(INDEX('DMR 001C NEW'!$A$3:$O$999,MATCH(('001-C DMR'!$BY$6&amp;'001-C DMR'!CI$10&amp;'001-C DMR'!$B35),('DMR 001C NEW'!$E$3:$E$1112&amp;'DMR 001C NEW'!$B$3:$B$1112&amp;'DMR 001C NEW'!$A$3:$A$1112),0),MATCH('001-C DMR'!$CA$11,'DMR 001C NEW'!$A$2:$O$2,0)),"")</f>
        <v/>
      </c>
      <c r="CJ35" s="280" t="str">
        <f t="array" ref="CJ35">_xlfn.IFNA(INDEX('DMR 001C NEW'!$A$3:$O$999,MATCH(('001-C DMR'!$BY$6&amp;'001-C DMR'!CJ$10&amp;'001-C DMR'!$B35),('DMR 001C NEW'!$E$3:$E$1112&amp;'DMR 001C NEW'!$B$3:$B$1112&amp;'DMR 001C NEW'!$A$3:$A$1112),0),MATCH('001-C DMR'!$CA$11,'DMR 001C NEW'!$A$2:$O$2,0)),"")</f>
        <v/>
      </c>
      <c r="CK35" s="280" t="str">
        <f t="array" ref="CK35">_xlfn.IFNA(INDEX('DMR 001C NEW'!$A$3:$O$999,MATCH(('001-C DMR'!$BY$6&amp;'001-C DMR'!CK$10&amp;'001-C DMR'!$B35),('DMR 001C NEW'!$E$3:$E$1112&amp;'DMR 001C NEW'!$B$3:$B$1112&amp;'DMR 001C NEW'!$A$3:$A$1112),0),MATCH('001-C DMR'!$CA$11,'DMR 001C NEW'!$A$2:$O$2,0)),"")</f>
        <v/>
      </c>
      <c r="CL35" s="280" t="str">
        <f t="array" ref="CL35">_xlfn.IFNA(INDEX('DMR 001C NEW'!$A$3:$O$999,MATCH(('001-C DMR'!$BY$6&amp;'001-C DMR'!CL$10&amp;'001-C DMR'!$B35),('DMR 001C NEW'!$E$3:$E$1112&amp;'DMR 001C NEW'!$B$3:$B$1112&amp;'DMR 001C NEW'!$A$3:$A$1112),0),MATCH('001-C DMR'!$CA$11,'DMR 001C NEW'!$A$2:$O$2,0)),"")</f>
        <v/>
      </c>
      <c r="CM35" s="61" t="str">
        <f t="shared" si="12"/>
        <v/>
      </c>
      <c r="CN35" s="138">
        <f t="array" ref="CN35">_xlfn.IFNA((INDEX('DMR 001C NEW'!$A$3:$O$9999,MATCH(('001-C DMR'!$CM$6&amp;'001-C DMR'!$CM$10&amp;'001-C DMR'!$B35),('DMR 001C NEW'!$E$3:$E$9018&amp;'DMR 001C NEW'!$B$3:$B$9018&amp;'DMR 001C NEW'!$A$3:$A$9018),0),MATCH('001-C DMR'!$CN$11,'DMR 001C NEW'!$A$2:$O$2,0))*1000),"")</f>
        <v>60</v>
      </c>
      <c r="CO35" s="138">
        <f t="array" ref="CO35">_xlfn.IFNA(INDEX('DMR 001C NEW'!$A$3:$O$9999,MATCH(('001-C DMR'!$CM$6&amp;'001-C DMR'!$CM$10&amp;'001-C DMR'!$B35),('DMR 001C NEW'!$E$3:$E$9018&amp;'DMR 001C NEW'!$B$3:$B$9018&amp;'DMR 001C NEW'!$A$3:$A$9018),0),MATCH('001-C DMR'!$CO$11,'DMR 001C NEW'!$A$2:$O$2,0))*1000,"")</f>
        <v>150</v>
      </c>
      <c r="CP35" s="138">
        <f t="shared" si="13"/>
        <v>150</v>
      </c>
      <c r="CQ35" s="64" t="str">
        <f t="shared" si="34"/>
        <v/>
      </c>
      <c r="CR35" s="280" t="str">
        <f t="array" ref="CR35">_xlfn.IFNA(INDEX('DMR 001C NEW'!$A$3:$O$999,MATCH(('001-C DMR'!$CM$6&amp;'001-C DMR'!CR$10&amp;'001-C DMR'!$B35),('DMR 001C NEW'!$E$3:$E$1112&amp;'DMR 001C NEW'!$B$3:$B$1112&amp;'DMR 001C NEW'!$A$3:$A$1112),0),MATCH('001-C DMR'!$CO$11,'DMR 001C NEW'!$A$2:$O$2,0)),"")</f>
        <v/>
      </c>
      <c r="CS35" s="280" t="str">
        <f t="array" ref="CS35">_xlfn.IFNA(INDEX('DMR 001C NEW'!$A$3:$O$999,MATCH(('001-C DMR'!$CM$6&amp;'001-C DMR'!CS$10&amp;'001-C DMR'!$B35),('DMR 001C NEW'!$E$3:$E$1112&amp;'DMR 001C NEW'!$B$3:$B$1112&amp;'DMR 001C NEW'!$A$3:$A$1112),0),MATCH('001-C DMR'!$CO$11,'DMR 001C NEW'!$A$2:$O$2,0)),"")</f>
        <v/>
      </c>
      <c r="CT35" s="280" t="str">
        <f t="array" ref="CT35">_xlfn.IFNA(INDEX('DMR 001C NEW'!$A$3:$O$999,MATCH(('001-C DMR'!$CM$6&amp;'001-C DMR'!CT$10&amp;'001-C DMR'!$B35),('DMR 001C NEW'!$E$3:$E$1112&amp;'DMR 001C NEW'!$B$3:$B$1112&amp;'DMR 001C NEW'!$A$3:$A$1112),0),MATCH('001-C DMR'!$CO$11,'DMR 001C NEW'!$A$2:$O$2,0)),"")</f>
        <v/>
      </c>
      <c r="CU35" s="280" t="str">
        <f t="array" ref="CU35">_xlfn.IFNA(INDEX('DMR 001C NEW'!$A$3:$O$999,MATCH(('001-C DMR'!$CM$6&amp;'001-C DMR'!CU$10&amp;'001-C DMR'!$B35),('DMR 001C NEW'!$E$3:$E$1112&amp;'DMR 001C NEW'!$B$3:$B$1112&amp;'DMR 001C NEW'!$A$3:$A$1112),0),MATCH('001-C DMR'!$CO$11,'DMR 001C NEW'!$A$2:$O$2,0)),"")</f>
        <v/>
      </c>
      <c r="CV35" s="280" t="str">
        <f t="array" ref="CV35">_xlfn.IFNA(INDEX('DMR 001C NEW'!$A$3:$O$999,MATCH(('001-C DMR'!$CM$6&amp;'001-C DMR'!CV$10&amp;'001-C DMR'!$B35),('DMR 001C NEW'!$E$3:$E$1112&amp;'DMR 001C NEW'!$B$3:$B$1112&amp;'DMR 001C NEW'!$A$3:$A$1112),0),MATCH('001-C DMR'!$CO$11,'DMR 001C NEW'!$A$2:$O$2,0)),"")</f>
        <v/>
      </c>
      <c r="CW35" s="280" t="str">
        <f t="array" ref="CW35">_xlfn.IFNA(INDEX('DMR 001C NEW'!$A$3:$O$999,MATCH(('001-C DMR'!$CM$6&amp;'001-C DMR'!CW$10&amp;'001-C DMR'!$B35),('DMR 001C NEW'!$E$3:$E$1112&amp;'DMR 001C NEW'!$B$3:$B$1112&amp;'DMR 001C NEW'!$A$3:$A$1112),0),MATCH('001-C DMR'!$CO$11,'DMR 001C NEW'!$A$2:$O$2,0)),"")</f>
        <v/>
      </c>
      <c r="CX35" s="280" t="str">
        <f t="array" ref="CX35">_xlfn.IFNA(INDEX('DMR 001C NEW'!$A$3:$O$999,MATCH(('001-C DMR'!$CM$6&amp;'001-C DMR'!CX$10&amp;'001-C DMR'!$B35),('DMR 001C NEW'!$E$3:$E$1112&amp;'DMR 001C NEW'!$B$3:$B$1112&amp;'DMR 001C NEW'!$A$3:$A$1112),0),MATCH('001-C DMR'!$CO$11,'DMR 001C NEW'!$A$2:$O$2,0)),"")</f>
        <v/>
      </c>
      <c r="CY35" s="61" t="str">
        <f t="shared" si="14"/>
        <v/>
      </c>
      <c r="CZ35" s="138">
        <f t="array" ref="CZ35">_xlfn.IFNA((INDEX('DMR 001C NEW'!$A$3:$O$9999,MATCH(('001-C DMR'!$CY$6&amp;'001-C DMR'!$CY$10&amp;'001-C DMR'!$B35),('DMR 001C NEW'!$E$3:$E$9018&amp;'DMR 001C NEW'!$B$3:$B$9018&amp;'DMR 001C NEW'!$A$3:$A$9018),0),MATCH('001-C DMR'!$CZ$11,'DMR 001C NEW'!$A$2:$O$2,0))*1000),"")</f>
        <v>21</v>
      </c>
      <c r="DA35" s="138">
        <f t="array" ref="DA35">_xlfn.IFNA(INDEX('DMR 001C NEW'!$A$3:$O$9999,MATCH(('001-C DMR'!$CY$6&amp;'001-C DMR'!$CY$10&amp;'001-C DMR'!$B35),('DMR 001C NEW'!$E$3:$E$9018&amp;'DMR 001C NEW'!$B$3:$B$9018&amp;'DMR 001C NEW'!$A$3:$A$9018),0),MATCH('001-C DMR'!$DA$11,'DMR 001C NEW'!$A$2:$O$2,0))*1000,"")</f>
        <v>58</v>
      </c>
      <c r="DB35" s="138">
        <f t="shared" si="15"/>
        <v>58</v>
      </c>
      <c r="DC35" s="64" t="str">
        <f t="shared" si="35"/>
        <v/>
      </c>
      <c r="DD35" s="280" t="str">
        <f t="array" ref="DD35">_xlfn.IFNA(INDEX('DMR 001C NEW'!$A$3:$O$999,MATCH(('001-C DMR'!$CY$6&amp;'001-C DMR'!DD$10&amp;'001-C DMR'!$B35),('DMR 001C NEW'!$E$3:$E$1112&amp;'DMR 001C NEW'!$B$3:$B$1112&amp;'DMR 001C NEW'!$A$3:$A$1112),0),MATCH('001-C DMR'!$DA$11,'DMR 001C NEW'!$A$2:$O$2,0)),"")</f>
        <v/>
      </c>
      <c r="DE35" s="280" t="str">
        <f t="array" ref="DE35">_xlfn.IFNA(INDEX('DMR 001C NEW'!$A$3:$O$999,MATCH(('001-C DMR'!$CY$6&amp;'001-C DMR'!DE$10&amp;'001-C DMR'!$B35),('DMR 001C NEW'!$E$3:$E$1112&amp;'DMR 001C NEW'!$B$3:$B$1112&amp;'DMR 001C NEW'!$A$3:$A$1112),0),MATCH('001-C DMR'!$DA$11,'DMR 001C NEW'!$A$2:$O$2,0)),"")</f>
        <v/>
      </c>
      <c r="DF35" s="280" t="str">
        <f t="array" ref="DF35">_xlfn.IFNA(INDEX('DMR 001C NEW'!$A$3:$O$999,MATCH(('001-C DMR'!$CY$6&amp;'001-C DMR'!DF$10&amp;'001-C DMR'!$B35),('DMR 001C NEW'!$E$3:$E$1112&amp;'DMR 001C NEW'!$B$3:$B$1112&amp;'DMR 001C NEW'!$A$3:$A$1112),0),MATCH('001-C DMR'!$DA$11,'DMR 001C NEW'!$A$2:$O$2,0)),"")</f>
        <v/>
      </c>
      <c r="DG35" s="280" t="str">
        <f t="array" ref="DG35">_xlfn.IFNA(INDEX('DMR 001C NEW'!$A$3:$O$999,MATCH(('001-C DMR'!$CY$6&amp;'001-C DMR'!DG$10&amp;'001-C DMR'!$B35),('DMR 001C NEW'!$E$3:$E$1112&amp;'DMR 001C NEW'!$B$3:$B$1112&amp;'DMR 001C NEW'!$A$3:$A$1112),0),MATCH('001-C DMR'!$DA$11,'DMR 001C NEW'!$A$2:$O$2,0)),"")</f>
        <v/>
      </c>
      <c r="DH35" s="280" t="str">
        <f t="array" ref="DH35">_xlfn.IFNA(INDEX('DMR 001C NEW'!$A$3:$O$999,MATCH(('001-C DMR'!$CY$6&amp;'001-C DMR'!DH$10&amp;'001-C DMR'!$B35),('DMR 001C NEW'!$E$3:$E$1112&amp;'DMR 001C NEW'!$B$3:$B$1112&amp;'DMR 001C NEW'!$A$3:$A$1112),0),MATCH('001-C DMR'!$DA$11,'DMR 001C NEW'!$A$2:$O$2,0)),"")</f>
        <v/>
      </c>
      <c r="DI35" s="280" t="str">
        <f t="array" ref="DI35">_xlfn.IFNA(INDEX('DMR 001C NEW'!$A$3:$O$999,MATCH(('001-C DMR'!$CY$6&amp;'001-C DMR'!DI$10&amp;'001-C DMR'!$B35),('DMR 001C NEW'!$E$3:$E$1112&amp;'DMR 001C NEW'!$B$3:$B$1112&amp;'DMR 001C NEW'!$A$3:$A$1112),0),MATCH('001-C DMR'!$DA$11,'DMR 001C NEW'!$A$2:$O$2,0)),"")</f>
        <v/>
      </c>
      <c r="DJ35" s="280" t="str">
        <f t="array" ref="DJ35">_xlfn.IFNA(INDEX('DMR 001C NEW'!$A$3:$O$999,MATCH(('001-C DMR'!$CY$6&amp;'001-C DMR'!DJ$10&amp;'001-C DMR'!$B35),('DMR 001C NEW'!$E$3:$E$1112&amp;'DMR 001C NEW'!$B$3:$B$1112&amp;'DMR 001C NEW'!$A$3:$A$1112),0),MATCH('001-C DMR'!$DA$11,'DMR 001C NEW'!$A$2:$O$2,0)),"")</f>
        <v/>
      </c>
      <c r="DK35" s="61" t="str">
        <f t="shared" si="16"/>
        <v/>
      </c>
      <c r="DL35" s="58">
        <f t="array" ref="DL35">_xlfn.IFNA((INDEX('DMR 001C NEW'!$A$3:$O$9999,MATCH(('001-C DMR'!$DK$6&amp;'001-C DMR'!$DK$10&amp;'001-C DMR'!$B35),('DMR 001C NEW'!$E$3:$E$9018&amp;'DMR 001C NEW'!$B$3:$B$9018&amp;'DMR 001C NEW'!$A$3:$A$9018),0),MATCH('001-C DMR'!$DL$11,'DMR 001C NEW'!$A$2:$O$2,0))),"")</f>
        <v>0.05</v>
      </c>
      <c r="DM35" s="58">
        <f t="array" ref="DM35">_xlfn.IFNA(INDEX('DMR 001C NEW'!$A$3:$O$9999,MATCH(('001-C DMR'!$DK$6&amp;'001-C DMR'!$DK$10&amp;'001-C DMR'!$B35),('DMR 001C NEW'!$E$3:$E$9018&amp;'DMR 001C NEW'!$B$3:$B$9018&amp;'DMR 001C NEW'!$A$3:$A$9018),0),MATCH('001-C DMR'!$DM$11,'DMR 001C NEW'!$A$2:$O$2,0)),"")</f>
        <v>0.14000000000000001</v>
      </c>
      <c r="DN35" s="58">
        <f t="shared" si="17"/>
        <v>0.14000000000000001</v>
      </c>
      <c r="DO35" s="223"/>
      <c r="DP35" s="224"/>
      <c r="DQ35" s="64" t="str">
        <f t="shared" si="18"/>
        <v/>
      </c>
      <c r="DR35" s="280" t="str">
        <f t="array" ref="DR35">_xlfn.IFNA(INDEX('DMR 001C NEW'!$A$3:$O$999,MATCH(('001-C DMR'!$DK$6&amp;'001-C DMR'!DR$10&amp;'001-C DMR'!$B35),('DMR 001C NEW'!$E$3:$E$1112&amp;'DMR 001C NEW'!$B$3:$B$1112&amp;'DMR 001C NEW'!$A$3:$A$1112),0),MATCH('001-C DMR'!$DR$11,'DMR 001C NEW'!$A$2:$O$2,0)),"")</f>
        <v/>
      </c>
      <c r="DS35" s="280" t="str">
        <f t="array" ref="DS35">_xlfn.IFNA(INDEX('DMR 001C NEW'!$A$3:$O$999,MATCH(('001-C DMR'!$DK$6&amp;'001-C DMR'!DS$10&amp;'001-C DMR'!$B35),('DMR 001C NEW'!$E$3:$E$1112&amp;'DMR 001C NEW'!$B$3:$B$1112&amp;'DMR 001C NEW'!$A$3:$A$1112),0),MATCH('001-C DMR'!$DR$11,'DMR 001C NEW'!$A$2:$O$2,0)),"")</f>
        <v/>
      </c>
      <c r="DT35" s="280" t="str">
        <f t="array" ref="DT35">_xlfn.IFNA(INDEX('DMR 001C NEW'!$A$3:$O$999,MATCH(('001-C DMR'!$DK$6&amp;'001-C DMR'!DT$10&amp;'001-C DMR'!$B35),('DMR 001C NEW'!$E$3:$E$1112&amp;'DMR 001C NEW'!$B$3:$B$1112&amp;'DMR 001C NEW'!$A$3:$A$1112),0),MATCH('001-C DMR'!$DR$11,'DMR 001C NEW'!$A$2:$O$2,0)),"")</f>
        <v/>
      </c>
      <c r="DU35" s="280" t="str">
        <f t="array" ref="DU35">_xlfn.IFNA(INDEX('DMR 001C NEW'!$A$3:$O$999,MATCH(('001-C DMR'!$DK$6&amp;'001-C DMR'!DU$10&amp;'001-C DMR'!$B35),('DMR 001C NEW'!$E$3:$E$1112&amp;'DMR 001C NEW'!$B$3:$B$1112&amp;'DMR 001C NEW'!$A$3:$A$1112),0),MATCH('001-C DMR'!$DR$11,'DMR 001C NEW'!$A$2:$O$2,0)),"")</f>
        <v/>
      </c>
      <c r="DV35" s="280" t="str">
        <f t="array" ref="DV35">_xlfn.IFNA(INDEX('DMR 001C NEW'!$A$3:$O$999,MATCH(('001-C DMR'!$DK$6&amp;'001-C DMR'!DV$10&amp;'001-C DMR'!$B35),('DMR 001C NEW'!$E$3:$E$1112&amp;'DMR 001C NEW'!$B$3:$B$1112&amp;'DMR 001C NEW'!$A$3:$A$1112),0),MATCH('001-C DMR'!$DR$11,'DMR 001C NEW'!$A$2:$O$2,0)),"")</f>
        <v/>
      </c>
      <c r="DW35" s="280" t="str">
        <f t="array" ref="DW35">_xlfn.IFNA(INDEX('DMR 001C NEW'!$A$3:$O$999,MATCH(('001-C DMR'!$DK$6&amp;'001-C DMR'!DW$10&amp;'001-C DMR'!$B35),('DMR 001C NEW'!$E$3:$E$1112&amp;'DMR 001C NEW'!$B$3:$B$1112&amp;'DMR 001C NEW'!$A$3:$A$1112),0),MATCH('001-C DMR'!$DR$11,'DMR 001C NEW'!$A$2:$O$2,0)),"")</f>
        <v/>
      </c>
      <c r="DX35" s="280" t="str">
        <f t="array" ref="DX35">_xlfn.IFNA(INDEX('DMR 001C NEW'!$A$3:$O$999,MATCH(('001-C DMR'!$DK$6&amp;'001-C DMR'!DX$10&amp;'001-C DMR'!$B35),('DMR 001C NEW'!$E$3:$E$1112&amp;'DMR 001C NEW'!$B$3:$B$1112&amp;'DMR 001C NEW'!$A$3:$A$1112),0),MATCH('001-C DMR'!$DR$11,'DMR 001C NEW'!$A$2:$O$2,0)),"")</f>
        <v/>
      </c>
      <c r="DY35" s="61" t="str">
        <f t="shared" si="28"/>
        <v/>
      </c>
      <c r="DZ35" s="249" t="str">
        <f t="array" ref="DZ35">_xlfn.IFNA((INDEX('DMR 001C NEW'!$A$3:$O$9999,MATCH(('001-C DMR'!$DY$6&amp;'001-C DMR'!$DY$10&amp;'001-C DMR'!$B35),('DMR 001C NEW'!$E$3:$E$9018&amp;'DMR 001C NEW'!$B$3:$B$9018&amp;'DMR 001C NEW'!$A$3:$A$9018),0),MATCH('001-C DMR'!$DZ$11,'DMR 001C NEW'!$A$2:$O$2,0))),"")</f>
        <v/>
      </c>
      <c r="EA35" s="249" t="str">
        <f t="array" ref="EA35">_xlfn.IFNA((INDEX('DMR 001C NEW'!$A$3:$O$9999,MATCH(('001-C DMR'!$DY$6&amp;'001-C DMR'!$DY$10&amp;'001-C DMR'!$B35),('DMR 001C NEW'!$E$3:$E$9018&amp;'DMR 001C NEW'!$B$3:$B$9018&amp;'DMR 001C NEW'!$A$3:$A$9018),0),MATCH('001-C DMR'!$EA$11,'DMR 001C NEW'!$A$2:$O$2,0))),"")</f>
        <v/>
      </c>
      <c r="EB35" s="249" t="str">
        <f t="array" ref="EB35">IF(EA35="SCRATCHED","",IF(EA35&lt;DZ35,0,EA35))</f>
        <v/>
      </c>
      <c r="EC35" s="249" t="str">
        <f t="shared" si="29"/>
        <v/>
      </c>
      <c r="ED35" s="249" t="str">
        <f t="array" ref="ED35">_xlfn.IFNA((INDEX('DMR 001C NEW'!$A$3:$O$9999,MATCH(('001-C DMR'!$DY$6&amp;'001-C DMR'!$EC$10&amp;'001-C DMR'!$B35),('DMR 001C NEW'!$E$3:$E$9018&amp;'DMR 001C NEW'!$B$3:$B$9018&amp;'DMR 001C NEW'!$A$3:$A$9018),0),MATCH('001-C DMR'!$DZ$11,'DMR 001C NEW'!$A$2:$O$2,0))),"")</f>
        <v/>
      </c>
      <c r="EE35" s="249" t="str">
        <f t="array" ref="EE35">_xlfn.IFNA((INDEX('DMR 001C NEW'!$A$3:$O$9999,MATCH(('001-C DMR'!$DY$6&amp;'001-C DMR'!$EC$10&amp;'001-C DMR'!$B35),('DMR 001C NEW'!$E$3:$E$9018&amp;'DMR 001C NEW'!$B$3:$B$9018&amp;'DMR 001C NEW'!$A$3:$A$9018),0),MATCH('001-C DMR'!$EE$11,'DMR 001C NEW'!$A$2:$O$2,0))),"")</f>
        <v/>
      </c>
      <c r="EF35" s="249" t="str">
        <f t="array" ref="EF35">IF(EE35="SCRATCHED","",IF(EE35&lt;ED35,0,EE35))</f>
        <v/>
      </c>
      <c r="EG35" s="249"/>
      <c r="EH35" s="195"/>
      <c r="EI35" s="194">
        <f t="array" ref="EI35">_xlfn.IFNA(INDEX('DMR Flows-Effluent'!$A$3:$F$186,MATCH(($EI$10&amp;$B35),('DMR Flows-Effluent'!$B$3:$B$186&amp;'DMR Flows-Effluent'!$A$3:$A$186),0),MATCH($EI$8,'DMR Flows-Effluent'!$A$2:$F$2,0)),"")</f>
        <v>34.386499999999998</v>
      </c>
      <c r="EJ35" s="56">
        <f t="array" ref="EJ35">_xlfn.IFNA(INDEX('DMR Flows-Effluent'!$A$3:$F$186,MATCH(($EJ$10&amp;$B35),('DMR Flows-Effluent'!$B$3:$B$186&amp;'DMR Flows-Effluent'!$A$3:$A$186),0),MATCH($EI$8,'DMR Flows-Effluent'!$A$2:$F$2,0)),"")</f>
        <v>85.290199999999999</v>
      </c>
      <c r="EK35" s="168">
        <f t="shared" si="19"/>
        <v>119.6767</v>
      </c>
      <c r="EL35" s="63"/>
      <c r="EM35" s="63"/>
      <c r="EN35" s="63"/>
      <c r="EO35" s="63"/>
      <c r="EP35" s="62"/>
      <c r="EQ35" s="157">
        <f>'E.Coli Calculations'!R29</f>
        <v>99.651261991750047</v>
      </c>
      <c r="ER35" s="56"/>
      <c r="ES35" s="64" t="str">
        <f t="shared" si="36"/>
        <v/>
      </c>
      <c r="ET35" s="61" t="str">
        <f t="shared" si="20"/>
        <v/>
      </c>
      <c r="EU35" s="58" t="str">
        <f t="array" ref="EU35">_xlfn.IFNA((INDEX('DMR 001C NEW'!$A$3:$O$9999,MATCH(('001-C DMR'!$ET$6&amp;'001-C DMR'!$ET$10&amp;'001-C DMR'!$B35),('DMR 001C NEW'!$E$3:$E$9018&amp;'DMR 001C NEW'!$B$3:$B$9018&amp;'DMR 001C NEW'!$A$3:$A$9018),0),MATCH('001-C DMR'!$EU$11,'DMR 001C NEW'!$A$2:$O$2,0))),"")</f>
        <v/>
      </c>
      <c r="EV35" s="58" t="str">
        <f t="array" ref="EV35">_xlfn.IFNA(INDEX('DMR 001C NEW'!$A$3:$O$9999,MATCH(('001-C DMR'!$ET$6&amp;'001-C DMR'!$ET$10&amp;'001-C DMR'!$B35),('DMR 001C NEW'!$E$3:$E$9018&amp;'DMR 001C NEW'!$B$3:$B$9018&amp;'DMR 001C NEW'!$A$3:$A$9018),0),MATCH('001-C DMR'!$EV$11,'DMR 001C NEW'!$A$2:$O$2,0)),"")</f>
        <v/>
      </c>
      <c r="EW35" s="56" t="str">
        <f t="shared" si="21"/>
        <v/>
      </c>
      <c r="EX35" s="64"/>
      <c r="EY35" s="279" t="str">
        <f t="array" ref="EY35">_xlfn.IFNA(INDEX('DMR 001C NEW'!$A$3:$O$999,MATCH(('001-C DMR'!$ET$6&amp;'001-C DMR'!EY$10&amp;'001-C DMR'!$B35),('DMR 001C NEW'!$E$3:$E$1112&amp;'DMR 001C NEW'!$B$3:$B$1112&amp;'DMR 001C NEW'!$A$3:$A$1112),0),MATCH('001-C DMR'!$EY$11,'DMR 001C NEW'!$A$2:$O$2,0)),"")</f>
        <v/>
      </c>
      <c r="EZ35" s="280" t="str">
        <f t="array" ref="EZ35">_xlfn.IFNA(INDEX('DMR 001C NEW'!$A$3:$O$999,MATCH(('001-C DMR'!$ET$6&amp;'001-C DMR'!EZ$10&amp;'001-C DMR'!$B35),('DMR 001C NEW'!$E$3:$E$1112&amp;'DMR 001C NEW'!$B$3:$B$1112&amp;'DMR 001C NEW'!$A$3:$A$1112),0),MATCH('001-C DMR'!$EY$11,'DMR 001C NEW'!$A$2:$O$2,0)),"")</f>
        <v/>
      </c>
      <c r="FA35" s="280" t="str">
        <f t="array" ref="FA35">_xlfn.IFNA(INDEX('DMR 001C NEW'!$A$3:$O$999,MATCH(('001-C DMR'!$ET$6&amp;'001-C DMR'!FA$10&amp;'001-C DMR'!$B35),('DMR 001C NEW'!$E$3:$E$1112&amp;'DMR 001C NEW'!$B$3:$B$1112&amp;'DMR 001C NEW'!$A$3:$A$1112),0),MATCH('001-C DMR'!$EY$11,'DMR 001C NEW'!$A$2:$O$2,0)),"")</f>
        <v/>
      </c>
      <c r="FB35" s="280" t="str">
        <f t="array" ref="FB35">_xlfn.IFNA(INDEX('DMR 001C NEW'!$A$3:$O$999,MATCH(('001-C DMR'!$ET$6&amp;'001-C DMR'!FB$10&amp;'001-C DMR'!$B35),('DMR 001C NEW'!$E$3:$E$1112&amp;'DMR 001C NEW'!$B$3:$B$1112&amp;'DMR 001C NEW'!$A$3:$A$1112),0),MATCH('001-C DMR'!$EY$11,'DMR 001C NEW'!$A$2:$O$2,0)),"")</f>
        <v/>
      </c>
      <c r="FC35" s="280" t="str">
        <f t="array" ref="FC35">_xlfn.IFNA(INDEX('DMR 001C NEW'!$A$3:$O$999,MATCH(('001-C DMR'!$ET$6&amp;'001-C DMR'!FC$10&amp;'001-C DMR'!$B35),('DMR 001C NEW'!$E$3:$E$1112&amp;'DMR 001C NEW'!$B$3:$B$1112&amp;'DMR 001C NEW'!$A$3:$A$1112),0),MATCH('001-C DMR'!$EY$11,'DMR 001C NEW'!$A$2:$O$2,0)),"")</f>
        <v/>
      </c>
      <c r="FD35" s="280" t="str">
        <f t="array" ref="FD35">_xlfn.IFNA(INDEX('DMR 001C NEW'!$A$3:$O$999,MATCH(('001-C DMR'!$ET$6&amp;'001-C DMR'!FD$10&amp;'001-C DMR'!$B35),('DMR 001C NEW'!$E$3:$E$1112&amp;'DMR 001C NEW'!$B$3:$B$1112&amp;'DMR 001C NEW'!$A$3:$A$1112),0),MATCH('001-C DMR'!$EY$11,'DMR 001C NEW'!$A$2:$O$2,0)),"")</f>
        <v/>
      </c>
      <c r="FE35" s="281" t="str">
        <f t="array" ref="FE35">_xlfn.IFNA(INDEX('DMR 001C NEW'!$A$3:$O$999,MATCH(('001-C DMR'!$ET$6&amp;'001-C DMR'!FE$10&amp;'001-C DMR'!$B35),('DMR 001C NEW'!$E$3:$E$1112&amp;'DMR 001C NEW'!$B$3:$B$1112&amp;'DMR 001C NEW'!$A$3:$A$1112),0),MATCH('001-C DMR'!$EY$11,'DMR 001C NEW'!$A$2:$O$2,0)),"")</f>
        <v/>
      </c>
      <c r="FF35" s="57" t="str">
        <f t="shared" si="22"/>
        <v/>
      </c>
      <c r="FG35" s="56">
        <f t="array" ref="FG35">_xlfn.IFNA(INDEX('DMR 001C NEW'!$A$3:$O$9999,MATCH(('001-C DMR'!$FF$6&amp;'001-C DMR'!$FF$10&amp;'001-C DMR'!$B35),('DMR 001C NEW'!$E$3:$E$7246&amp;'DMR 001C NEW'!$B$3:$B$7246&amp;'DMR 001C NEW'!$A$3:$A$7246),0),MATCH('001-C DMR'!$FG$11,'DMR 001C NEW'!$A$2:$O$2,0)),"")</f>
        <v>0</v>
      </c>
      <c r="FH35" s="56">
        <f t="array" ref="FH35">_xlfn.IFNA(INDEX('DMR 001C NEW'!$A$3:$O$9999,MATCH(('001-C DMR'!$FF$6&amp;'001-C DMR'!$FF$10&amp;'001-C DMR'!$B35),('DMR 001C NEW'!$E$3:$E$7246&amp;'DMR 001C NEW'!$B$3:$B$7246&amp;'DMR 001C NEW'!$A$3:$A$7246),0),MATCH('001-C DMR'!$FH$11,'DMR 001C NEW'!$A$2:$O$2,0)),"")</f>
        <v>3</v>
      </c>
      <c r="FI35" s="57" t="str">
        <f t="shared" si="23"/>
        <v/>
      </c>
      <c r="FJ35" s="56">
        <f t="array" ref="FJ35">_xlfn.IFNA(INDEX('DMR 001C NEW'!$A$3:$O$9999,MATCH(('001-C DMR'!$FF$6&amp;'001-C DMR'!$FI$10&amp;'001-C DMR'!$B35),('DMR 001C NEW'!$E$3:$E$7246&amp;'DMR 001C NEW'!$B$3:$B$7246&amp;'DMR 001C NEW'!$A$3:$A$7246),0),MATCH('001-C DMR'!$FG$11,'DMR 001C NEW'!$A$2:$O$2,0)),"")</f>
        <v>1</v>
      </c>
      <c r="FK35" s="56">
        <f t="array" ref="FK35">_xlfn.IFNA(INDEX('DMR 001C NEW'!$A$3:$O$9999,MATCH(('001-C DMR'!$FF$6&amp;'001-C DMR'!$FI$10&amp;'001-C DMR'!$B35),('DMR 001C NEW'!$E$3:$E$7246&amp;'DMR 001C NEW'!$B$3:$B$7246&amp;'DMR 001C NEW'!$A$3:$A$7246),0),MATCH('001-C DMR'!$FH$11,'DMR 001C NEW'!$A$2:$O$2,0)),"")</f>
        <v>6</v>
      </c>
      <c r="FL35" s="56">
        <f t="array" ref="FL35">IFERROR((($FH35*$EI35)+($FK35*$EJ35))/($EK35),"")</f>
        <v>5.1380151692016911</v>
      </c>
      <c r="FM35" s="56" t="str">
        <f t="shared" si="43"/>
        <v/>
      </c>
      <c r="FN35" s="64" t="str">
        <f t="shared" si="37"/>
        <v/>
      </c>
      <c r="FO35" s="66"/>
      <c r="FP35" s="280" t="str">
        <f t="array" ref="FP35">_xlfn.IFNA(INDEX('DMR 001C NEW'!$A$3:$O$999,MATCH(('001-C DMR'!$FF$6&amp;'001-C DMR'!FP$10&amp;'001-C DMR'!$B35),('DMR 001C NEW'!$E$3:$E$1112&amp;'DMR 001C NEW'!$B$3:$B$1112&amp;'DMR 001C NEW'!$A$3:$A$1112),0),MATCH('001-C DMR'!$FH$11,'DMR 001C NEW'!$A$2:$O$2,0)),"")</f>
        <v/>
      </c>
      <c r="FQ35" s="280" t="str">
        <f t="array" ref="FQ35">_xlfn.IFNA(INDEX('DMR 001C NEW'!$A$3:$O$999,MATCH(('001-C DMR'!$FF$6&amp;'001-C DMR'!FQ$10&amp;'001-C DMR'!$B35),('DMR 001C NEW'!$E$3:$E$1112&amp;'DMR 001C NEW'!$B$3:$B$1112&amp;'DMR 001C NEW'!$A$3:$A$1112),0),MATCH('001-C DMR'!$FH$11,'DMR 001C NEW'!$A$2:$O$2,0)),"")</f>
        <v/>
      </c>
      <c r="FR35" s="280" t="str">
        <f t="array" ref="FR35">_xlfn.IFNA(INDEX('DMR 001C NEW'!$A$3:$O$999,MATCH(('001-C DMR'!$FF$6&amp;'001-C DMR'!FR$10&amp;'001-C DMR'!$B35),('DMR 001C NEW'!$E$3:$E$1112&amp;'DMR 001C NEW'!$B$3:$B$1112&amp;'DMR 001C NEW'!$A$3:$A$1112),0),MATCH('001-C DMR'!$FH$11,'DMR 001C NEW'!$A$2:$O$2,0)),"")</f>
        <v/>
      </c>
      <c r="FS35" s="280" t="str">
        <f t="array" ref="FS35">_xlfn.IFNA(INDEX('DMR 001C NEW'!$A$3:$O$999,MATCH(('001-C DMR'!$FF$6&amp;'001-C DMR'!FS$10&amp;'001-C DMR'!$B35),('DMR 001C NEW'!$E$3:$E$1112&amp;'DMR 001C NEW'!$B$3:$B$1112&amp;'DMR 001C NEW'!$A$3:$A$1112),0),MATCH('001-C DMR'!$FH$11,'DMR 001C NEW'!$A$2:$O$2,0)),"")</f>
        <v/>
      </c>
      <c r="FT35" s="280" t="str">
        <f t="array" ref="FT35">_xlfn.IFNA(INDEX('DMR 001C NEW'!$A$3:$O$999,MATCH(('001-C DMR'!$FF$6&amp;'001-C DMR'!FT$10&amp;'001-C DMR'!$B35),('DMR 001C NEW'!$E$3:$E$1112&amp;'DMR 001C NEW'!$B$3:$B$1112&amp;'DMR 001C NEW'!$A$3:$A$1112),0),MATCH('001-C DMR'!$FH$11,'DMR 001C NEW'!$A$2:$O$2,0)),"")</f>
        <v/>
      </c>
      <c r="FU35" s="280" t="str">
        <f t="array" ref="FU35">_xlfn.IFNA(INDEX('DMR 001C NEW'!$A$3:$O$999,MATCH(('001-C DMR'!$FF$6&amp;'001-C DMR'!FU$10&amp;'001-C DMR'!$B35),('DMR 001C NEW'!$E$3:$E$1112&amp;'DMR 001C NEW'!$B$3:$B$1112&amp;'DMR 001C NEW'!$A$3:$A$1112),0),MATCH('001-C DMR'!$FH$11,'DMR 001C NEW'!$A$2:$O$2,0)),"")</f>
        <v/>
      </c>
      <c r="FV35" s="66"/>
      <c r="FW35" s="61" t="str">
        <f t="shared" si="24"/>
        <v/>
      </c>
      <c r="FX35" s="58">
        <f t="array" ref="FX35">_xlfn.IFNA(INDEX('DMR 001C NEW'!$A$3:$O$9999,MATCH(('001-C DMR'!$FW$6&amp;'001-C DMR'!$FW$10&amp;'001-C DMR'!$B35),('DMR 001C NEW'!$E$3:$E$7246&amp;'DMR 001C NEW'!$B$3:$B$7246&amp;'DMR 001C NEW'!$A$3:$A$7246),0),MATCH('001-C DMR'!$FX$11,'DMR 001C NEW'!$A$2:$O$2,0)),"")</f>
        <v>0.6</v>
      </c>
      <c r="FY35" s="58">
        <f t="array" ref="FY35">_xlfn.IFNA(INDEX('DMR 001C NEW'!$A$3:$O$9999,MATCH(('001-C DMR'!$FW$6&amp;'001-C DMR'!$FW$10&amp;'001-C DMR'!$B35),('DMR 001C NEW'!$E$3:$E$7246&amp;'DMR 001C NEW'!$B$3:$B$7246&amp;'DMR 001C NEW'!$A$3:$A$7246),0),MATCH('001-C DMR'!$FY$11,'DMR 001C NEW'!$A$2:$O$2,0)),"")</f>
        <v>108</v>
      </c>
      <c r="FZ35" s="57" t="str">
        <f t="shared" si="25"/>
        <v/>
      </c>
      <c r="GA35" s="58">
        <f t="array" ref="GA35">_xlfn.IFNA(INDEX('DMR 001C NEW'!$A$3:$O$9999,MATCH(('001-C DMR'!$FW$6&amp;'001-C DMR'!$FZ$10&amp;'001-C DMR'!$B35),('DMR 001C NEW'!$E$3:$E$7246&amp;'DMR 001C NEW'!$B$3:$B$7246&amp;'DMR 001C NEW'!$A$3:$A$7246),0),MATCH('001-C DMR'!$FX$11,'DMR 001C NEW'!$A$2:$O$2,0)),"")</f>
        <v>0.6</v>
      </c>
      <c r="GB35" s="58">
        <f t="array" ref="GB35">_xlfn.IFNA(INDEX('DMR 001C NEW'!$A$3:$O$9999,MATCH(('001-C DMR'!$FW$6&amp;'001-C DMR'!$FZ$10&amp;'001-C DMR'!$B35),('DMR 001C NEW'!$E$3:$E$7246&amp;'DMR 001C NEW'!$B$3:$B$7246&amp;'DMR 001C NEW'!$A$3:$A$7246),0),MATCH('001-C DMR'!$GB$11,'DMR 001C NEW'!$A$2:$O$2,0)),"")</f>
        <v>120</v>
      </c>
      <c r="GC35" s="56">
        <f t="shared" si="4"/>
        <v>116.55206067680678</v>
      </c>
      <c r="GD35" s="64" t="str">
        <f t="shared" si="38"/>
        <v/>
      </c>
      <c r="GE35" s="279" t="str">
        <f t="array" ref="GE35">_xlfn.IFNA(INDEX('DMR 001C NEW'!$A$3:$O$999,MATCH(('001-C DMR'!$FW$6&amp;'001-C DMR'!GE$10&amp;'001-C DMR'!$B35),('DMR 001C NEW'!$E$3:$E$1112&amp;'DMR 001C NEW'!$B$3:$B$1112&amp;'DMR 001C NEW'!$A$3:$A$1112),0),MATCH('001-C DMR'!$FY$11,'DMR 001C NEW'!$A$2:$O$2,0)),"")</f>
        <v/>
      </c>
      <c r="GF35" s="280" t="str">
        <f t="array" ref="GF35">_xlfn.IFNA(INDEX('DMR 001C NEW'!$A$3:$O$999,MATCH(('001-C DMR'!$FW$6&amp;'001-C DMR'!GF$10&amp;'001-C DMR'!$B35),('DMR 001C NEW'!$E$3:$E$1112&amp;'DMR 001C NEW'!$B$3:$B$1112&amp;'DMR 001C NEW'!$A$3:$A$1112),0),MATCH('001-C DMR'!$FY$11,'DMR 001C NEW'!$A$2:$O$2,0)),"")</f>
        <v/>
      </c>
      <c r="GG35" s="280" t="str">
        <f t="array" ref="GG35">_xlfn.IFNA(INDEX('DMR 001C NEW'!$A$3:$O$999,MATCH(('001-C DMR'!$FW$6&amp;'001-C DMR'!GG$10&amp;'001-C DMR'!$B35),('DMR 001C NEW'!$E$3:$E$1112&amp;'DMR 001C NEW'!$B$3:$B$1112&amp;'DMR 001C NEW'!$A$3:$A$1112),0),MATCH('001-C DMR'!$FY$11,'DMR 001C NEW'!$A$2:$O$2,0)),"")</f>
        <v/>
      </c>
      <c r="GH35" s="280" t="str">
        <f t="array" ref="GH35">_xlfn.IFNA(INDEX('DMR 001C NEW'!$A$3:$O$999,MATCH(('001-C DMR'!$FW$6&amp;'001-C DMR'!GH$10&amp;'001-C DMR'!$B35),('DMR 001C NEW'!$E$3:$E$1112&amp;'DMR 001C NEW'!$B$3:$B$1112&amp;'DMR 001C NEW'!$A$3:$A$1112),0),MATCH('001-C DMR'!$FY$11,'DMR 001C NEW'!$A$2:$O$2,0)),"")</f>
        <v/>
      </c>
      <c r="GI35" s="280" t="str">
        <f t="array" ref="GI35">_xlfn.IFNA(INDEX('DMR 001C NEW'!$A$3:$O$999,MATCH(('001-C DMR'!$FW$6&amp;'001-C DMR'!GI$10&amp;'001-C DMR'!$B35),('DMR 001C NEW'!$E$3:$E$1112&amp;'DMR 001C NEW'!$B$3:$B$1112&amp;'DMR 001C NEW'!$A$3:$A$1112),0),MATCH('001-C DMR'!$FY$11,'DMR 001C NEW'!$A$2:$O$2,0)),"")</f>
        <v/>
      </c>
      <c r="GJ35" s="281" t="str">
        <f t="array" ref="GJ35">_xlfn.IFNA(INDEX('DMR 001C NEW'!$A$3:$O$999,MATCH(('001-C DMR'!$FW$6&amp;'001-C DMR'!GJ$10&amp;'001-C DMR'!$B35),('DMR 001C NEW'!$E$3:$E$1112&amp;'DMR 001C NEW'!$B$3:$B$1112&amp;'DMR 001C NEW'!$A$3:$A$1112),0),MATCH('001-C DMR'!$FY$11,'DMR 001C NEW'!$A$2:$O$2,0)),"")</f>
        <v/>
      </c>
      <c r="GK35" s="58" t="str">
        <f t="array" ref="GK35">_xlfn.IFNA(INDEX('DMR 001C NEW'!$A$3:$O$9999,MATCH(('001-C DMR'!$GK$6&amp;'001-C DMR'!$GK$10&amp;'001-C DMR'!$B35),('DMR 001C NEW'!$E$3:$E$9018&amp;'DMR 001C NEW'!$B$3:$B$9018&amp;'DMR 001C NEW'!$A$3:$A$9018),0),MATCH('001-C DMR'!$GK$11,'DMR 001C NEW'!$A$2:$O$2,0)),"")</f>
        <v>n</v>
      </c>
      <c r="GL35" s="58" t="str">
        <f t="array" ref="GL35">_xlfn.IFNA(INDEX('DMR 001C NEW'!$A$3:$O$9999,MATCH(('001-C DMR'!$GK$6&amp;'001-C DMR'!$GL$10&amp;'001-C DMR'!$B35),('DMR 001C NEW'!$E$3:$E$9018&amp;'DMR 001C NEW'!$B$3:$B$9018&amp;'DMR 001C NEW'!$A$3:$A$9018),0),MATCH('001-C DMR'!$GK$11,'DMR 001C NEW'!$A$2:$O$2,0)),"")</f>
        <v>n</v>
      </c>
      <c r="GM35" s="134"/>
      <c r="GN35" s="64" t="str">
        <f t="shared" si="44"/>
        <v/>
      </c>
    </row>
    <row r="36" spans="1:196" s="51" customFormat="1" x14ac:dyDescent="0.25">
      <c r="A36" s="67" t="str">
        <f t="shared" si="5"/>
        <v>Wed</v>
      </c>
      <c r="B36" s="216">
        <f t="shared" si="26"/>
        <v>43698</v>
      </c>
      <c r="C36" s="93">
        <f t="array" ref="C36">INDEX('DMR 001C NEW'!$A$3:$N$10020,MATCH(('001-C DMR'!$C$6:$K$6&amp;'001-C DMR'!$C$10:$E$10&amp;'001-C DMR'!$B36),('DMR 001C NEW'!$E$3:$E$7246&amp;'DMR 001C NEW'!$B$3:$B$7246&amp;'DMR 001C NEW'!$A$3:$A$7246),0),MATCH('001-C DMR'!$C$11,'DMR 001C NEW'!$A$2:$O$2,0))</f>
        <v>5.7</v>
      </c>
      <c r="D36" s="56" t="str">
        <f t="array" ref="D36">INDEX('DMR 001C NEW'!$A$3:$N$11771,MATCH(('001-C DMR'!$C$6:$K$6&amp;'001-C DMR'!$C$10:$E$10&amp;'001-C DMR'!$B36),('DMR 001C NEW'!$E$3:$E$9018&amp;'DMR 001C NEW'!$B$3:$B$9018&amp;'DMR 001C NEW'!$A$3:$A$9018),0),MATCH('001-C DMR'!$D$11,'DMR 001C NEW'!$A$2:$O$2,0))</f>
        <v>AE69973</v>
      </c>
      <c r="E36" s="56">
        <f t="array" ref="E36">INDEX('DMR 001C NEW'!$A$3:$N$9999,MATCH(('001-C DMR'!$E$11&amp;'001-C DMR'!$C$10:$E$10&amp;'001-C DMR'!$B36&amp;$D36),('DMR 001C NEW'!$E$3:$E$7246&amp;'DMR 001C NEW'!$B$3:$B$7246&amp;'DMR 001C NEW'!$A$3:$A$7246&amp;'DMR 001C NEW'!$M$3:$M$7188),0),MATCH($C$11,'DMR 001C NEW'!$A$2:$O$2,0))</f>
        <v>46.53</v>
      </c>
      <c r="F36" s="56">
        <f t="array" ref="F36">INDEX('DMR 001C NEW'!$A$3:$N$9999,MATCH('001-C DMR'!$C$6:$K$6&amp;'001-C DMR'!$F$10&amp;'001-C DMR'!$B36,('DMR 001C NEW'!$E$3:$E$7246&amp;'DMR 001C NEW'!$B$3:$B$7246&amp;'DMR 001C NEW'!$A$3:$A$7246),0),MATCH('001-C DMR'!$C$11,'DMR 001C NEW'!$A$2:$O$2,0))</f>
        <v>6.5</v>
      </c>
      <c r="G36" s="56" t="str">
        <f t="array" ref="G36">INDEX('DMR 001C NEW'!$A$3:$N$3865,MATCH(('001-C DMR'!$C$6:$K$6&amp;'001-C DMR'!$F$10&amp;'001-C DMR'!$B36),('DMR 001C NEW'!$E$3:$E$1112&amp;'DMR 001C NEW'!$B$3:$B$1112&amp;'DMR 001C NEW'!$A$3:$A$1112),0),MATCH('001-C DMR'!$D$11,'DMR 001C NEW'!$A$2:$O$2,0))</f>
        <v>AE69974</v>
      </c>
      <c r="H36" s="56">
        <f t="array" ref="H36">INDEX('DMR 001C NEW'!$A$3:$N$9999,MATCH(('001-C DMR'!$E$11&amp;'001-C DMR'!$F$10&amp;'001-C DMR'!$B36&amp;$G36),('DMR 001C NEW'!$E$3:$E$7246&amp;'DMR 001C NEW'!$B$3:$B$7246&amp;'DMR 001C NEW'!$A$3:$A$7246&amp;'DMR 001C NEW'!$M$3:$M$7188),0),MATCH($C$11,'DMR 001C NEW'!$A$2:$O$2,0))</f>
        <v>86.62</v>
      </c>
      <c r="I36" s="56">
        <f t="shared" si="0"/>
        <v>6.220435598948554</v>
      </c>
      <c r="J36" s="58" t="str">
        <f t="shared" si="39"/>
        <v/>
      </c>
      <c r="K36" s="64" t="str">
        <f t="shared" si="40"/>
        <v/>
      </c>
      <c r="L36" s="262" t="str">
        <f t="array" ref="L36">_xlfn.IFNA(INDEX('DMR 001C NEW'!$A$3:$N$3865,MATCH(('001-C DMR'!$C$6:$K$6&amp;'001-C DMR'!L$10&amp;'001-C DMR'!$B36),('DMR 001C NEW'!$E$3:$E$1112&amp;'DMR 001C NEW'!$B$3:$B$1112&amp;'DMR 001C NEW'!$A$3:$A$1112),0),MATCH('001-C DMR'!$C$11,'DMR 001C NEW'!$A$2:$O$2,0)),"")</f>
        <v/>
      </c>
      <c r="M36" s="262" t="str">
        <f t="array" ref="M36">_xlfn.IFNA(INDEX('DMR 001C NEW'!$A$3:$N$3865,MATCH(('001-C DMR'!$C$6:$K$6&amp;'001-C DMR'!M$10&amp;'001-C DMR'!$B36),('DMR 001C NEW'!$E$3:$E$1112&amp;'DMR 001C NEW'!$B$3:$B$1112&amp;'DMR 001C NEW'!$A$3:$A$1112),0),MATCH('001-C DMR'!$C$11,'DMR 001C NEW'!$A$2:$O$2,0)),"")</f>
        <v/>
      </c>
      <c r="N36" s="262" t="str">
        <f t="array" ref="N36">_xlfn.IFNA(INDEX('DMR 001C NEW'!$A$3:$N$3865,MATCH(('001-C DMR'!$C$6:$K$6&amp;'001-C DMR'!N$10&amp;'001-C DMR'!$B36),('DMR 001C NEW'!$E$3:$E$1112&amp;'DMR 001C NEW'!$B$3:$B$1112&amp;'DMR 001C NEW'!$A$3:$A$1112),0),MATCH('001-C DMR'!$C$11,'DMR 001C NEW'!$A$2:$O$2,0)),"")</f>
        <v/>
      </c>
      <c r="O36" s="262" t="str">
        <f t="array" ref="O36">_xlfn.IFNA(INDEX('DMR 001C NEW'!$A$3:$N$3865,MATCH(('001-C DMR'!$C$6:$K$6&amp;'001-C DMR'!O$10&amp;'001-C DMR'!$B36),('DMR 001C NEW'!$E$3:$E$1112&amp;'DMR 001C NEW'!$B$3:$B$1112&amp;'DMR 001C NEW'!$A$3:$A$1112),0),MATCH('001-C DMR'!$C$11,'DMR 001C NEW'!$A$2:$O$2,0)),"")</f>
        <v/>
      </c>
      <c r="P36" s="262" t="str">
        <f t="array" ref="P36">_xlfn.IFNA(INDEX('DMR 001C NEW'!$A$3:$N$3865,MATCH(('001-C DMR'!$C$6:$K$6&amp;'001-C DMR'!P$10&amp;'001-C DMR'!$B36),('DMR 001C NEW'!$E$3:$E$1112&amp;'DMR 001C NEW'!$B$3:$B$1112&amp;'DMR 001C NEW'!$A$3:$A$1112),0),MATCH('001-C DMR'!$C$11,'DMR 001C NEW'!$A$2:$O$2,0)),"")</f>
        <v/>
      </c>
      <c r="Q36" s="120" t="e">
        <f t="array" ref="Q36">INDEX('DMR 001C NEW'!$A$3:$N$3865,MATCH(('001-C DMR'!$C$6:$K$6&amp;'001-C DMR'!Q$10&amp;'001-C DMR'!$B36),('DMR 001C NEW'!$E$3:$E$1112&amp;'DMR 001C NEW'!$B$3:$B$1112&amp;'DMR 001C NEW'!$A$3:$A$1112),0),MATCH('001-C DMR'!$C$11,'DMR 001C NEW'!$A$2:$O$2,0))</f>
        <v>#N/A</v>
      </c>
      <c r="R36" s="61"/>
      <c r="S36" s="56">
        <f t="array" ref="S36">_xlfn.IFNA(INDEX('DMR 001C NEW'!$A$3:$N$11771,MATCH(('001-C DMR'!$R$6:$T$6&amp;'001-C DMR'!$R$10&amp;'001-C DMR'!$B36),('DMR 001C NEW'!$E$3:$E$9018&amp;'DMR 001C NEW'!$B$3:$B$9018&amp;'DMR 001C NEW'!$A$3:$A$9018),0),MATCH('001-C DMR'!$S$11,'DMR 001C NEW'!$A$2:$O$2,0)),"")</f>
        <v>7</v>
      </c>
      <c r="T36" s="64" t="str">
        <f t="shared" si="41"/>
        <v/>
      </c>
      <c r="U36" s="262" t="str">
        <f t="array" ref="U36">_xlfn.IFNA(INDEX('DMR 001C NEW'!$A$3:$O$591,MATCH('001-C DMR'!$R$6:$T$6&amp;'001-C DMR'!U$10&amp;'001-C DMR'!$B36,('DMR 001C NEW'!$E$3:$E$704&amp;'DMR 001C NEW'!$B$3:$B$704&amp;'DMR 001C NEW'!$A$3:$A$704),0),MATCH('001-C DMR'!$U$11,'DMR 001C NEW'!$A$2:$O$2,0)),"")</f>
        <v/>
      </c>
      <c r="V36" s="262" t="str">
        <f t="array" ref="V36">_xlfn.IFNA(INDEX('DMR 001C NEW'!$A$3:$O$591,MATCH('001-C DMR'!$R$6:$T$6&amp;'001-C DMR'!V$10&amp;'001-C DMR'!$B36,('DMR 001C NEW'!$E$3:$E$704&amp;'DMR 001C NEW'!$B$3:$B$704&amp;'DMR 001C NEW'!$A$3:$A$704),0),MATCH('001-C DMR'!$U$11,'DMR 001C NEW'!$A$2:$O$2,0)),"")</f>
        <v/>
      </c>
      <c r="W36" s="262" t="str">
        <f t="array" ref="W36">_xlfn.IFNA(INDEX('DMR 001C NEW'!$A$3:$O$591,MATCH('001-C DMR'!$R$6:$T$6&amp;'001-C DMR'!W$10&amp;'001-C DMR'!$B36,('DMR 001C NEW'!$E$3:$E$704&amp;'DMR 001C NEW'!$B$3:$B$704&amp;'DMR 001C NEW'!$A$3:$A$704),0),MATCH('001-C DMR'!$U$11,'DMR 001C NEW'!$A$2:$O$2,0)),"")</f>
        <v/>
      </c>
      <c r="X36" s="262" t="str">
        <f t="array" ref="X36">_xlfn.IFNA(INDEX('DMR 001C NEW'!$A$3:$O$591,MATCH('001-C DMR'!$R$6:$T$6&amp;'001-C DMR'!X$10&amp;'001-C DMR'!$B36,('DMR 001C NEW'!$E$3:$E$704&amp;'DMR 001C NEW'!$B$3:$B$704&amp;'DMR 001C NEW'!$A$3:$A$704),0),MATCH('001-C DMR'!$U$11,'DMR 001C NEW'!$A$2:$O$2,0)),"")</f>
        <v/>
      </c>
      <c r="Y36" s="262" t="str">
        <f t="array" ref="Y36">_xlfn.IFNA(INDEX('DMR 001C NEW'!$A$3:$O$591,MATCH('001-C DMR'!$R$6:$T$6&amp;'001-C DMR'!Y$10&amp;'001-C DMR'!$B36,('DMR 001C NEW'!$E$3:$E$704&amp;'DMR 001C NEW'!$B$3:$B$704&amp;'DMR 001C NEW'!$A$3:$A$704),0),MATCH('001-C DMR'!$U$11,'DMR 001C NEW'!$A$2:$O$2,0)),"")</f>
        <v/>
      </c>
      <c r="Z36" s="262" t="str">
        <f t="array" ref="Z36">_xlfn.IFNA(INDEX('DMR 001C NEW'!$A$3:$O$591,MATCH('001-C DMR'!$R$6:$T$6&amp;'001-C DMR'!Z$10&amp;'001-C DMR'!$B36,('DMR 001C NEW'!$E$3:$E$704&amp;'DMR 001C NEW'!$B$3:$B$704&amp;'DMR 001C NEW'!$A$3:$A$704),0),MATCH('001-C DMR'!$U$11,'DMR 001C NEW'!$A$2:$O$2,0)),"")</f>
        <v/>
      </c>
      <c r="AA36" s="262" t="str">
        <f t="array" ref="AA36">_xlfn.IFNA(INDEX('DMR 001C NEW'!$A$3:$O$591,MATCH('001-C DMR'!$R$6:$T$6&amp;'001-C DMR'!AA$10&amp;'001-C DMR'!$B36,('DMR 001C NEW'!$E$3:$E$704&amp;'DMR 001C NEW'!$B$3:$B$704&amp;'DMR 001C NEW'!$A$3:$A$704),0),MATCH('001-C DMR'!$U$11,'DMR 001C NEW'!$A$2:$O$2,0)),"")</f>
        <v/>
      </c>
      <c r="AB36" s="61" t="str">
        <f t="array" ref="AB36">IF(AD36&lt;AC36,"&lt;","")</f>
        <v/>
      </c>
      <c r="AC36" s="56">
        <f t="array" ref="AC36">_xlfn.IFNA(INDEX('DMR 001C NEW'!$A$3:$O$9999,MATCH(('001-C DMR'!$AB$6:$AJ$6&amp;'001-C DMR'!$AB$10:$AD$10&amp;'001-C DMR'!$B36),('DMR 001C NEW'!$E$3:$E$7246&amp;'DMR 001C NEW'!$B$3:$B$7246&amp;'DMR 001C NEW'!$A$3:$A$7246),0),MATCH('001-C DMR'!$AC$11,'DMR 001C NEW'!$A$2:$O$2,0)),"")</f>
        <v>3</v>
      </c>
      <c r="AD36" s="56">
        <f t="array" ref="AD36">_xlfn.IFNA(INDEX('DMR 001C NEW'!$A$3:$O$9999,MATCH(('001-C DMR'!$AB$6:$AJ$6&amp;'001-C DMR'!$AB$10:$AD$10&amp;'001-C DMR'!$B36),('DMR 001C NEW'!$E$3:$E$7246&amp;'DMR 001C NEW'!$B$3:$B$7246&amp;'DMR 001C NEW'!$A$3:$A$7246),0),MATCH('001-C DMR'!$AD$11,'DMR 001C NEW'!$A$2:$O$2,0)),"")</f>
        <v>17</v>
      </c>
      <c r="AE36" s="57" t="str">
        <f t="array" ref="AE36">IF(AG36&lt;AF36,"&lt;","")</f>
        <v/>
      </c>
      <c r="AF36" s="56">
        <f t="array" ref="AF36">_xlfn.IFNA(INDEX('DMR 001C NEW'!$A$3:$O$9999,MATCH(('001-C DMR'!$AB$6:$AJ$6&amp;'001-C DMR'!$AE$10&amp;'001-C DMR'!$B36),('DMR 001C NEW'!$E$3:$E$9018&amp;'DMR 001C NEW'!$B$3:$B$9018&amp;'DMR 001C NEW'!$A$3:$A$9018),0),MATCH('001-C DMR'!$AF$11,'DMR 001C NEW'!$A$2:$O$2,0)),"")</f>
        <v>3</v>
      </c>
      <c r="AG36" s="56">
        <f t="array" ref="AG36">_xlfn.IFNA(INDEX('DMR 001C NEW'!$A$3:$O$9999,MATCH(('001-C DMR'!$AB$6:$AJ$6&amp;'001-C DMR'!$AE$10&amp;'001-C DMR'!$B36),('DMR 001C NEW'!$E$3:$E$9018&amp;'DMR 001C NEW'!$B$3:$B$9018&amp;'DMR 001C NEW'!$A$3:$A$9018),0),MATCH('001-C DMR'!$AG$11,'DMR 001C NEW'!$A$2:$O$2,0)),"")</f>
        <v>19</v>
      </c>
      <c r="AH36" s="56">
        <f t="array" ref="AH36">IFERROR((($AD36*$EI36)+($AG36*$EJ36))/($EK36),"")</f>
        <v>18.324227216365319</v>
      </c>
      <c r="AI36" s="56" t="str">
        <f t="shared" si="42"/>
        <v/>
      </c>
      <c r="AJ36" s="64" t="str">
        <f t="shared" si="30"/>
        <v/>
      </c>
      <c r="AK36" s="262" t="str">
        <f t="array" ref="AK36">_xlfn.IFNA(INDEX('DMR 001C NEW'!$A$3:$O$999,MATCH(('001-C DMR'!$AB$6:$AJ$6&amp;'001-C DMR'!AK$10&amp;'001-C DMR'!$B36),('DMR 001C NEW'!$E$3:$E$1112&amp;'DMR 001C NEW'!$B$3:$B$1112&amp;'DMR 001C NEW'!$A$3:$A$1112),0),MATCH('001-C DMR'!$AD$11,'DMR 001C NEW'!$A$2:$O$2,0)),"")</f>
        <v/>
      </c>
      <c r="AL36" s="262" t="str">
        <f t="array" ref="AL36">_xlfn.IFNA(INDEX('DMR 001C NEW'!$A$3:$O$999,MATCH(('001-C DMR'!$AB$6:$AJ$6&amp;'001-C DMR'!AL$10&amp;'001-C DMR'!$B36),('DMR 001C NEW'!$E$3:$E$1112&amp;'DMR 001C NEW'!$B$3:$B$1112&amp;'DMR 001C NEW'!$A$3:$A$1112),0),MATCH('001-C DMR'!$AD$11,'DMR 001C NEW'!$A$2:$O$2,0)),"")</f>
        <v/>
      </c>
      <c r="AM36" s="262" t="str">
        <f t="array" ref="AM36">_xlfn.IFNA(INDEX('DMR 001C NEW'!$A$3:$O$999,MATCH(('001-C DMR'!$AB$6:$AJ$6&amp;'001-C DMR'!AM$10&amp;'001-C DMR'!$B36),('DMR 001C NEW'!$E$3:$E$1112&amp;'DMR 001C NEW'!$B$3:$B$1112&amp;'DMR 001C NEW'!$A$3:$A$1112),0),MATCH('001-C DMR'!$AD$11,'DMR 001C NEW'!$A$2:$O$2,0)),"")</f>
        <v/>
      </c>
      <c r="AN36" s="262" t="str">
        <f t="array" ref="AN36">_xlfn.IFNA(INDEX('DMR 001C NEW'!$A$3:$O$999,MATCH(('001-C DMR'!$AB$6:$AJ$6&amp;'001-C DMR'!AN$10&amp;'001-C DMR'!$B36),('DMR 001C NEW'!$E$3:$E$1112&amp;'DMR 001C NEW'!$B$3:$B$1112&amp;'DMR 001C NEW'!$A$3:$A$1112),0),MATCH('001-C DMR'!$AD$11,'DMR 001C NEW'!$A$2:$O$2,0)),"")</f>
        <v/>
      </c>
      <c r="AO36" s="262" t="str">
        <f t="array" ref="AO36">_xlfn.IFNA(INDEX('DMR 001C NEW'!$A$3:$O$999,MATCH(('001-C DMR'!$AB$6:$AJ$6&amp;'001-C DMR'!AO$10&amp;'001-C DMR'!$B36),('DMR 001C NEW'!$E$3:$E$1112&amp;'DMR 001C NEW'!$B$3:$B$1112&amp;'DMR 001C NEW'!$A$3:$A$1112),0),MATCH('001-C DMR'!$AD$11,'DMR 001C NEW'!$A$2:$O$2,0)),"")</f>
        <v/>
      </c>
      <c r="AP36" s="262" t="str">
        <f t="array" ref="AP36">_xlfn.IFNA(INDEX('DMR 001C NEW'!$A$3:$O$999,MATCH(('001-C DMR'!$AB$6:$AJ$6&amp;'001-C DMR'!AP$10&amp;'001-C DMR'!$B36),('DMR 001C NEW'!$E$3:$E$1112&amp;'DMR 001C NEW'!$B$3:$B$1112&amp;'DMR 001C NEW'!$A$3:$A$1112),0),MATCH('001-C DMR'!$AD$11,'DMR 001C NEW'!$A$2:$O$2,0)),"")</f>
        <v/>
      </c>
      <c r="AQ36" s="61" t="str">
        <f t="array" ref="AQ36">IF(AS36&lt;AR36,"&lt;","")</f>
        <v/>
      </c>
      <c r="AR36" s="58" t="str">
        <f t="array" ref="AR36">_xlfn.IFNA((INDEX('DMR 001C NEW'!$A$3:$O$9999,MATCH(('001-C DMR'!$AQ$6:$AZ$6&amp;'001-C DMR'!$AQ$10:$AS$10&amp;'001-C DMR'!$B36),('DMR 001C NEW'!$E$3:$E$7246&amp;'DMR 001C NEW'!$B$3:$B$7246&amp;'DMR 001C NEW'!$A$3:$A$7246),0),MATCH('001-C DMR'!$AR$11,'DMR 001C NEW'!$A$2:$O$2,0))),"")</f>
        <v/>
      </c>
      <c r="AS36" s="58" t="str">
        <f t="array" ref="AS36">_xlfn.IFNA(INDEX('DMR 001C NEW'!$A$3:$O$9999,MATCH(('001-C DMR'!$AQ$6:$AZ$6&amp;'001-C DMR'!$AQ$10:$AS$10&amp;'001-C DMR'!$B36),('DMR 001C NEW'!$E$3:$E$7246&amp;'DMR 001C NEW'!$B$3:$B$7246&amp;'DMR 001C NEW'!$A$3:$A$7246),0),MATCH('001-C DMR'!$AS$11,'DMR 001C NEW'!$A$2:$O$2,0)),"")</f>
        <v/>
      </c>
      <c r="AT36" s="58" t="str">
        <f t="shared" si="27"/>
        <v/>
      </c>
      <c r="AU36" s="57" t="str">
        <f t="array" ref="AU36">IF(AW36&lt;AV36,"&lt;","")</f>
        <v/>
      </c>
      <c r="AV36" s="58" t="str">
        <f t="array" ref="AV36">_xlfn.IFNA((INDEX('DMR 001C NEW'!$A$3:$O$9999,MATCH(('001-C DMR'!$AQ$6:$AZ$6&amp;'001-C DMR'!$AU$10&amp;'001-C DMR'!$B36),('DMR 001C NEW'!$E$3:$E$7246&amp;'DMR 001C NEW'!$B$3:$B$7246&amp;'DMR 001C NEW'!$A$3:$A$7246),0),MATCH('001-C DMR'!$AR$11,'DMR 001C NEW'!$A$2:$O$2,0))),"")</f>
        <v/>
      </c>
      <c r="AW36" s="58" t="str">
        <f t="array" ref="AW36">_xlfn.IFNA(INDEX('DMR 001C NEW'!$A$3:$O$9999,MATCH(('001-C DMR'!$AQ$6:$AZ$6&amp;'001-C DMR'!$AU$10&amp;'001-C DMR'!$B36),('DMR 001C NEW'!$E$3:$E$7246&amp;'DMR 001C NEW'!$B$3:$B$7246&amp;'DMR 001C NEW'!$A$3:$A$7246),0),MATCH('001-C DMR'!$AW$11,'DMR 001C NEW'!$A$2:$O$2,0)),"")</f>
        <v/>
      </c>
      <c r="AX36" s="58" t="str">
        <f t="shared" si="6"/>
        <v/>
      </c>
      <c r="AY36" s="56" t="str">
        <f t="array" ref="AY36">IFERROR((($AT36*$EI36)+($AX36*$EJ36))/($EK36),"")</f>
        <v/>
      </c>
      <c r="AZ36" s="64" t="str">
        <f t="shared" si="31"/>
        <v/>
      </c>
      <c r="BA36" s="279" t="str">
        <f t="array" ref="BA36">_xlfn.IFNA(INDEX('DMR 001C NEW'!$A$3:$O$9999,MATCH(('001-C DMR'!$AQ$6:$AZ$6&amp;'001-C DMR'!BA$10&amp;'001-C DMR'!$B36),('DMR 001C NEW'!$E$3:$E$1112&amp;'DMR 001C NEW'!$B$3:$B$1112&amp;'DMR 001C NEW'!$A$3:$A$1112),0),MATCH('001-C DMR'!$BA$11,'DMR 001C NEW'!$A$2:$O$2,0)),"")</f>
        <v/>
      </c>
      <c r="BB36" s="280" t="str">
        <f t="array" ref="BB36">_xlfn.IFNA(INDEX('DMR 001C NEW'!$A$3:$O$9999,MATCH(('001-C DMR'!$AQ$6:$AZ$6&amp;'001-C DMR'!BB$10&amp;'001-C DMR'!$B36),('DMR 001C NEW'!$E$3:$E$1112&amp;'DMR 001C NEW'!$B$3:$B$1112&amp;'DMR 001C NEW'!$A$3:$A$1112),0),MATCH('001-C DMR'!$BA$11,'DMR 001C NEW'!$A$2:$O$2,0)),"")</f>
        <v/>
      </c>
      <c r="BC36" s="280" t="str">
        <f t="array" ref="BC36">_xlfn.IFNA(INDEX('DMR 001C NEW'!$A$3:$O$9999,MATCH(('001-C DMR'!$AQ$6:$AZ$6&amp;'001-C DMR'!BC$10&amp;'001-C DMR'!$B36),('DMR 001C NEW'!$E$3:$E$1112&amp;'DMR 001C NEW'!$B$3:$B$1112&amp;'DMR 001C NEW'!$A$3:$A$1112),0),MATCH('001-C DMR'!$BA$11,'DMR 001C NEW'!$A$2:$O$2,0)),"")</f>
        <v/>
      </c>
      <c r="BD36" s="280" t="str">
        <f t="array" ref="BD36">_xlfn.IFNA(INDEX('DMR 001C NEW'!$A$3:$O$9999,MATCH(('001-C DMR'!$AQ$6:$AZ$6&amp;'001-C DMR'!BD$10&amp;'001-C DMR'!$B36),('DMR 001C NEW'!$E$3:$E$1112&amp;'DMR 001C NEW'!$B$3:$B$1112&amp;'DMR 001C NEW'!$A$3:$A$1112),0),MATCH('001-C DMR'!$BA$11,'DMR 001C NEW'!$A$2:$O$2,0)),"")</f>
        <v/>
      </c>
      <c r="BE36" s="280" t="str">
        <f t="array" ref="BE36">_xlfn.IFNA(INDEX('DMR 001C NEW'!$A$3:$O$9999,MATCH(('001-C DMR'!$AQ$6:$AZ$6&amp;'001-C DMR'!BE$10&amp;'001-C DMR'!$B36),('DMR 001C NEW'!$E$3:$E$1112&amp;'DMR 001C NEW'!$B$3:$B$1112&amp;'DMR 001C NEW'!$A$3:$A$1112),0),MATCH('001-C DMR'!$BA$11,'DMR 001C NEW'!$A$2:$O$2,0)),"")</f>
        <v/>
      </c>
      <c r="BF36" s="281" t="str">
        <f t="array" ref="BF36">_xlfn.IFNA(INDEX('DMR 001C NEW'!$A$3:$O$9999,MATCH(('001-C DMR'!$AQ$6:$AZ$6&amp;'001-C DMR'!BF$10&amp;'001-C DMR'!$B36),('DMR 001C NEW'!$E$3:$E$1112&amp;'DMR 001C NEW'!$B$3:$B$1112&amp;'DMR 001C NEW'!$A$3:$A$1112),0),MATCH('001-C DMR'!$BA$11,'DMR 001C NEW'!$A$2:$O$2,0)),"")</f>
        <v/>
      </c>
      <c r="BG36" s="57"/>
      <c r="BH36" s="58" t="str">
        <f t="array" ref="BH36">_xlfn.IFNA((INDEX('DMR 001C NEW'!$A$3:$O$9999,MATCH(('001-C DMR'!$BG$6&amp;'001-C DMR'!$BG$10&amp;'001-C DMR'!$B36),('DMR 001C NEW'!$E$3:$E$7246&amp;'DMR 001C NEW'!$B$3:$B$7246&amp;'DMR 001C NEW'!$A$3:$A$7246),0),MATCH('001-C DMR'!$BH$11,'DMR 001C NEW'!$A$2:$O$2,0))),"")</f>
        <v/>
      </c>
      <c r="BI36" s="58" t="str">
        <f t="array" ref="BI36">_xlfn.IFNA(INDEX('DMR 001C NEW'!$A$3:$O$9999,MATCH(('001-C DMR'!$BG$6&amp;'001-C DMR'!$BG$10&amp;'001-C DMR'!$B36),('DMR 001C NEW'!$E$3:$E$7246&amp;'DMR 001C NEW'!$B$3:$B$7246&amp;'DMR 001C NEW'!$A$3:$A$7246),0),MATCH('001-C DMR'!$BI$11,'DMR 001C NEW'!$A$2:$O$2,0)),"")</f>
        <v/>
      </c>
      <c r="BJ36" s="58" t="str">
        <f t="shared" si="7"/>
        <v/>
      </c>
      <c r="BK36" s="57" t="str">
        <f t="shared" si="8"/>
        <v/>
      </c>
      <c r="BL36" s="58" t="str">
        <f t="array" ref="BL36">_xlfn.IFNA((INDEX('DMR 001C NEW'!$A$3:$O$9999,MATCH(('001-C DMR'!$BG$6&amp;'001-C DMR'!$BK$10&amp;'001-C DMR'!$B36),('DMR 001C NEW'!$E$3:$E$7246&amp;'DMR 001C NEW'!$B$3:$B$7246&amp;'DMR 001C NEW'!$A$3:$A$7246),0),MATCH('001-C DMR'!$BH$11,'DMR 001C NEW'!$A$2:$O$2,0))),"")</f>
        <v/>
      </c>
      <c r="BM36" s="58" t="str">
        <f t="array" ref="BM36">_xlfn.IFNA(INDEX('DMR 001C NEW'!$A$3:$O$9999,MATCH(('001-C DMR'!$BG$6&amp;'001-C DMR'!$BK$10&amp;'001-C DMR'!$B36),('DMR 001C NEW'!$E$3:$E$7246&amp;'DMR 001C NEW'!$B$3:$B$7246&amp;'DMR 001C NEW'!$A$3:$A$7246),0),MATCH('001-C DMR'!$BI$11,'DMR 001C NEW'!$A$2:$O$2,0)),"")</f>
        <v/>
      </c>
      <c r="BN36" s="58" t="str">
        <f t="shared" si="9"/>
        <v/>
      </c>
      <c r="BO36" s="56" t="str">
        <f t="array" ref="BO36">IFERROR((($BJ36*$EI36)+($BN36*$EJ36))/($EK36),"")</f>
        <v/>
      </c>
      <c r="BP36" s="64" t="str">
        <f t="shared" si="32"/>
        <v/>
      </c>
      <c r="BQ36" s="280" t="str">
        <f t="array" ref="BQ36">_xlfn.IFNA(INDEX('DMR 001C NEW'!$A$3:$O$999,MATCH(('001-C DMR'!$BG$6&amp;'001-C DMR'!BQ$10&amp;'001-C DMR'!$B36),('DMR 001C NEW'!$E$3:$E$1112&amp;'DMR 001C NEW'!$B$3:$B$1112&amp;'DMR 001C NEW'!$A$3:$A$1112),0),MATCH('001-C DMR'!$BQ$11,'DMR 001C NEW'!$A$2:$O$2,0)),"")</f>
        <v/>
      </c>
      <c r="BR36" s="280" t="str">
        <f t="array" ref="BR36">_xlfn.IFNA(INDEX('DMR 001C NEW'!$A$3:$O$999,MATCH(('001-C DMR'!$BG$6&amp;'001-C DMR'!BR$10&amp;'001-C DMR'!$B36),('DMR 001C NEW'!$E$3:$E$1112&amp;'DMR 001C NEW'!$B$3:$B$1112&amp;'DMR 001C NEW'!$A$3:$A$1112),0),MATCH('001-C DMR'!$BQ$11,'DMR 001C NEW'!$A$2:$O$2,0)),"")</f>
        <v/>
      </c>
      <c r="BS36" s="280" t="str">
        <f t="array" ref="BS36">_xlfn.IFNA(INDEX('DMR 001C NEW'!$A$3:$O$999,MATCH(('001-C DMR'!$BG$6&amp;'001-C DMR'!BS$10&amp;'001-C DMR'!$B36),('DMR 001C NEW'!$E$3:$E$1112&amp;'DMR 001C NEW'!$B$3:$B$1112&amp;'DMR 001C NEW'!$A$3:$A$1112),0),MATCH('001-C DMR'!$BQ$11,'DMR 001C NEW'!$A$2:$O$2,0)),"")</f>
        <v/>
      </c>
      <c r="BT36" s="280" t="str">
        <f t="array" ref="BT36">_xlfn.IFNA(INDEX('DMR 001C NEW'!$A$3:$O$999,MATCH(('001-C DMR'!$BG$6&amp;'001-C DMR'!BT$10&amp;'001-C DMR'!$B36),('DMR 001C NEW'!$E$3:$E$1112&amp;'DMR 001C NEW'!$B$3:$B$1112&amp;'DMR 001C NEW'!$A$3:$A$1112),0),MATCH('001-C DMR'!$BQ$11,'DMR 001C NEW'!$A$2:$O$2,0)),"")</f>
        <v/>
      </c>
      <c r="BU36" s="280" t="str">
        <f t="array" ref="BU36">_xlfn.IFNA(INDEX('DMR 001C NEW'!$A$3:$O$999,MATCH(('001-C DMR'!$BG$6&amp;'001-C DMR'!BU$10&amp;'001-C DMR'!$B36),('DMR 001C NEW'!$E$3:$E$1112&amp;'DMR 001C NEW'!$B$3:$B$1112&amp;'DMR 001C NEW'!$A$3:$A$1112),0),MATCH('001-C DMR'!$BQ$11,'DMR 001C NEW'!$A$2:$O$2,0)),"")</f>
        <v/>
      </c>
      <c r="BV36" s="280" t="str">
        <f t="array" ref="BV36">_xlfn.IFNA(INDEX('DMR 001C NEW'!$A$3:$O$999,MATCH(('001-C DMR'!$BG$6&amp;'001-C DMR'!BV$10&amp;'001-C DMR'!$B36),('DMR 001C NEW'!$E$3:$E$1112&amp;'DMR 001C NEW'!$B$3:$B$1112&amp;'DMR 001C NEW'!$A$3:$A$1112),0),MATCH('001-C DMR'!$BQ$11,'DMR 001C NEW'!$A$2:$O$2,0)),"")</f>
        <v/>
      </c>
      <c r="BW36" s="65"/>
      <c r="BX36" s="65"/>
      <c r="BY36" s="57" t="str">
        <f t="shared" si="10"/>
        <v/>
      </c>
      <c r="BZ36" s="58" t="str">
        <f t="array" ref="BZ36">_xlfn.IFNA((INDEX('DMR 001C NEW'!$A$3:$O$9999,MATCH(('001-C DMR'!$BY$6&amp;'001-C DMR'!$BY$10&amp;'001-C DMR'!$B36),('DMR 001C NEW'!$E$3:$E$7246&amp;'DMR 001C NEW'!$B$3:$B$7246&amp;'DMR 001C NEW'!$A$3:$A$7246),0),MATCH('001-C DMR'!$BZ$11,'DMR 001C NEW'!$A$2:$O$2,0))),"")</f>
        <v/>
      </c>
      <c r="CA36" s="138" t="str">
        <f t="array" ref="CA36">_xlfn.IFNA(INDEX('DMR 001C NEW'!$A$3:$O$9999,MATCH(('001-C DMR'!$BY$6&amp;'001-C DMR'!$BY$10&amp;'001-C DMR'!$B36),('DMR 001C NEW'!$E$3:$E$7246&amp;'DMR 001C NEW'!$B$3:$B$7246&amp;'DMR 001C NEW'!$A$3:$A$7246),0),MATCH('001-C DMR'!$CA$11,'DMR 001C NEW'!$A$2:$O$2,0)),"")</f>
        <v/>
      </c>
      <c r="CB36" s="57" t="str">
        <f t="shared" si="11"/>
        <v/>
      </c>
      <c r="CC36" s="58" t="str">
        <f t="array" ref="CC36">_xlfn.IFNA((INDEX('DMR 001C NEW'!$A$3:$O$9999,MATCH(('001-C DMR'!$BY$6&amp;'001-C DMR'!$CB$10&amp;'001-C DMR'!$B36),('DMR 001C NEW'!$E$3:$E$7246&amp;'DMR 001C NEW'!$B$3:$B$7246&amp;'DMR 001C NEW'!$A$3:$A$7246),0),MATCH('001-C DMR'!$BZ$11,'DMR 001C NEW'!$A$2:$O$2,0))),"")</f>
        <v/>
      </c>
      <c r="CD36" s="138" t="str">
        <f t="array" ref="CD36">_xlfn.IFNA(INDEX('DMR 001C NEW'!$A$3:$O$9999,MATCH(('001-C DMR'!$BY$6&amp;'001-C DMR'!$CB$10&amp;'001-C DMR'!$B36),('DMR 001C NEW'!$E$3:$E$7246&amp;'DMR 001C NEW'!$B$3:$B$7246&amp;'DMR 001C NEW'!$A$3:$A$7246),0),MATCH('001-C DMR'!$CA$11,'DMR 001C NEW'!$A$2:$O$2,0)),"")</f>
        <v/>
      </c>
      <c r="CE36" s="138" t="str">
        <f t="array" ref="CE36">IFERROR((($CA36*$EI36)+($CD36*$EJ36))/($EK36),"")</f>
        <v/>
      </c>
      <c r="CF36" s="64" t="str">
        <f t="shared" si="33"/>
        <v/>
      </c>
      <c r="CG36" s="280" t="str">
        <f t="array" ref="CG36">_xlfn.IFNA(INDEX('DMR 001C NEW'!$A$3:$O$999,MATCH(('001-C DMR'!$BY$6&amp;'001-C DMR'!CG$10&amp;'001-C DMR'!$B36),('DMR 001C NEW'!$E$3:$E$1112&amp;'DMR 001C NEW'!$B$3:$B$1112&amp;'DMR 001C NEW'!$A$3:$A$1112),0),MATCH('001-C DMR'!$CA$11,'DMR 001C NEW'!$A$2:$O$2,0)),"")</f>
        <v/>
      </c>
      <c r="CH36" s="280" t="str">
        <f t="array" ref="CH36">_xlfn.IFNA(INDEX('DMR 001C NEW'!$A$3:$O$999,MATCH(('001-C DMR'!$BY$6&amp;'001-C DMR'!CH$10&amp;'001-C DMR'!$B36),('DMR 001C NEW'!$E$3:$E$1112&amp;'DMR 001C NEW'!$B$3:$B$1112&amp;'DMR 001C NEW'!$A$3:$A$1112),0),MATCH('001-C DMR'!$CA$11,'DMR 001C NEW'!$A$2:$O$2,0)),"")</f>
        <v/>
      </c>
      <c r="CI36" s="280" t="str">
        <f t="array" ref="CI36">_xlfn.IFNA(INDEX('DMR 001C NEW'!$A$3:$O$999,MATCH(('001-C DMR'!$BY$6&amp;'001-C DMR'!CI$10&amp;'001-C DMR'!$B36),('DMR 001C NEW'!$E$3:$E$1112&amp;'DMR 001C NEW'!$B$3:$B$1112&amp;'DMR 001C NEW'!$A$3:$A$1112),0),MATCH('001-C DMR'!$CA$11,'DMR 001C NEW'!$A$2:$O$2,0)),"")</f>
        <v/>
      </c>
      <c r="CJ36" s="280" t="str">
        <f t="array" ref="CJ36">_xlfn.IFNA(INDEX('DMR 001C NEW'!$A$3:$O$999,MATCH(('001-C DMR'!$BY$6&amp;'001-C DMR'!CJ$10&amp;'001-C DMR'!$B36),('DMR 001C NEW'!$E$3:$E$1112&amp;'DMR 001C NEW'!$B$3:$B$1112&amp;'DMR 001C NEW'!$A$3:$A$1112),0),MATCH('001-C DMR'!$CA$11,'DMR 001C NEW'!$A$2:$O$2,0)),"")</f>
        <v/>
      </c>
      <c r="CK36" s="280" t="str">
        <f t="array" ref="CK36">_xlfn.IFNA(INDEX('DMR 001C NEW'!$A$3:$O$999,MATCH(('001-C DMR'!$BY$6&amp;'001-C DMR'!CK$10&amp;'001-C DMR'!$B36),('DMR 001C NEW'!$E$3:$E$1112&amp;'DMR 001C NEW'!$B$3:$B$1112&amp;'DMR 001C NEW'!$A$3:$A$1112),0),MATCH('001-C DMR'!$CA$11,'DMR 001C NEW'!$A$2:$O$2,0)),"")</f>
        <v/>
      </c>
      <c r="CL36" s="280" t="str">
        <f t="array" ref="CL36">_xlfn.IFNA(INDEX('DMR 001C NEW'!$A$3:$O$999,MATCH(('001-C DMR'!$BY$6&amp;'001-C DMR'!CL$10&amp;'001-C DMR'!$B36),('DMR 001C NEW'!$E$3:$E$1112&amp;'DMR 001C NEW'!$B$3:$B$1112&amp;'DMR 001C NEW'!$A$3:$A$1112),0),MATCH('001-C DMR'!$CA$11,'DMR 001C NEW'!$A$2:$O$2,0)),"")</f>
        <v/>
      </c>
      <c r="CM36" s="61" t="str">
        <f t="shared" si="12"/>
        <v/>
      </c>
      <c r="CN36" s="138" t="str">
        <f t="array" ref="CN36">_xlfn.IFNA((INDEX('DMR 001C NEW'!$A$3:$O$9999,MATCH(('001-C DMR'!$CM$6&amp;'001-C DMR'!$CM$10&amp;'001-C DMR'!$B36),('DMR 001C NEW'!$E$3:$E$9018&amp;'DMR 001C NEW'!$B$3:$B$9018&amp;'DMR 001C NEW'!$A$3:$A$9018),0),MATCH('001-C DMR'!$CN$11,'DMR 001C NEW'!$A$2:$O$2,0))*1000),"")</f>
        <v/>
      </c>
      <c r="CO36" s="138" t="str">
        <f t="array" ref="CO36">_xlfn.IFNA(INDEX('DMR 001C NEW'!$A$3:$O$9999,MATCH(('001-C DMR'!$CM$6&amp;'001-C DMR'!$CM$10&amp;'001-C DMR'!$B36),('DMR 001C NEW'!$E$3:$E$9018&amp;'DMR 001C NEW'!$B$3:$B$9018&amp;'DMR 001C NEW'!$A$3:$A$9018),0),MATCH('001-C DMR'!$CO$11,'DMR 001C NEW'!$A$2:$O$2,0))*1000,"")</f>
        <v/>
      </c>
      <c r="CP36" s="138" t="str">
        <f t="shared" si="13"/>
        <v/>
      </c>
      <c r="CQ36" s="64" t="str">
        <f t="shared" si="34"/>
        <v/>
      </c>
      <c r="CR36" s="280" t="str">
        <f t="array" ref="CR36">_xlfn.IFNA(INDEX('DMR 001C NEW'!$A$3:$O$999,MATCH(('001-C DMR'!$CM$6&amp;'001-C DMR'!CR$10&amp;'001-C DMR'!$B36),('DMR 001C NEW'!$E$3:$E$1112&amp;'DMR 001C NEW'!$B$3:$B$1112&amp;'DMR 001C NEW'!$A$3:$A$1112),0),MATCH('001-C DMR'!$CO$11,'DMR 001C NEW'!$A$2:$O$2,0)),"")</f>
        <v/>
      </c>
      <c r="CS36" s="280" t="str">
        <f t="array" ref="CS36">_xlfn.IFNA(INDEX('DMR 001C NEW'!$A$3:$O$999,MATCH(('001-C DMR'!$CM$6&amp;'001-C DMR'!CS$10&amp;'001-C DMR'!$B36),('DMR 001C NEW'!$E$3:$E$1112&amp;'DMR 001C NEW'!$B$3:$B$1112&amp;'DMR 001C NEW'!$A$3:$A$1112),0),MATCH('001-C DMR'!$CO$11,'DMR 001C NEW'!$A$2:$O$2,0)),"")</f>
        <v/>
      </c>
      <c r="CT36" s="280" t="str">
        <f t="array" ref="CT36">_xlfn.IFNA(INDEX('DMR 001C NEW'!$A$3:$O$999,MATCH(('001-C DMR'!$CM$6&amp;'001-C DMR'!CT$10&amp;'001-C DMR'!$B36),('DMR 001C NEW'!$E$3:$E$1112&amp;'DMR 001C NEW'!$B$3:$B$1112&amp;'DMR 001C NEW'!$A$3:$A$1112),0),MATCH('001-C DMR'!$CO$11,'DMR 001C NEW'!$A$2:$O$2,0)),"")</f>
        <v/>
      </c>
      <c r="CU36" s="280" t="str">
        <f t="array" ref="CU36">_xlfn.IFNA(INDEX('DMR 001C NEW'!$A$3:$O$999,MATCH(('001-C DMR'!$CM$6&amp;'001-C DMR'!CU$10&amp;'001-C DMR'!$B36),('DMR 001C NEW'!$E$3:$E$1112&amp;'DMR 001C NEW'!$B$3:$B$1112&amp;'DMR 001C NEW'!$A$3:$A$1112),0),MATCH('001-C DMR'!$CO$11,'DMR 001C NEW'!$A$2:$O$2,0)),"")</f>
        <v/>
      </c>
      <c r="CV36" s="280" t="str">
        <f t="array" ref="CV36">_xlfn.IFNA(INDEX('DMR 001C NEW'!$A$3:$O$999,MATCH(('001-C DMR'!$CM$6&amp;'001-C DMR'!CV$10&amp;'001-C DMR'!$B36),('DMR 001C NEW'!$E$3:$E$1112&amp;'DMR 001C NEW'!$B$3:$B$1112&amp;'DMR 001C NEW'!$A$3:$A$1112),0),MATCH('001-C DMR'!$CO$11,'DMR 001C NEW'!$A$2:$O$2,0)),"")</f>
        <v/>
      </c>
      <c r="CW36" s="280" t="str">
        <f t="array" ref="CW36">_xlfn.IFNA(INDEX('DMR 001C NEW'!$A$3:$O$999,MATCH(('001-C DMR'!$CM$6&amp;'001-C DMR'!CW$10&amp;'001-C DMR'!$B36),('DMR 001C NEW'!$E$3:$E$1112&amp;'DMR 001C NEW'!$B$3:$B$1112&amp;'DMR 001C NEW'!$A$3:$A$1112),0),MATCH('001-C DMR'!$CO$11,'DMR 001C NEW'!$A$2:$O$2,0)),"")</f>
        <v/>
      </c>
      <c r="CX36" s="280" t="str">
        <f t="array" ref="CX36">_xlfn.IFNA(INDEX('DMR 001C NEW'!$A$3:$O$999,MATCH(('001-C DMR'!$CM$6&amp;'001-C DMR'!CX$10&amp;'001-C DMR'!$B36),('DMR 001C NEW'!$E$3:$E$1112&amp;'DMR 001C NEW'!$B$3:$B$1112&amp;'DMR 001C NEW'!$A$3:$A$1112),0),MATCH('001-C DMR'!$CO$11,'DMR 001C NEW'!$A$2:$O$2,0)),"")</f>
        <v/>
      </c>
      <c r="CY36" s="61" t="str">
        <f t="shared" si="14"/>
        <v/>
      </c>
      <c r="CZ36" s="138" t="str">
        <f t="array" ref="CZ36">_xlfn.IFNA((INDEX('DMR 001C NEW'!$A$3:$O$9999,MATCH(('001-C DMR'!$CY$6&amp;'001-C DMR'!$CY$10&amp;'001-C DMR'!$B36),('DMR 001C NEW'!$E$3:$E$9018&amp;'DMR 001C NEW'!$B$3:$B$9018&amp;'DMR 001C NEW'!$A$3:$A$9018),0),MATCH('001-C DMR'!$CZ$11,'DMR 001C NEW'!$A$2:$O$2,0))*1000),"")</f>
        <v/>
      </c>
      <c r="DA36" s="138" t="str">
        <f t="array" ref="DA36">_xlfn.IFNA(INDEX('DMR 001C NEW'!$A$3:$O$9999,MATCH(('001-C DMR'!$CY$6&amp;'001-C DMR'!$CY$10&amp;'001-C DMR'!$B36),('DMR 001C NEW'!$E$3:$E$9018&amp;'DMR 001C NEW'!$B$3:$B$9018&amp;'DMR 001C NEW'!$A$3:$A$9018),0),MATCH('001-C DMR'!$DA$11,'DMR 001C NEW'!$A$2:$O$2,0))*1000,"")</f>
        <v/>
      </c>
      <c r="DB36" s="138" t="str">
        <f t="shared" si="15"/>
        <v/>
      </c>
      <c r="DC36" s="64" t="str">
        <f t="shared" si="35"/>
        <v/>
      </c>
      <c r="DD36" s="280" t="str">
        <f t="array" ref="DD36">_xlfn.IFNA(INDEX('DMR 001C NEW'!$A$3:$O$999,MATCH(('001-C DMR'!$CY$6&amp;'001-C DMR'!DD$10&amp;'001-C DMR'!$B36),('DMR 001C NEW'!$E$3:$E$1112&amp;'DMR 001C NEW'!$B$3:$B$1112&amp;'DMR 001C NEW'!$A$3:$A$1112),0),MATCH('001-C DMR'!$DA$11,'DMR 001C NEW'!$A$2:$O$2,0)),"")</f>
        <v/>
      </c>
      <c r="DE36" s="280" t="str">
        <f t="array" ref="DE36">_xlfn.IFNA(INDEX('DMR 001C NEW'!$A$3:$O$999,MATCH(('001-C DMR'!$CY$6&amp;'001-C DMR'!DE$10&amp;'001-C DMR'!$B36),('DMR 001C NEW'!$E$3:$E$1112&amp;'DMR 001C NEW'!$B$3:$B$1112&amp;'DMR 001C NEW'!$A$3:$A$1112),0),MATCH('001-C DMR'!$DA$11,'DMR 001C NEW'!$A$2:$O$2,0)),"")</f>
        <v/>
      </c>
      <c r="DF36" s="280" t="str">
        <f t="array" ref="DF36">_xlfn.IFNA(INDEX('DMR 001C NEW'!$A$3:$O$999,MATCH(('001-C DMR'!$CY$6&amp;'001-C DMR'!DF$10&amp;'001-C DMR'!$B36),('DMR 001C NEW'!$E$3:$E$1112&amp;'DMR 001C NEW'!$B$3:$B$1112&amp;'DMR 001C NEW'!$A$3:$A$1112),0),MATCH('001-C DMR'!$DA$11,'DMR 001C NEW'!$A$2:$O$2,0)),"")</f>
        <v/>
      </c>
      <c r="DG36" s="280" t="str">
        <f t="array" ref="DG36">_xlfn.IFNA(INDEX('DMR 001C NEW'!$A$3:$O$999,MATCH(('001-C DMR'!$CY$6&amp;'001-C DMR'!DG$10&amp;'001-C DMR'!$B36),('DMR 001C NEW'!$E$3:$E$1112&amp;'DMR 001C NEW'!$B$3:$B$1112&amp;'DMR 001C NEW'!$A$3:$A$1112),0),MATCH('001-C DMR'!$DA$11,'DMR 001C NEW'!$A$2:$O$2,0)),"")</f>
        <v/>
      </c>
      <c r="DH36" s="280" t="str">
        <f t="array" ref="DH36">_xlfn.IFNA(INDEX('DMR 001C NEW'!$A$3:$O$999,MATCH(('001-C DMR'!$CY$6&amp;'001-C DMR'!DH$10&amp;'001-C DMR'!$B36),('DMR 001C NEW'!$E$3:$E$1112&amp;'DMR 001C NEW'!$B$3:$B$1112&amp;'DMR 001C NEW'!$A$3:$A$1112),0),MATCH('001-C DMR'!$DA$11,'DMR 001C NEW'!$A$2:$O$2,0)),"")</f>
        <v/>
      </c>
      <c r="DI36" s="280" t="str">
        <f t="array" ref="DI36">_xlfn.IFNA(INDEX('DMR 001C NEW'!$A$3:$O$999,MATCH(('001-C DMR'!$CY$6&amp;'001-C DMR'!DI$10&amp;'001-C DMR'!$B36),('DMR 001C NEW'!$E$3:$E$1112&amp;'DMR 001C NEW'!$B$3:$B$1112&amp;'DMR 001C NEW'!$A$3:$A$1112),0),MATCH('001-C DMR'!$DA$11,'DMR 001C NEW'!$A$2:$O$2,0)),"")</f>
        <v/>
      </c>
      <c r="DJ36" s="280" t="str">
        <f t="array" ref="DJ36">_xlfn.IFNA(INDEX('DMR 001C NEW'!$A$3:$O$999,MATCH(('001-C DMR'!$CY$6&amp;'001-C DMR'!DJ$10&amp;'001-C DMR'!$B36),('DMR 001C NEW'!$E$3:$E$1112&amp;'DMR 001C NEW'!$B$3:$B$1112&amp;'DMR 001C NEW'!$A$3:$A$1112),0),MATCH('001-C DMR'!$DA$11,'DMR 001C NEW'!$A$2:$O$2,0)),"")</f>
        <v/>
      </c>
      <c r="DK36" s="61" t="str">
        <f t="shared" si="16"/>
        <v/>
      </c>
      <c r="DL36" s="58" t="str">
        <f t="array" ref="DL36">_xlfn.IFNA((INDEX('DMR 001C NEW'!$A$3:$O$9999,MATCH(('001-C DMR'!$DK$6&amp;'001-C DMR'!$DK$10&amp;'001-C DMR'!$B36),('DMR 001C NEW'!$E$3:$E$9018&amp;'DMR 001C NEW'!$B$3:$B$9018&amp;'DMR 001C NEW'!$A$3:$A$9018),0),MATCH('001-C DMR'!$DL$11,'DMR 001C NEW'!$A$2:$O$2,0))),"")</f>
        <v/>
      </c>
      <c r="DM36" s="58" t="str">
        <f t="array" ref="DM36">_xlfn.IFNA(INDEX('DMR 001C NEW'!$A$3:$O$9999,MATCH(('001-C DMR'!$DK$6&amp;'001-C DMR'!$DK$10&amp;'001-C DMR'!$B36),('DMR 001C NEW'!$E$3:$E$9018&amp;'DMR 001C NEW'!$B$3:$B$9018&amp;'DMR 001C NEW'!$A$3:$A$9018),0),MATCH('001-C DMR'!$DM$11,'DMR 001C NEW'!$A$2:$O$2,0)),"")</f>
        <v/>
      </c>
      <c r="DN36" s="58" t="str">
        <f t="shared" si="17"/>
        <v/>
      </c>
      <c r="DO36" s="223"/>
      <c r="DP36" s="224"/>
      <c r="DQ36" s="64" t="str">
        <f t="shared" si="18"/>
        <v/>
      </c>
      <c r="DR36" s="280" t="str">
        <f t="array" ref="DR36">_xlfn.IFNA(INDEX('DMR 001C NEW'!$A$3:$O$999,MATCH(('001-C DMR'!$DK$6&amp;'001-C DMR'!DR$10&amp;'001-C DMR'!$B36),('DMR 001C NEW'!$E$3:$E$1112&amp;'DMR 001C NEW'!$B$3:$B$1112&amp;'DMR 001C NEW'!$A$3:$A$1112),0),MATCH('001-C DMR'!$DR$11,'DMR 001C NEW'!$A$2:$O$2,0)),"")</f>
        <v/>
      </c>
      <c r="DS36" s="280" t="str">
        <f t="array" ref="DS36">_xlfn.IFNA(INDEX('DMR 001C NEW'!$A$3:$O$999,MATCH(('001-C DMR'!$DK$6&amp;'001-C DMR'!DS$10&amp;'001-C DMR'!$B36),('DMR 001C NEW'!$E$3:$E$1112&amp;'DMR 001C NEW'!$B$3:$B$1112&amp;'DMR 001C NEW'!$A$3:$A$1112),0),MATCH('001-C DMR'!$DR$11,'DMR 001C NEW'!$A$2:$O$2,0)),"")</f>
        <v/>
      </c>
      <c r="DT36" s="280" t="str">
        <f t="array" ref="DT36">_xlfn.IFNA(INDEX('DMR 001C NEW'!$A$3:$O$999,MATCH(('001-C DMR'!$DK$6&amp;'001-C DMR'!DT$10&amp;'001-C DMR'!$B36),('DMR 001C NEW'!$E$3:$E$1112&amp;'DMR 001C NEW'!$B$3:$B$1112&amp;'DMR 001C NEW'!$A$3:$A$1112),0),MATCH('001-C DMR'!$DR$11,'DMR 001C NEW'!$A$2:$O$2,0)),"")</f>
        <v/>
      </c>
      <c r="DU36" s="280" t="str">
        <f t="array" ref="DU36">_xlfn.IFNA(INDEX('DMR 001C NEW'!$A$3:$O$999,MATCH(('001-C DMR'!$DK$6&amp;'001-C DMR'!DU$10&amp;'001-C DMR'!$B36),('DMR 001C NEW'!$E$3:$E$1112&amp;'DMR 001C NEW'!$B$3:$B$1112&amp;'DMR 001C NEW'!$A$3:$A$1112),0),MATCH('001-C DMR'!$DR$11,'DMR 001C NEW'!$A$2:$O$2,0)),"")</f>
        <v/>
      </c>
      <c r="DV36" s="280" t="str">
        <f t="array" ref="DV36">_xlfn.IFNA(INDEX('DMR 001C NEW'!$A$3:$O$999,MATCH(('001-C DMR'!$DK$6&amp;'001-C DMR'!DV$10&amp;'001-C DMR'!$B36),('DMR 001C NEW'!$E$3:$E$1112&amp;'DMR 001C NEW'!$B$3:$B$1112&amp;'DMR 001C NEW'!$A$3:$A$1112),0),MATCH('001-C DMR'!$DR$11,'DMR 001C NEW'!$A$2:$O$2,0)),"")</f>
        <v/>
      </c>
      <c r="DW36" s="280" t="str">
        <f t="array" ref="DW36">_xlfn.IFNA(INDEX('DMR 001C NEW'!$A$3:$O$999,MATCH(('001-C DMR'!$DK$6&amp;'001-C DMR'!DW$10&amp;'001-C DMR'!$B36),('DMR 001C NEW'!$E$3:$E$1112&amp;'DMR 001C NEW'!$B$3:$B$1112&amp;'DMR 001C NEW'!$A$3:$A$1112),0),MATCH('001-C DMR'!$DR$11,'DMR 001C NEW'!$A$2:$O$2,0)),"")</f>
        <v/>
      </c>
      <c r="DX36" s="280" t="str">
        <f t="array" ref="DX36">_xlfn.IFNA(INDEX('DMR 001C NEW'!$A$3:$O$999,MATCH(('001-C DMR'!$DK$6&amp;'001-C DMR'!DX$10&amp;'001-C DMR'!$B36),('DMR 001C NEW'!$E$3:$E$1112&amp;'DMR 001C NEW'!$B$3:$B$1112&amp;'DMR 001C NEW'!$A$3:$A$1112),0),MATCH('001-C DMR'!$DR$11,'DMR 001C NEW'!$A$2:$O$2,0)),"")</f>
        <v/>
      </c>
      <c r="DY36" s="61" t="str">
        <f t="shared" si="28"/>
        <v/>
      </c>
      <c r="DZ36" s="249" t="str">
        <f t="array" ref="DZ36">_xlfn.IFNA((INDEX('DMR 001C NEW'!$A$3:$O$9999,MATCH(('001-C DMR'!$DY$6&amp;'001-C DMR'!$DY$10&amp;'001-C DMR'!$B36),('DMR 001C NEW'!$E$3:$E$9018&amp;'DMR 001C NEW'!$B$3:$B$9018&amp;'DMR 001C NEW'!$A$3:$A$9018),0),MATCH('001-C DMR'!$DZ$11,'DMR 001C NEW'!$A$2:$O$2,0))),"")</f>
        <v/>
      </c>
      <c r="EA36" s="249" t="str">
        <f t="array" ref="EA36">_xlfn.IFNA((INDEX('DMR 001C NEW'!$A$3:$O$9999,MATCH(('001-C DMR'!$DY$6&amp;'001-C DMR'!$DY$10&amp;'001-C DMR'!$B36),('DMR 001C NEW'!$E$3:$E$9018&amp;'DMR 001C NEW'!$B$3:$B$9018&amp;'DMR 001C NEW'!$A$3:$A$9018),0),MATCH('001-C DMR'!$EA$11,'DMR 001C NEW'!$A$2:$O$2,0))),"")</f>
        <v/>
      </c>
      <c r="EB36" s="249" t="str">
        <f t="array" ref="EB36">IF(EA36="SCRATCHED","",IF(EA36&lt;DZ36,0,EA36))</f>
        <v/>
      </c>
      <c r="EC36" s="249" t="str">
        <f t="shared" si="29"/>
        <v/>
      </c>
      <c r="ED36" s="249" t="str">
        <f t="array" ref="ED36">_xlfn.IFNA((INDEX('DMR 001C NEW'!$A$3:$O$9999,MATCH(('001-C DMR'!$DY$6&amp;'001-C DMR'!$EC$10&amp;'001-C DMR'!$B36),('DMR 001C NEW'!$E$3:$E$9018&amp;'DMR 001C NEW'!$B$3:$B$9018&amp;'DMR 001C NEW'!$A$3:$A$9018),0),MATCH('001-C DMR'!$DZ$11,'DMR 001C NEW'!$A$2:$O$2,0))),"")</f>
        <v/>
      </c>
      <c r="EE36" s="249" t="str">
        <f t="array" ref="EE36">_xlfn.IFNA((INDEX('DMR 001C NEW'!$A$3:$O$9999,MATCH(('001-C DMR'!$DY$6&amp;'001-C DMR'!$EC$10&amp;'001-C DMR'!$B36),('DMR 001C NEW'!$E$3:$E$9018&amp;'DMR 001C NEW'!$B$3:$B$9018&amp;'DMR 001C NEW'!$A$3:$A$9018),0),MATCH('001-C DMR'!$EE$11,'DMR 001C NEW'!$A$2:$O$2,0))),"")</f>
        <v/>
      </c>
      <c r="EF36" s="249" t="str">
        <f t="array" ref="EF36">IF(EE36="SCRATCHED","",IF(EE36&lt;ED36,0,EE36))</f>
        <v/>
      </c>
      <c r="EG36" s="249"/>
      <c r="EH36" s="195"/>
      <c r="EI36" s="194">
        <f t="array" ref="EI36">_xlfn.IFNA(INDEX('DMR Flows-Effluent'!$A$3:$F$186,MATCH(($EI$10&amp;$B36),('DMR Flows-Effluent'!$B$3:$B$186&amp;'DMR Flows-Effluent'!$A$3:$A$186),0),MATCH($EI$8,'DMR Flows-Effluent'!$A$2:$F$2,0)),"")</f>
        <v>43.136299999999999</v>
      </c>
      <c r="EJ36" s="56">
        <f t="array" ref="EJ36">_xlfn.IFNA(INDEX('DMR Flows-Effluent'!$A$3:$F$186,MATCH(($EJ$10&amp;$B36),('DMR Flows-Effluent'!$B$3:$B$186&amp;'DMR Flows-Effluent'!$A$3:$A$186),0),MATCH($EI$8,'DMR Flows-Effluent'!$A$2:$F$2,0)),"")</f>
        <v>84.528800000000004</v>
      </c>
      <c r="EK36" s="168">
        <f t="shared" si="19"/>
        <v>127.6651</v>
      </c>
      <c r="EL36" s="63"/>
      <c r="EM36" s="63"/>
      <c r="EN36" s="63"/>
      <c r="EO36" s="63"/>
      <c r="EP36" s="62"/>
      <c r="EQ36" s="157">
        <f>'E.Coli Calculations'!R30</f>
        <v>96.053304724249543</v>
      </c>
      <c r="ER36" s="56"/>
      <c r="ES36" s="64" t="str">
        <f t="shared" si="36"/>
        <v/>
      </c>
      <c r="ET36" s="61" t="str">
        <f t="shared" si="20"/>
        <v/>
      </c>
      <c r="EU36" s="58" t="str">
        <f t="array" ref="EU36">_xlfn.IFNA((INDEX('DMR 001C NEW'!$A$3:$O$9999,MATCH(('001-C DMR'!$ET$6&amp;'001-C DMR'!$ET$10&amp;'001-C DMR'!$B36),('DMR 001C NEW'!$E$3:$E$9018&amp;'DMR 001C NEW'!$B$3:$B$9018&amp;'DMR 001C NEW'!$A$3:$A$9018),0),MATCH('001-C DMR'!$EU$11,'DMR 001C NEW'!$A$2:$O$2,0))),"")</f>
        <v/>
      </c>
      <c r="EV36" s="58" t="str">
        <f t="array" ref="EV36">_xlfn.IFNA(INDEX('DMR 001C NEW'!$A$3:$O$9999,MATCH(('001-C DMR'!$ET$6&amp;'001-C DMR'!$ET$10&amp;'001-C DMR'!$B36),('DMR 001C NEW'!$E$3:$E$9018&amp;'DMR 001C NEW'!$B$3:$B$9018&amp;'DMR 001C NEW'!$A$3:$A$9018),0),MATCH('001-C DMR'!$EV$11,'DMR 001C NEW'!$A$2:$O$2,0)),"")</f>
        <v/>
      </c>
      <c r="EW36" s="56" t="str">
        <f t="shared" si="21"/>
        <v/>
      </c>
      <c r="EX36" s="64"/>
      <c r="EY36" s="279" t="str">
        <f t="array" ref="EY36">_xlfn.IFNA(INDEX('DMR 001C NEW'!$A$3:$O$999,MATCH(('001-C DMR'!$ET$6&amp;'001-C DMR'!EY$10&amp;'001-C DMR'!$B36),('DMR 001C NEW'!$E$3:$E$1112&amp;'DMR 001C NEW'!$B$3:$B$1112&amp;'DMR 001C NEW'!$A$3:$A$1112),0),MATCH('001-C DMR'!$EY$11,'DMR 001C NEW'!$A$2:$O$2,0)),"")</f>
        <v/>
      </c>
      <c r="EZ36" s="280" t="str">
        <f t="array" ref="EZ36">_xlfn.IFNA(INDEX('DMR 001C NEW'!$A$3:$O$999,MATCH(('001-C DMR'!$ET$6&amp;'001-C DMR'!EZ$10&amp;'001-C DMR'!$B36),('DMR 001C NEW'!$E$3:$E$1112&amp;'DMR 001C NEW'!$B$3:$B$1112&amp;'DMR 001C NEW'!$A$3:$A$1112),0),MATCH('001-C DMR'!$EY$11,'DMR 001C NEW'!$A$2:$O$2,0)),"")</f>
        <v/>
      </c>
      <c r="FA36" s="280" t="str">
        <f t="array" ref="FA36">_xlfn.IFNA(INDEX('DMR 001C NEW'!$A$3:$O$999,MATCH(('001-C DMR'!$ET$6&amp;'001-C DMR'!FA$10&amp;'001-C DMR'!$B36),('DMR 001C NEW'!$E$3:$E$1112&amp;'DMR 001C NEW'!$B$3:$B$1112&amp;'DMR 001C NEW'!$A$3:$A$1112),0),MATCH('001-C DMR'!$EY$11,'DMR 001C NEW'!$A$2:$O$2,0)),"")</f>
        <v/>
      </c>
      <c r="FB36" s="280" t="str">
        <f t="array" ref="FB36">_xlfn.IFNA(INDEX('DMR 001C NEW'!$A$3:$O$999,MATCH(('001-C DMR'!$ET$6&amp;'001-C DMR'!FB$10&amp;'001-C DMR'!$B36),('DMR 001C NEW'!$E$3:$E$1112&amp;'DMR 001C NEW'!$B$3:$B$1112&amp;'DMR 001C NEW'!$A$3:$A$1112),0),MATCH('001-C DMR'!$EY$11,'DMR 001C NEW'!$A$2:$O$2,0)),"")</f>
        <v/>
      </c>
      <c r="FC36" s="280" t="str">
        <f t="array" ref="FC36">_xlfn.IFNA(INDEX('DMR 001C NEW'!$A$3:$O$999,MATCH(('001-C DMR'!$ET$6&amp;'001-C DMR'!FC$10&amp;'001-C DMR'!$B36),('DMR 001C NEW'!$E$3:$E$1112&amp;'DMR 001C NEW'!$B$3:$B$1112&amp;'DMR 001C NEW'!$A$3:$A$1112),0),MATCH('001-C DMR'!$EY$11,'DMR 001C NEW'!$A$2:$O$2,0)),"")</f>
        <v/>
      </c>
      <c r="FD36" s="280" t="str">
        <f t="array" ref="FD36">_xlfn.IFNA(INDEX('DMR 001C NEW'!$A$3:$O$999,MATCH(('001-C DMR'!$ET$6&amp;'001-C DMR'!FD$10&amp;'001-C DMR'!$B36),('DMR 001C NEW'!$E$3:$E$1112&amp;'DMR 001C NEW'!$B$3:$B$1112&amp;'DMR 001C NEW'!$A$3:$A$1112),0),MATCH('001-C DMR'!$EY$11,'DMR 001C NEW'!$A$2:$O$2,0)),"")</f>
        <v/>
      </c>
      <c r="FE36" s="281" t="str">
        <f t="array" ref="FE36">_xlfn.IFNA(INDEX('DMR 001C NEW'!$A$3:$O$999,MATCH(('001-C DMR'!$ET$6&amp;'001-C DMR'!FE$10&amp;'001-C DMR'!$B36),('DMR 001C NEW'!$E$3:$E$1112&amp;'DMR 001C NEW'!$B$3:$B$1112&amp;'DMR 001C NEW'!$A$3:$A$1112),0),MATCH('001-C DMR'!$EY$11,'DMR 001C NEW'!$A$2:$O$2,0)),"")</f>
        <v/>
      </c>
      <c r="FF36" s="57" t="str">
        <f t="shared" si="22"/>
        <v/>
      </c>
      <c r="FG36" s="56">
        <f t="array" ref="FG36">_xlfn.IFNA(INDEX('DMR 001C NEW'!$A$3:$O$9999,MATCH(('001-C DMR'!$FF$6&amp;'001-C DMR'!$FF$10&amp;'001-C DMR'!$B36),('DMR 001C NEW'!$E$3:$E$7246&amp;'DMR 001C NEW'!$B$3:$B$7246&amp;'DMR 001C NEW'!$A$3:$A$7246),0),MATCH('001-C DMR'!$FG$11,'DMR 001C NEW'!$A$2:$O$2,0)),"")</f>
        <v>0</v>
      </c>
      <c r="FH36" s="56">
        <f t="array" ref="FH36">_xlfn.IFNA(INDEX('DMR 001C NEW'!$A$3:$O$9999,MATCH(('001-C DMR'!$FF$6&amp;'001-C DMR'!$FF$10&amp;'001-C DMR'!$B36),('DMR 001C NEW'!$E$3:$E$7246&amp;'DMR 001C NEW'!$B$3:$B$7246&amp;'DMR 001C NEW'!$A$3:$A$7246),0),MATCH('001-C DMR'!$FH$11,'DMR 001C NEW'!$A$2:$O$2,0)),"")</f>
        <v>4</v>
      </c>
      <c r="FI36" s="57" t="str">
        <f t="shared" si="23"/>
        <v/>
      </c>
      <c r="FJ36" s="56">
        <f t="array" ref="FJ36">_xlfn.IFNA(INDEX('DMR 001C NEW'!$A$3:$O$9999,MATCH(('001-C DMR'!$FF$6&amp;'001-C DMR'!$FI$10&amp;'001-C DMR'!$B36),('DMR 001C NEW'!$E$3:$E$7246&amp;'DMR 001C NEW'!$B$3:$B$7246&amp;'DMR 001C NEW'!$A$3:$A$7246),0),MATCH('001-C DMR'!$FG$11,'DMR 001C NEW'!$A$2:$O$2,0)),"")</f>
        <v>0</v>
      </c>
      <c r="FK36" s="56">
        <f t="array" ref="FK36">_xlfn.IFNA(INDEX('DMR 001C NEW'!$A$3:$O$9999,MATCH(('001-C DMR'!$FF$6&amp;'001-C DMR'!$FI$10&amp;'001-C DMR'!$B36),('DMR 001C NEW'!$E$3:$E$7246&amp;'DMR 001C NEW'!$B$3:$B$7246&amp;'DMR 001C NEW'!$A$3:$A$7246),0),MATCH('001-C DMR'!$FH$11,'DMR 001C NEW'!$A$2:$O$2,0)),"")</f>
        <v>5</v>
      </c>
      <c r="FL36" s="56">
        <f t="array" ref="FL36">IFERROR((($FH36*$EI36)+($FK36*$EJ36))/($EK36),"")</f>
        <v>4.6621136081826595</v>
      </c>
      <c r="FM36" s="56" t="str">
        <f t="shared" si="43"/>
        <v/>
      </c>
      <c r="FN36" s="64" t="str">
        <f t="shared" si="37"/>
        <v/>
      </c>
      <c r="FO36" s="66"/>
      <c r="FP36" s="280" t="str">
        <f t="array" ref="FP36">_xlfn.IFNA(INDEX('DMR 001C NEW'!$A$3:$O$999,MATCH(('001-C DMR'!$FF$6&amp;'001-C DMR'!FP$10&amp;'001-C DMR'!$B36),('DMR 001C NEW'!$E$3:$E$1112&amp;'DMR 001C NEW'!$B$3:$B$1112&amp;'DMR 001C NEW'!$A$3:$A$1112),0),MATCH('001-C DMR'!$FH$11,'DMR 001C NEW'!$A$2:$O$2,0)),"")</f>
        <v/>
      </c>
      <c r="FQ36" s="280" t="str">
        <f t="array" ref="FQ36">_xlfn.IFNA(INDEX('DMR 001C NEW'!$A$3:$O$999,MATCH(('001-C DMR'!$FF$6&amp;'001-C DMR'!FQ$10&amp;'001-C DMR'!$B36),('DMR 001C NEW'!$E$3:$E$1112&amp;'DMR 001C NEW'!$B$3:$B$1112&amp;'DMR 001C NEW'!$A$3:$A$1112),0),MATCH('001-C DMR'!$FH$11,'DMR 001C NEW'!$A$2:$O$2,0)),"")</f>
        <v/>
      </c>
      <c r="FR36" s="280" t="str">
        <f t="array" ref="FR36">_xlfn.IFNA(INDEX('DMR 001C NEW'!$A$3:$O$999,MATCH(('001-C DMR'!$FF$6&amp;'001-C DMR'!FR$10&amp;'001-C DMR'!$B36),('DMR 001C NEW'!$E$3:$E$1112&amp;'DMR 001C NEW'!$B$3:$B$1112&amp;'DMR 001C NEW'!$A$3:$A$1112),0),MATCH('001-C DMR'!$FH$11,'DMR 001C NEW'!$A$2:$O$2,0)),"")</f>
        <v/>
      </c>
      <c r="FS36" s="280" t="str">
        <f t="array" ref="FS36">_xlfn.IFNA(INDEX('DMR 001C NEW'!$A$3:$O$999,MATCH(('001-C DMR'!$FF$6&amp;'001-C DMR'!FS$10&amp;'001-C DMR'!$B36),('DMR 001C NEW'!$E$3:$E$1112&amp;'DMR 001C NEW'!$B$3:$B$1112&amp;'DMR 001C NEW'!$A$3:$A$1112),0),MATCH('001-C DMR'!$FH$11,'DMR 001C NEW'!$A$2:$O$2,0)),"")</f>
        <v/>
      </c>
      <c r="FT36" s="280" t="str">
        <f t="array" ref="FT36">_xlfn.IFNA(INDEX('DMR 001C NEW'!$A$3:$O$999,MATCH(('001-C DMR'!$FF$6&amp;'001-C DMR'!FT$10&amp;'001-C DMR'!$B36),('DMR 001C NEW'!$E$3:$E$1112&amp;'DMR 001C NEW'!$B$3:$B$1112&amp;'DMR 001C NEW'!$A$3:$A$1112),0),MATCH('001-C DMR'!$FH$11,'DMR 001C NEW'!$A$2:$O$2,0)),"")</f>
        <v/>
      </c>
      <c r="FU36" s="280" t="str">
        <f t="array" ref="FU36">_xlfn.IFNA(INDEX('DMR 001C NEW'!$A$3:$O$999,MATCH(('001-C DMR'!$FF$6&amp;'001-C DMR'!FU$10&amp;'001-C DMR'!$B36),('DMR 001C NEW'!$E$3:$E$1112&amp;'DMR 001C NEW'!$B$3:$B$1112&amp;'DMR 001C NEW'!$A$3:$A$1112),0),MATCH('001-C DMR'!$FH$11,'DMR 001C NEW'!$A$2:$O$2,0)),"")</f>
        <v/>
      </c>
      <c r="FV36" s="66"/>
      <c r="FW36" s="61" t="str">
        <f t="shared" si="24"/>
        <v/>
      </c>
      <c r="FX36" s="58" t="str">
        <f t="array" ref="FX36">_xlfn.IFNA(INDEX('DMR 001C NEW'!$A$3:$O$9999,MATCH(('001-C DMR'!$FW$6&amp;'001-C DMR'!$FW$10&amp;'001-C DMR'!$B36),('DMR 001C NEW'!$E$3:$E$7246&amp;'DMR 001C NEW'!$B$3:$B$7246&amp;'DMR 001C NEW'!$A$3:$A$7246),0),MATCH('001-C DMR'!$FX$11,'DMR 001C NEW'!$A$2:$O$2,0)),"")</f>
        <v/>
      </c>
      <c r="FY36" s="58" t="str">
        <f t="array" ref="FY36">_xlfn.IFNA(INDEX('DMR 001C NEW'!$A$3:$O$9999,MATCH(('001-C DMR'!$FW$6&amp;'001-C DMR'!$FW$10&amp;'001-C DMR'!$B36),('DMR 001C NEW'!$E$3:$E$7246&amp;'DMR 001C NEW'!$B$3:$B$7246&amp;'DMR 001C NEW'!$A$3:$A$7246),0),MATCH('001-C DMR'!$FY$11,'DMR 001C NEW'!$A$2:$O$2,0)),"")</f>
        <v/>
      </c>
      <c r="FZ36" s="57" t="str">
        <f t="shared" si="25"/>
        <v/>
      </c>
      <c r="GA36" s="58" t="str">
        <f t="array" ref="GA36">_xlfn.IFNA(INDEX('DMR 001C NEW'!$A$3:$O$9999,MATCH(('001-C DMR'!$FW$6&amp;'001-C DMR'!$FZ$10&amp;'001-C DMR'!$B36),('DMR 001C NEW'!$E$3:$E$7246&amp;'DMR 001C NEW'!$B$3:$B$7246&amp;'DMR 001C NEW'!$A$3:$A$7246),0),MATCH('001-C DMR'!$FX$11,'DMR 001C NEW'!$A$2:$O$2,0)),"")</f>
        <v/>
      </c>
      <c r="GB36" s="58" t="str">
        <f t="array" ref="GB36">_xlfn.IFNA(INDEX('DMR 001C NEW'!$A$3:$O$9999,MATCH(('001-C DMR'!$FW$6&amp;'001-C DMR'!$FZ$10&amp;'001-C DMR'!$B36),('DMR 001C NEW'!$E$3:$E$7246&amp;'DMR 001C NEW'!$B$3:$B$7246&amp;'DMR 001C NEW'!$A$3:$A$7246),0),MATCH('001-C DMR'!$GB$11,'DMR 001C NEW'!$A$2:$O$2,0)),"")</f>
        <v/>
      </c>
      <c r="GC36" s="56" t="str">
        <f t="shared" si="4"/>
        <v/>
      </c>
      <c r="GD36" s="64" t="str">
        <f t="shared" si="38"/>
        <v/>
      </c>
      <c r="GE36" s="279" t="str">
        <f t="array" ref="GE36">_xlfn.IFNA(INDEX('DMR 001C NEW'!$A$3:$O$999,MATCH(('001-C DMR'!$FW$6&amp;'001-C DMR'!GE$10&amp;'001-C DMR'!$B36),('DMR 001C NEW'!$E$3:$E$1112&amp;'DMR 001C NEW'!$B$3:$B$1112&amp;'DMR 001C NEW'!$A$3:$A$1112),0),MATCH('001-C DMR'!$FY$11,'DMR 001C NEW'!$A$2:$O$2,0)),"")</f>
        <v/>
      </c>
      <c r="GF36" s="280" t="str">
        <f t="array" ref="GF36">_xlfn.IFNA(INDEX('DMR 001C NEW'!$A$3:$O$999,MATCH(('001-C DMR'!$FW$6&amp;'001-C DMR'!GF$10&amp;'001-C DMR'!$B36),('DMR 001C NEW'!$E$3:$E$1112&amp;'DMR 001C NEW'!$B$3:$B$1112&amp;'DMR 001C NEW'!$A$3:$A$1112),0),MATCH('001-C DMR'!$FY$11,'DMR 001C NEW'!$A$2:$O$2,0)),"")</f>
        <v/>
      </c>
      <c r="GG36" s="280" t="str">
        <f t="array" ref="GG36">_xlfn.IFNA(INDEX('DMR 001C NEW'!$A$3:$O$999,MATCH(('001-C DMR'!$FW$6&amp;'001-C DMR'!GG$10&amp;'001-C DMR'!$B36),('DMR 001C NEW'!$E$3:$E$1112&amp;'DMR 001C NEW'!$B$3:$B$1112&amp;'DMR 001C NEW'!$A$3:$A$1112),0),MATCH('001-C DMR'!$FY$11,'DMR 001C NEW'!$A$2:$O$2,0)),"")</f>
        <v/>
      </c>
      <c r="GH36" s="280" t="str">
        <f t="array" ref="GH36">_xlfn.IFNA(INDEX('DMR 001C NEW'!$A$3:$O$999,MATCH(('001-C DMR'!$FW$6&amp;'001-C DMR'!GH$10&amp;'001-C DMR'!$B36),('DMR 001C NEW'!$E$3:$E$1112&amp;'DMR 001C NEW'!$B$3:$B$1112&amp;'DMR 001C NEW'!$A$3:$A$1112),0),MATCH('001-C DMR'!$FY$11,'DMR 001C NEW'!$A$2:$O$2,0)),"")</f>
        <v/>
      </c>
      <c r="GI36" s="280" t="str">
        <f t="array" ref="GI36">_xlfn.IFNA(INDEX('DMR 001C NEW'!$A$3:$O$999,MATCH(('001-C DMR'!$FW$6&amp;'001-C DMR'!GI$10&amp;'001-C DMR'!$B36),('DMR 001C NEW'!$E$3:$E$1112&amp;'DMR 001C NEW'!$B$3:$B$1112&amp;'DMR 001C NEW'!$A$3:$A$1112),0),MATCH('001-C DMR'!$FY$11,'DMR 001C NEW'!$A$2:$O$2,0)),"")</f>
        <v/>
      </c>
      <c r="GJ36" s="281" t="str">
        <f t="array" ref="GJ36">_xlfn.IFNA(INDEX('DMR 001C NEW'!$A$3:$O$999,MATCH(('001-C DMR'!$FW$6&amp;'001-C DMR'!GJ$10&amp;'001-C DMR'!$B36),('DMR 001C NEW'!$E$3:$E$1112&amp;'DMR 001C NEW'!$B$3:$B$1112&amp;'DMR 001C NEW'!$A$3:$A$1112),0),MATCH('001-C DMR'!$FY$11,'DMR 001C NEW'!$A$2:$O$2,0)),"")</f>
        <v/>
      </c>
      <c r="GK36" s="58" t="str">
        <f t="array" ref="GK36">_xlfn.IFNA(INDEX('DMR 001C NEW'!$A$3:$O$9999,MATCH(('001-C DMR'!$GK$6&amp;'001-C DMR'!$GK$10&amp;'001-C DMR'!$B36),('DMR 001C NEW'!$E$3:$E$9018&amp;'DMR 001C NEW'!$B$3:$B$9018&amp;'DMR 001C NEW'!$A$3:$A$9018),0),MATCH('001-C DMR'!$GK$11,'DMR 001C NEW'!$A$2:$O$2,0)),"")</f>
        <v>n</v>
      </c>
      <c r="GL36" s="58" t="str">
        <f t="array" ref="GL36">_xlfn.IFNA(INDEX('DMR 001C NEW'!$A$3:$O$9999,MATCH(('001-C DMR'!$GK$6&amp;'001-C DMR'!$GL$10&amp;'001-C DMR'!$B36),('DMR 001C NEW'!$E$3:$E$9018&amp;'DMR 001C NEW'!$B$3:$B$9018&amp;'DMR 001C NEW'!$A$3:$A$9018),0),MATCH('001-C DMR'!$GK$11,'DMR 001C NEW'!$A$2:$O$2,0)),"")</f>
        <v>n</v>
      </c>
      <c r="GM36" s="134"/>
      <c r="GN36" s="64" t="str">
        <f t="shared" si="44"/>
        <v/>
      </c>
    </row>
    <row r="37" spans="1:196" s="51" customFormat="1" x14ac:dyDescent="0.25">
      <c r="A37" s="67" t="str">
        <f t="shared" si="5"/>
        <v>Thu</v>
      </c>
      <c r="B37" s="216">
        <f t="shared" si="26"/>
        <v>43699</v>
      </c>
      <c r="C37" s="93">
        <f t="array" ref="C37">INDEX('DMR 001C NEW'!$A$3:$N$10020,MATCH(('001-C DMR'!$C$6:$K$6&amp;'001-C DMR'!$C$10:$E$10&amp;'001-C DMR'!$B37),('DMR 001C NEW'!$E$3:$E$7246&amp;'DMR 001C NEW'!$B$3:$B$7246&amp;'DMR 001C NEW'!$A$3:$A$7246),0),MATCH('001-C DMR'!$C$11,'DMR 001C NEW'!$A$2:$O$2,0))</f>
        <v>5.8</v>
      </c>
      <c r="D37" s="56" t="str">
        <f t="array" ref="D37">INDEX('DMR 001C NEW'!$A$3:$N$11771,MATCH(('001-C DMR'!$C$6:$K$6&amp;'001-C DMR'!$C$10:$E$10&amp;'001-C DMR'!$B37),('DMR 001C NEW'!$E$3:$E$9018&amp;'DMR 001C NEW'!$B$3:$B$9018&amp;'DMR 001C NEW'!$A$3:$A$9018),0),MATCH('001-C DMR'!$D$11,'DMR 001C NEW'!$A$2:$O$2,0))</f>
        <v>AE70130</v>
      </c>
      <c r="E37" s="56">
        <f t="array" ref="E37">INDEX('DMR 001C NEW'!$A$3:$N$9999,MATCH(('001-C DMR'!$E$11&amp;'001-C DMR'!$C$10:$E$10&amp;'001-C DMR'!$B37&amp;$D37),('DMR 001C NEW'!$E$3:$E$7246&amp;'DMR 001C NEW'!$B$3:$B$7246&amp;'DMR 001C NEW'!$A$3:$A$7246&amp;'DMR 001C NEW'!$M$3:$M$7188),0),MATCH($C$11,'DMR 001C NEW'!$A$2:$O$2,0))</f>
        <v>55.46</v>
      </c>
      <c r="F37" s="56">
        <f t="array" ref="F37">INDEX('DMR 001C NEW'!$A$3:$N$9999,MATCH('001-C DMR'!$C$6:$K$6&amp;'001-C DMR'!$F$10&amp;'001-C DMR'!$B37,('DMR 001C NEW'!$E$3:$E$7246&amp;'DMR 001C NEW'!$B$3:$B$7246&amp;'DMR 001C NEW'!$A$3:$A$7246),0),MATCH('001-C DMR'!$C$11,'DMR 001C NEW'!$A$2:$O$2,0))</f>
        <v>6.5</v>
      </c>
      <c r="G37" s="56" t="str">
        <f t="array" ref="G37">INDEX('DMR 001C NEW'!$A$3:$N$3865,MATCH(('001-C DMR'!$C$6:$K$6&amp;'001-C DMR'!$F$10&amp;'001-C DMR'!$B37),('DMR 001C NEW'!$E$3:$E$1112&amp;'DMR 001C NEW'!$B$3:$B$1112&amp;'DMR 001C NEW'!$A$3:$A$1112),0),MATCH('001-C DMR'!$D$11,'DMR 001C NEW'!$A$2:$O$2,0))</f>
        <v>AE70131</v>
      </c>
      <c r="H37" s="56">
        <f t="array" ref="H37">INDEX('DMR 001C NEW'!$A$3:$N$9999,MATCH(('001-C DMR'!$E$11&amp;'001-C DMR'!$F$10&amp;'001-C DMR'!$B37&amp;$G37),('DMR 001C NEW'!$E$3:$E$7246&amp;'DMR 001C NEW'!$B$3:$B$7246&amp;'DMR 001C NEW'!$A$3:$A$7246&amp;'DMR 001C NEW'!$M$3:$M$7188),0),MATCH($C$11,'DMR 001C NEW'!$A$2:$O$2,0))</f>
        <v>88.42</v>
      </c>
      <c r="I37" s="56">
        <f t="shared" si="0"/>
        <v>6.2301779260494863</v>
      </c>
      <c r="J37" s="58" t="str">
        <f t="shared" si="39"/>
        <v/>
      </c>
      <c r="K37" s="64" t="str">
        <f t="shared" si="40"/>
        <v/>
      </c>
      <c r="L37" s="262" t="str">
        <f t="array" ref="L37">_xlfn.IFNA(INDEX('DMR 001C NEW'!$A$3:$N$3865,MATCH(('001-C DMR'!$C$6:$K$6&amp;'001-C DMR'!L$10&amp;'001-C DMR'!$B37),('DMR 001C NEW'!$E$3:$E$1112&amp;'DMR 001C NEW'!$B$3:$B$1112&amp;'DMR 001C NEW'!$A$3:$A$1112),0),MATCH('001-C DMR'!$C$11,'DMR 001C NEW'!$A$2:$O$2,0)),"")</f>
        <v/>
      </c>
      <c r="M37" s="262" t="str">
        <f t="array" ref="M37">_xlfn.IFNA(INDEX('DMR 001C NEW'!$A$3:$N$3865,MATCH(('001-C DMR'!$C$6:$K$6&amp;'001-C DMR'!M$10&amp;'001-C DMR'!$B37),('DMR 001C NEW'!$E$3:$E$1112&amp;'DMR 001C NEW'!$B$3:$B$1112&amp;'DMR 001C NEW'!$A$3:$A$1112),0),MATCH('001-C DMR'!$C$11,'DMR 001C NEW'!$A$2:$O$2,0)),"")</f>
        <v/>
      </c>
      <c r="N37" s="262" t="str">
        <f t="array" ref="N37">_xlfn.IFNA(INDEX('DMR 001C NEW'!$A$3:$N$3865,MATCH(('001-C DMR'!$C$6:$K$6&amp;'001-C DMR'!N$10&amp;'001-C DMR'!$B37),('DMR 001C NEW'!$E$3:$E$1112&amp;'DMR 001C NEW'!$B$3:$B$1112&amp;'DMR 001C NEW'!$A$3:$A$1112),0),MATCH('001-C DMR'!$C$11,'DMR 001C NEW'!$A$2:$O$2,0)),"")</f>
        <v/>
      </c>
      <c r="O37" s="262" t="str">
        <f t="array" ref="O37">_xlfn.IFNA(INDEX('DMR 001C NEW'!$A$3:$N$3865,MATCH(('001-C DMR'!$C$6:$K$6&amp;'001-C DMR'!O$10&amp;'001-C DMR'!$B37),('DMR 001C NEW'!$E$3:$E$1112&amp;'DMR 001C NEW'!$B$3:$B$1112&amp;'DMR 001C NEW'!$A$3:$A$1112),0),MATCH('001-C DMR'!$C$11,'DMR 001C NEW'!$A$2:$O$2,0)),"")</f>
        <v/>
      </c>
      <c r="P37" s="262" t="str">
        <f t="array" ref="P37">_xlfn.IFNA(INDEX('DMR 001C NEW'!$A$3:$N$3865,MATCH(('001-C DMR'!$C$6:$K$6&amp;'001-C DMR'!P$10&amp;'001-C DMR'!$B37),('DMR 001C NEW'!$E$3:$E$1112&amp;'DMR 001C NEW'!$B$3:$B$1112&amp;'DMR 001C NEW'!$A$3:$A$1112),0),MATCH('001-C DMR'!$C$11,'DMR 001C NEW'!$A$2:$O$2,0)),"")</f>
        <v/>
      </c>
      <c r="Q37" s="120" t="e">
        <f t="array" ref="Q37">INDEX('DMR 001C NEW'!$A$3:$N$3865,MATCH(('001-C DMR'!$C$6:$K$6&amp;'001-C DMR'!Q$10&amp;'001-C DMR'!$B37),('DMR 001C NEW'!$E$3:$E$1112&amp;'DMR 001C NEW'!$B$3:$B$1112&amp;'DMR 001C NEW'!$A$3:$A$1112),0),MATCH('001-C DMR'!$C$11,'DMR 001C NEW'!$A$2:$O$2,0))</f>
        <v>#N/A</v>
      </c>
      <c r="R37" s="61"/>
      <c r="S37" s="56">
        <f t="array" ref="S37">_xlfn.IFNA(INDEX('DMR 001C NEW'!$A$3:$N$11771,MATCH(('001-C DMR'!$R$6:$T$6&amp;'001-C DMR'!$R$10&amp;'001-C DMR'!$B37),('DMR 001C NEW'!$E$3:$E$9018&amp;'DMR 001C NEW'!$B$3:$B$9018&amp;'DMR 001C NEW'!$A$3:$A$9018),0),MATCH('001-C DMR'!$S$11,'DMR 001C NEW'!$A$2:$O$2,0)),"")</f>
        <v>7</v>
      </c>
      <c r="T37" s="64" t="str">
        <f t="shared" si="41"/>
        <v/>
      </c>
      <c r="U37" s="262" t="str">
        <f t="array" ref="U37">_xlfn.IFNA(INDEX('DMR 001C NEW'!$A$3:$O$591,MATCH('001-C DMR'!$R$6:$T$6&amp;'001-C DMR'!U$10&amp;'001-C DMR'!$B37,('DMR 001C NEW'!$E$3:$E$704&amp;'DMR 001C NEW'!$B$3:$B$704&amp;'DMR 001C NEW'!$A$3:$A$704),0),MATCH('001-C DMR'!$U$11,'DMR 001C NEW'!$A$2:$O$2,0)),"")</f>
        <v/>
      </c>
      <c r="V37" s="262" t="str">
        <f t="array" ref="V37">_xlfn.IFNA(INDEX('DMR 001C NEW'!$A$3:$O$591,MATCH('001-C DMR'!$R$6:$T$6&amp;'001-C DMR'!V$10&amp;'001-C DMR'!$B37,('DMR 001C NEW'!$E$3:$E$704&amp;'DMR 001C NEW'!$B$3:$B$704&amp;'DMR 001C NEW'!$A$3:$A$704),0),MATCH('001-C DMR'!$U$11,'DMR 001C NEW'!$A$2:$O$2,0)),"")</f>
        <v/>
      </c>
      <c r="W37" s="262" t="str">
        <f t="array" ref="W37">_xlfn.IFNA(INDEX('DMR 001C NEW'!$A$3:$O$591,MATCH('001-C DMR'!$R$6:$T$6&amp;'001-C DMR'!W$10&amp;'001-C DMR'!$B37,('DMR 001C NEW'!$E$3:$E$704&amp;'DMR 001C NEW'!$B$3:$B$704&amp;'DMR 001C NEW'!$A$3:$A$704),0),MATCH('001-C DMR'!$U$11,'DMR 001C NEW'!$A$2:$O$2,0)),"")</f>
        <v/>
      </c>
      <c r="X37" s="262" t="str">
        <f t="array" ref="X37">_xlfn.IFNA(INDEX('DMR 001C NEW'!$A$3:$O$591,MATCH('001-C DMR'!$R$6:$T$6&amp;'001-C DMR'!X$10&amp;'001-C DMR'!$B37,('DMR 001C NEW'!$E$3:$E$704&amp;'DMR 001C NEW'!$B$3:$B$704&amp;'DMR 001C NEW'!$A$3:$A$704),0),MATCH('001-C DMR'!$U$11,'DMR 001C NEW'!$A$2:$O$2,0)),"")</f>
        <v/>
      </c>
      <c r="Y37" s="262" t="str">
        <f t="array" ref="Y37">_xlfn.IFNA(INDEX('DMR 001C NEW'!$A$3:$O$591,MATCH('001-C DMR'!$R$6:$T$6&amp;'001-C DMR'!Y$10&amp;'001-C DMR'!$B37,('DMR 001C NEW'!$E$3:$E$704&amp;'DMR 001C NEW'!$B$3:$B$704&amp;'DMR 001C NEW'!$A$3:$A$704),0),MATCH('001-C DMR'!$U$11,'DMR 001C NEW'!$A$2:$O$2,0)),"")</f>
        <v/>
      </c>
      <c r="Z37" s="262" t="str">
        <f t="array" ref="Z37">_xlfn.IFNA(INDEX('DMR 001C NEW'!$A$3:$O$591,MATCH('001-C DMR'!$R$6:$T$6&amp;'001-C DMR'!Z$10&amp;'001-C DMR'!$B37,('DMR 001C NEW'!$E$3:$E$704&amp;'DMR 001C NEW'!$B$3:$B$704&amp;'DMR 001C NEW'!$A$3:$A$704),0),MATCH('001-C DMR'!$U$11,'DMR 001C NEW'!$A$2:$O$2,0)),"")</f>
        <v/>
      </c>
      <c r="AA37" s="262" t="str">
        <f t="array" ref="AA37">_xlfn.IFNA(INDEX('DMR 001C NEW'!$A$3:$O$591,MATCH('001-C DMR'!$R$6:$T$6&amp;'001-C DMR'!AA$10&amp;'001-C DMR'!$B37,('DMR 001C NEW'!$E$3:$E$704&amp;'DMR 001C NEW'!$B$3:$B$704&amp;'DMR 001C NEW'!$A$3:$A$704),0),MATCH('001-C DMR'!$U$11,'DMR 001C NEW'!$A$2:$O$2,0)),"")</f>
        <v/>
      </c>
      <c r="AB37" s="61" t="str">
        <f t="array" ref="AB37">IF(AD37&lt;AC37,"&lt;","")</f>
        <v/>
      </c>
      <c r="AC37" s="56">
        <f t="array" ref="AC37">_xlfn.IFNA(INDEX('DMR 001C NEW'!$A$3:$O$9999,MATCH(('001-C DMR'!$AB$6:$AJ$6&amp;'001-C DMR'!$AB$10:$AD$10&amp;'001-C DMR'!$B37),('DMR 001C NEW'!$E$3:$E$7246&amp;'DMR 001C NEW'!$B$3:$B$7246&amp;'DMR 001C NEW'!$A$3:$A$7246),0),MATCH('001-C DMR'!$AC$11,'DMR 001C NEW'!$A$2:$O$2,0)),"")</f>
        <v>3</v>
      </c>
      <c r="AD37" s="56">
        <f t="array" ref="AD37">_xlfn.IFNA(INDEX('DMR 001C NEW'!$A$3:$O$9999,MATCH(('001-C DMR'!$AB$6:$AJ$6&amp;'001-C DMR'!$AB$10:$AD$10&amp;'001-C DMR'!$B37),('DMR 001C NEW'!$E$3:$E$7246&amp;'DMR 001C NEW'!$B$3:$B$7246&amp;'DMR 001C NEW'!$A$3:$A$7246),0),MATCH('001-C DMR'!$AD$11,'DMR 001C NEW'!$A$2:$O$2,0)),"")</f>
        <v>13</v>
      </c>
      <c r="AE37" s="57" t="str">
        <f t="array" ref="AE37">IF(AG37&lt;AF37,"&lt;","")</f>
        <v/>
      </c>
      <c r="AF37" s="56">
        <f t="array" ref="AF37">_xlfn.IFNA(INDEX('DMR 001C NEW'!$A$3:$O$9999,MATCH(('001-C DMR'!$AB$6:$AJ$6&amp;'001-C DMR'!$AE$10&amp;'001-C DMR'!$B37),('DMR 001C NEW'!$E$3:$E$9018&amp;'DMR 001C NEW'!$B$3:$B$9018&amp;'DMR 001C NEW'!$A$3:$A$9018),0),MATCH('001-C DMR'!$AF$11,'DMR 001C NEW'!$A$2:$O$2,0)),"")</f>
        <v>3</v>
      </c>
      <c r="AG37" s="56">
        <f t="array" ref="AG37">_xlfn.IFNA(INDEX('DMR 001C NEW'!$A$3:$O$9999,MATCH(('001-C DMR'!$AB$6:$AJ$6&amp;'001-C DMR'!$AE$10&amp;'001-C DMR'!$B37),('DMR 001C NEW'!$E$3:$E$9018&amp;'DMR 001C NEW'!$B$3:$B$9018&amp;'DMR 001C NEW'!$A$3:$A$9018),0),MATCH('001-C DMR'!$AG$11,'DMR 001C NEW'!$A$2:$O$2,0)),"")</f>
        <v>12</v>
      </c>
      <c r="AH37" s="56">
        <f t="array" ref="AH37">IFERROR((($AD37*$EI37)+($AG37*$EJ37))/($EK37),"")</f>
        <v>12.361793251131145</v>
      </c>
      <c r="AI37" s="56" t="str">
        <f t="shared" si="42"/>
        <v/>
      </c>
      <c r="AJ37" s="64" t="str">
        <f t="shared" si="30"/>
        <v/>
      </c>
      <c r="AK37" s="262" t="str">
        <f t="array" ref="AK37">_xlfn.IFNA(INDEX('DMR 001C NEW'!$A$3:$O$999,MATCH(('001-C DMR'!$AB$6:$AJ$6&amp;'001-C DMR'!AK$10&amp;'001-C DMR'!$B37),('DMR 001C NEW'!$E$3:$E$1112&amp;'DMR 001C NEW'!$B$3:$B$1112&amp;'DMR 001C NEW'!$A$3:$A$1112),0),MATCH('001-C DMR'!$AD$11,'DMR 001C NEW'!$A$2:$O$2,0)),"")</f>
        <v/>
      </c>
      <c r="AL37" s="262" t="str">
        <f t="array" ref="AL37">_xlfn.IFNA(INDEX('DMR 001C NEW'!$A$3:$O$999,MATCH(('001-C DMR'!$AB$6:$AJ$6&amp;'001-C DMR'!AL$10&amp;'001-C DMR'!$B37),('DMR 001C NEW'!$E$3:$E$1112&amp;'DMR 001C NEW'!$B$3:$B$1112&amp;'DMR 001C NEW'!$A$3:$A$1112),0),MATCH('001-C DMR'!$AD$11,'DMR 001C NEW'!$A$2:$O$2,0)),"")</f>
        <v/>
      </c>
      <c r="AM37" s="262" t="str">
        <f t="array" ref="AM37">_xlfn.IFNA(INDEX('DMR 001C NEW'!$A$3:$O$999,MATCH(('001-C DMR'!$AB$6:$AJ$6&amp;'001-C DMR'!AM$10&amp;'001-C DMR'!$B37),('DMR 001C NEW'!$E$3:$E$1112&amp;'DMR 001C NEW'!$B$3:$B$1112&amp;'DMR 001C NEW'!$A$3:$A$1112),0),MATCH('001-C DMR'!$AD$11,'DMR 001C NEW'!$A$2:$O$2,0)),"")</f>
        <v/>
      </c>
      <c r="AN37" s="262" t="str">
        <f t="array" ref="AN37">_xlfn.IFNA(INDEX('DMR 001C NEW'!$A$3:$O$999,MATCH(('001-C DMR'!$AB$6:$AJ$6&amp;'001-C DMR'!AN$10&amp;'001-C DMR'!$B37),('DMR 001C NEW'!$E$3:$E$1112&amp;'DMR 001C NEW'!$B$3:$B$1112&amp;'DMR 001C NEW'!$A$3:$A$1112),0),MATCH('001-C DMR'!$AD$11,'DMR 001C NEW'!$A$2:$O$2,0)),"")</f>
        <v/>
      </c>
      <c r="AO37" s="262" t="str">
        <f t="array" ref="AO37">_xlfn.IFNA(INDEX('DMR 001C NEW'!$A$3:$O$999,MATCH(('001-C DMR'!$AB$6:$AJ$6&amp;'001-C DMR'!AO$10&amp;'001-C DMR'!$B37),('DMR 001C NEW'!$E$3:$E$1112&amp;'DMR 001C NEW'!$B$3:$B$1112&amp;'DMR 001C NEW'!$A$3:$A$1112),0),MATCH('001-C DMR'!$AD$11,'DMR 001C NEW'!$A$2:$O$2,0)),"")</f>
        <v/>
      </c>
      <c r="AP37" s="262" t="str">
        <f t="array" ref="AP37">_xlfn.IFNA(INDEX('DMR 001C NEW'!$A$3:$O$999,MATCH(('001-C DMR'!$AB$6:$AJ$6&amp;'001-C DMR'!AP$10&amp;'001-C DMR'!$B37),('DMR 001C NEW'!$E$3:$E$1112&amp;'DMR 001C NEW'!$B$3:$B$1112&amp;'DMR 001C NEW'!$A$3:$A$1112),0),MATCH('001-C DMR'!$AD$11,'DMR 001C NEW'!$A$2:$O$2,0)),"")</f>
        <v/>
      </c>
      <c r="AQ37" s="61" t="str">
        <f t="array" ref="AQ37">IF(AS37&lt;AR37,"&lt;","")</f>
        <v/>
      </c>
      <c r="AR37" s="58">
        <f t="array" ref="AR37">_xlfn.IFNA((INDEX('DMR 001C NEW'!$A$3:$O$9999,MATCH(('001-C DMR'!$AQ$6:$AZ$6&amp;'001-C DMR'!$AQ$10:$AS$10&amp;'001-C DMR'!$B37),('DMR 001C NEW'!$E$3:$E$7246&amp;'DMR 001C NEW'!$B$3:$B$7246&amp;'DMR 001C NEW'!$A$3:$A$7246),0),MATCH('001-C DMR'!$AR$11,'DMR 001C NEW'!$A$2:$O$2,0))),"")</f>
        <v>0.15</v>
      </c>
      <c r="AS37" s="58">
        <f t="array" ref="AS37">_xlfn.IFNA(INDEX('DMR 001C NEW'!$A$3:$O$9999,MATCH(('001-C DMR'!$AQ$6:$AZ$6&amp;'001-C DMR'!$AQ$10:$AS$10&amp;'001-C DMR'!$B37),('DMR 001C NEW'!$E$3:$E$7246&amp;'DMR 001C NEW'!$B$3:$B$7246&amp;'DMR 001C NEW'!$A$3:$A$7246),0),MATCH('001-C DMR'!$AS$11,'DMR 001C NEW'!$A$2:$O$2,0)),"")</f>
        <v>1.88</v>
      </c>
      <c r="AT37" s="58">
        <f t="shared" si="27"/>
        <v>1.88</v>
      </c>
      <c r="AU37" s="57" t="str">
        <f t="array" ref="AU37">IF(AW37&lt;AV37,"&lt;","")</f>
        <v/>
      </c>
      <c r="AV37" s="58">
        <f t="array" ref="AV37">_xlfn.IFNA((INDEX('DMR 001C NEW'!$A$3:$O$9999,MATCH(('001-C DMR'!$AQ$6:$AZ$6&amp;'001-C DMR'!$AU$10&amp;'001-C DMR'!$B37),('DMR 001C NEW'!$E$3:$E$7246&amp;'DMR 001C NEW'!$B$3:$B$7246&amp;'DMR 001C NEW'!$A$3:$A$7246),0),MATCH('001-C DMR'!$AR$11,'DMR 001C NEW'!$A$2:$O$2,0))),"")</f>
        <v>0.15</v>
      </c>
      <c r="AW37" s="58">
        <f t="array" ref="AW37">_xlfn.IFNA(INDEX('DMR 001C NEW'!$A$3:$O$9999,MATCH(('001-C DMR'!$AQ$6:$AZ$6&amp;'001-C DMR'!$AU$10&amp;'001-C DMR'!$B37),('DMR 001C NEW'!$E$3:$E$7246&amp;'DMR 001C NEW'!$B$3:$B$7246&amp;'DMR 001C NEW'!$A$3:$A$7246),0),MATCH('001-C DMR'!$AW$11,'DMR 001C NEW'!$A$2:$O$2,0)),"")</f>
        <v>0.19</v>
      </c>
      <c r="AX37" s="58">
        <f t="shared" si="6"/>
        <v>0.19</v>
      </c>
      <c r="AY37" s="56">
        <f t="array" ref="AY37">IFERROR((($AT37*$EI37)+($AX37*$EJ37))/($EK37),"")</f>
        <v>0.80143059441163267</v>
      </c>
      <c r="AZ37" s="64" t="str">
        <f t="shared" si="31"/>
        <v/>
      </c>
      <c r="BA37" s="279" t="str">
        <f t="array" ref="BA37">_xlfn.IFNA(INDEX('DMR 001C NEW'!$A$3:$O$9999,MATCH(('001-C DMR'!$AQ$6:$AZ$6&amp;'001-C DMR'!BA$10&amp;'001-C DMR'!$B37),('DMR 001C NEW'!$E$3:$E$1112&amp;'DMR 001C NEW'!$B$3:$B$1112&amp;'DMR 001C NEW'!$A$3:$A$1112),0),MATCH('001-C DMR'!$BA$11,'DMR 001C NEW'!$A$2:$O$2,0)),"")</f>
        <v/>
      </c>
      <c r="BB37" s="280" t="str">
        <f t="array" ref="BB37">_xlfn.IFNA(INDEX('DMR 001C NEW'!$A$3:$O$9999,MATCH(('001-C DMR'!$AQ$6:$AZ$6&amp;'001-C DMR'!BB$10&amp;'001-C DMR'!$B37),('DMR 001C NEW'!$E$3:$E$1112&amp;'DMR 001C NEW'!$B$3:$B$1112&amp;'DMR 001C NEW'!$A$3:$A$1112),0),MATCH('001-C DMR'!$BA$11,'DMR 001C NEW'!$A$2:$O$2,0)),"")</f>
        <v/>
      </c>
      <c r="BC37" s="280" t="str">
        <f t="array" ref="BC37">_xlfn.IFNA(INDEX('DMR 001C NEW'!$A$3:$O$9999,MATCH(('001-C DMR'!$AQ$6:$AZ$6&amp;'001-C DMR'!BC$10&amp;'001-C DMR'!$B37),('DMR 001C NEW'!$E$3:$E$1112&amp;'DMR 001C NEW'!$B$3:$B$1112&amp;'DMR 001C NEW'!$A$3:$A$1112),0),MATCH('001-C DMR'!$BA$11,'DMR 001C NEW'!$A$2:$O$2,0)),"")</f>
        <v/>
      </c>
      <c r="BD37" s="280" t="str">
        <f t="array" ref="BD37">_xlfn.IFNA(INDEX('DMR 001C NEW'!$A$3:$O$9999,MATCH(('001-C DMR'!$AQ$6:$AZ$6&amp;'001-C DMR'!BD$10&amp;'001-C DMR'!$B37),('DMR 001C NEW'!$E$3:$E$1112&amp;'DMR 001C NEW'!$B$3:$B$1112&amp;'DMR 001C NEW'!$A$3:$A$1112),0),MATCH('001-C DMR'!$BA$11,'DMR 001C NEW'!$A$2:$O$2,0)),"")</f>
        <v/>
      </c>
      <c r="BE37" s="280" t="str">
        <f t="array" ref="BE37">_xlfn.IFNA(INDEX('DMR 001C NEW'!$A$3:$O$9999,MATCH(('001-C DMR'!$AQ$6:$AZ$6&amp;'001-C DMR'!BE$10&amp;'001-C DMR'!$B37),('DMR 001C NEW'!$E$3:$E$1112&amp;'DMR 001C NEW'!$B$3:$B$1112&amp;'DMR 001C NEW'!$A$3:$A$1112),0),MATCH('001-C DMR'!$BA$11,'DMR 001C NEW'!$A$2:$O$2,0)),"")</f>
        <v/>
      </c>
      <c r="BF37" s="281" t="str">
        <f t="array" ref="BF37">_xlfn.IFNA(INDEX('DMR 001C NEW'!$A$3:$O$9999,MATCH(('001-C DMR'!$AQ$6:$AZ$6&amp;'001-C DMR'!BF$10&amp;'001-C DMR'!$B37),('DMR 001C NEW'!$E$3:$E$1112&amp;'DMR 001C NEW'!$B$3:$B$1112&amp;'DMR 001C NEW'!$A$3:$A$1112),0),MATCH('001-C DMR'!$BA$11,'DMR 001C NEW'!$A$2:$O$2,0)),"")</f>
        <v/>
      </c>
      <c r="BG37" s="57"/>
      <c r="BH37" s="58">
        <f t="array" ref="BH37">_xlfn.IFNA((INDEX('DMR 001C NEW'!$A$3:$O$9999,MATCH(('001-C DMR'!$BG$6&amp;'001-C DMR'!$BG$10&amp;'001-C DMR'!$B37),('DMR 001C NEW'!$E$3:$E$7246&amp;'DMR 001C NEW'!$B$3:$B$7246&amp;'DMR 001C NEW'!$A$3:$A$7246),0),MATCH('001-C DMR'!$BH$11,'DMR 001C NEW'!$A$2:$O$2,0))),"")</f>
        <v>0.06</v>
      </c>
      <c r="BI37" s="58">
        <f t="array" ref="BI37">_xlfn.IFNA(INDEX('DMR 001C NEW'!$A$3:$O$9999,MATCH(('001-C DMR'!$BG$6&amp;'001-C DMR'!$BG$10&amp;'001-C DMR'!$B37),('DMR 001C NEW'!$E$3:$E$7246&amp;'DMR 001C NEW'!$B$3:$B$7246&amp;'DMR 001C NEW'!$A$3:$A$7246),0),MATCH('001-C DMR'!$BI$11,'DMR 001C NEW'!$A$2:$O$2,0)),"")</f>
        <v>4.95</v>
      </c>
      <c r="BJ37" s="58">
        <f t="shared" si="7"/>
        <v>4.95</v>
      </c>
      <c r="BK37" s="57" t="str">
        <f t="shared" si="8"/>
        <v/>
      </c>
      <c r="BL37" s="58">
        <f t="array" ref="BL37">_xlfn.IFNA((INDEX('DMR 001C NEW'!$A$3:$O$9999,MATCH(('001-C DMR'!$BG$6&amp;'001-C DMR'!$BK$10&amp;'001-C DMR'!$B37),('DMR 001C NEW'!$E$3:$E$7246&amp;'DMR 001C NEW'!$B$3:$B$7246&amp;'DMR 001C NEW'!$A$3:$A$7246),0),MATCH('001-C DMR'!$BH$11,'DMR 001C NEW'!$A$2:$O$2,0))),"")</f>
        <v>0.06</v>
      </c>
      <c r="BM37" s="58">
        <f t="array" ref="BM37">_xlfn.IFNA(INDEX('DMR 001C NEW'!$A$3:$O$9999,MATCH(('001-C DMR'!$BG$6&amp;'001-C DMR'!$BK$10&amp;'001-C DMR'!$B37),('DMR 001C NEW'!$E$3:$E$7246&amp;'DMR 001C NEW'!$B$3:$B$7246&amp;'DMR 001C NEW'!$A$3:$A$7246),0),MATCH('001-C DMR'!$BI$11,'DMR 001C NEW'!$A$2:$O$2,0)),"")</f>
        <v>6</v>
      </c>
      <c r="BN37" s="58">
        <f t="shared" si="9"/>
        <v>6</v>
      </c>
      <c r="BO37" s="56">
        <f t="array" ref="BO37">IFERROR((($BJ37*$EI37)+($BN37*$EJ37))/($EK37),"")</f>
        <v>5.6201170863123</v>
      </c>
      <c r="BP37" s="64" t="str">
        <f t="shared" si="32"/>
        <v/>
      </c>
      <c r="BQ37" s="280" t="str">
        <f t="array" ref="BQ37">_xlfn.IFNA(INDEX('DMR 001C NEW'!$A$3:$O$999,MATCH(('001-C DMR'!$BG$6&amp;'001-C DMR'!BQ$10&amp;'001-C DMR'!$B37),('DMR 001C NEW'!$E$3:$E$1112&amp;'DMR 001C NEW'!$B$3:$B$1112&amp;'DMR 001C NEW'!$A$3:$A$1112),0),MATCH('001-C DMR'!$BQ$11,'DMR 001C NEW'!$A$2:$O$2,0)),"")</f>
        <v/>
      </c>
      <c r="BR37" s="280" t="str">
        <f t="array" ref="BR37">_xlfn.IFNA(INDEX('DMR 001C NEW'!$A$3:$O$999,MATCH(('001-C DMR'!$BG$6&amp;'001-C DMR'!BR$10&amp;'001-C DMR'!$B37),('DMR 001C NEW'!$E$3:$E$1112&amp;'DMR 001C NEW'!$B$3:$B$1112&amp;'DMR 001C NEW'!$A$3:$A$1112),0),MATCH('001-C DMR'!$BQ$11,'DMR 001C NEW'!$A$2:$O$2,0)),"")</f>
        <v/>
      </c>
      <c r="BS37" s="280" t="str">
        <f t="array" ref="BS37">_xlfn.IFNA(INDEX('DMR 001C NEW'!$A$3:$O$999,MATCH(('001-C DMR'!$BG$6&amp;'001-C DMR'!BS$10&amp;'001-C DMR'!$B37),('DMR 001C NEW'!$E$3:$E$1112&amp;'DMR 001C NEW'!$B$3:$B$1112&amp;'DMR 001C NEW'!$A$3:$A$1112),0),MATCH('001-C DMR'!$BQ$11,'DMR 001C NEW'!$A$2:$O$2,0)),"")</f>
        <v/>
      </c>
      <c r="BT37" s="280" t="str">
        <f t="array" ref="BT37">_xlfn.IFNA(INDEX('DMR 001C NEW'!$A$3:$O$999,MATCH(('001-C DMR'!$BG$6&amp;'001-C DMR'!BT$10&amp;'001-C DMR'!$B37),('DMR 001C NEW'!$E$3:$E$1112&amp;'DMR 001C NEW'!$B$3:$B$1112&amp;'DMR 001C NEW'!$A$3:$A$1112),0),MATCH('001-C DMR'!$BQ$11,'DMR 001C NEW'!$A$2:$O$2,0)),"")</f>
        <v/>
      </c>
      <c r="BU37" s="280" t="str">
        <f t="array" ref="BU37">_xlfn.IFNA(INDEX('DMR 001C NEW'!$A$3:$O$999,MATCH(('001-C DMR'!$BG$6&amp;'001-C DMR'!BU$10&amp;'001-C DMR'!$B37),('DMR 001C NEW'!$E$3:$E$1112&amp;'DMR 001C NEW'!$B$3:$B$1112&amp;'DMR 001C NEW'!$A$3:$A$1112),0),MATCH('001-C DMR'!$BQ$11,'DMR 001C NEW'!$A$2:$O$2,0)),"")</f>
        <v/>
      </c>
      <c r="BV37" s="280" t="str">
        <f t="array" ref="BV37">_xlfn.IFNA(INDEX('DMR 001C NEW'!$A$3:$O$999,MATCH(('001-C DMR'!$BG$6&amp;'001-C DMR'!BV$10&amp;'001-C DMR'!$B37),('DMR 001C NEW'!$E$3:$E$1112&amp;'DMR 001C NEW'!$B$3:$B$1112&amp;'DMR 001C NEW'!$A$3:$A$1112),0),MATCH('001-C DMR'!$BQ$11,'DMR 001C NEW'!$A$2:$O$2,0)),"")</f>
        <v/>
      </c>
      <c r="BW37" s="65"/>
      <c r="BX37" s="65"/>
      <c r="BY37" s="57" t="str">
        <f t="shared" si="10"/>
        <v/>
      </c>
      <c r="BZ37" s="58" t="str">
        <f t="array" ref="BZ37">_xlfn.IFNA((INDEX('DMR 001C NEW'!$A$3:$O$9999,MATCH(('001-C DMR'!$BY$6&amp;'001-C DMR'!$BY$10&amp;'001-C DMR'!$B37),('DMR 001C NEW'!$E$3:$E$7246&amp;'DMR 001C NEW'!$B$3:$B$7246&amp;'DMR 001C NEW'!$A$3:$A$7246),0),MATCH('001-C DMR'!$BZ$11,'DMR 001C NEW'!$A$2:$O$2,0))),"")</f>
        <v/>
      </c>
      <c r="CA37" s="138" t="str">
        <f t="array" ref="CA37">_xlfn.IFNA(INDEX('DMR 001C NEW'!$A$3:$O$9999,MATCH(('001-C DMR'!$BY$6&amp;'001-C DMR'!$BY$10&amp;'001-C DMR'!$B37),('DMR 001C NEW'!$E$3:$E$7246&amp;'DMR 001C NEW'!$B$3:$B$7246&amp;'DMR 001C NEW'!$A$3:$A$7246),0),MATCH('001-C DMR'!$CA$11,'DMR 001C NEW'!$A$2:$O$2,0)),"")</f>
        <v/>
      </c>
      <c r="CB37" s="57" t="str">
        <f t="shared" si="11"/>
        <v/>
      </c>
      <c r="CC37" s="58" t="str">
        <f t="array" ref="CC37">_xlfn.IFNA((INDEX('DMR 001C NEW'!$A$3:$O$9999,MATCH(('001-C DMR'!$BY$6&amp;'001-C DMR'!$CB$10&amp;'001-C DMR'!$B37),('DMR 001C NEW'!$E$3:$E$7246&amp;'DMR 001C NEW'!$B$3:$B$7246&amp;'DMR 001C NEW'!$A$3:$A$7246),0),MATCH('001-C DMR'!$BZ$11,'DMR 001C NEW'!$A$2:$O$2,0))),"")</f>
        <v/>
      </c>
      <c r="CD37" s="138" t="str">
        <f t="array" ref="CD37">_xlfn.IFNA(INDEX('DMR 001C NEW'!$A$3:$O$9999,MATCH(('001-C DMR'!$BY$6&amp;'001-C DMR'!$CB$10&amp;'001-C DMR'!$B37),('DMR 001C NEW'!$E$3:$E$7246&amp;'DMR 001C NEW'!$B$3:$B$7246&amp;'DMR 001C NEW'!$A$3:$A$7246),0),MATCH('001-C DMR'!$CA$11,'DMR 001C NEW'!$A$2:$O$2,0)),"")</f>
        <v/>
      </c>
      <c r="CE37" s="138" t="str">
        <f t="array" ref="CE37">IFERROR((($CA37*$EI37)+($CD37*$EJ37))/($EK37),"")</f>
        <v/>
      </c>
      <c r="CF37" s="64" t="str">
        <f t="shared" si="33"/>
        <v/>
      </c>
      <c r="CG37" s="280" t="str">
        <f t="array" ref="CG37">_xlfn.IFNA(INDEX('DMR 001C NEW'!$A$3:$O$999,MATCH(('001-C DMR'!$BY$6&amp;'001-C DMR'!CG$10&amp;'001-C DMR'!$B37),('DMR 001C NEW'!$E$3:$E$1112&amp;'DMR 001C NEW'!$B$3:$B$1112&amp;'DMR 001C NEW'!$A$3:$A$1112),0),MATCH('001-C DMR'!$CA$11,'DMR 001C NEW'!$A$2:$O$2,0)),"")</f>
        <v/>
      </c>
      <c r="CH37" s="280" t="str">
        <f t="array" ref="CH37">_xlfn.IFNA(INDEX('DMR 001C NEW'!$A$3:$O$999,MATCH(('001-C DMR'!$BY$6&amp;'001-C DMR'!CH$10&amp;'001-C DMR'!$B37),('DMR 001C NEW'!$E$3:$E$1112&amp;'DMR 001C NEW'!$B$3:$B$1112&amp;'DMR 001C NEW'!$A$3:$A$1112),0),MATCH('001-C DMR'!$CA$11,'DMR 001C NEW'!$A$2:$O$2,0)),"")</f>
        <v/>
      </c>
      <c r="CI37" s="280" t="str">
        <f t="array" ref="CI37">_xlfn.IFNA(INDEX('DMR 001C NEW'!$A$3:$O$999,MATCH(('001-C DMR'!$BY$6&amp;'001-C DMR'!CI$10&amp;'001-C DMR'!$B37),('DMR 001C NEW'!$E$3:$E$1112&amp;'DMR 001C NEW'!$B$3:$B$1112&amp;'DMR 001C NEW'!$A$3:$A$1112),0),MATCH('001-C DMR'!$CA$11,'DMR 001C NEW'!$A$2:$O$2,0)),"")</f>
        <v/>
      </c>
      <c r="CJ37" s="280" t="str">
        <f t="array" ref="CJ37">_xlfn.IFNA(INDEX('DMR 001C NEW'!$A$3:$O$999,MATCH(('001-C DMR'!$BY$6&amp;'001-C DMR'!CJ$10&amp;'001-C DMR'!$B37),('DMR 001C NEW'!$E$3:$E$1112&amp;'DMR 001C NEW'!$B$3:$B$1112&amp;'DMR 001C NEW'!$A$3:$A$1112),0),MATCH('001-C DMR'!$CA$11,'DMR 001C NEW'!$A$2:$O$2,0)),"")</f>
        <v/>
      </c>
      <c r="CK37" s="280" t="str">
        <f t="array" ref="CK37">_xlfn.IFNA(INDEX('DMR 001C NEW'!$A$3:$O$999,MATCH(('001-C DMR'!$BY$6&amp;'001-C DMR'!CK$10&amp;'001-C DMR'!$B37),('DMR 001C NEW'!$E$3:$E$1112&amp;'DMR 001C NEW'!$B$3:$B$1112&amp;'DMR 001C NEW'!$A$3:$A$1112),0),MATCH('001-C DMR'!$CA$11,'DMR 001C NEW'!$A$2:$O$2,0)),"")</f>
        <v/>
      </c>
      <c r="CL37" s="280" t="str">
        <f t="array" ref="CL37">_xlfn.IFNA(INDEX('DMR 001C NEW'!$A$3:$O$999,MATCH(('001-C DMR'!$BY$6&amp;'001-C DMR'!CL$10&amp;'001-C DMR'!$B37),('DMR 001C NEW'!$E$3:$E$1112&amp;'DMR 001C NEW'!$B$3:$B$1112&amp;'DMR 001C NEW'!$A$3:$A$1112),0),MATCH('001-C DMR'!$CA$11,'DMR 001C NEW'!$A$2:$O$2,0)),"")</f>
        <v/>
      </c>
      <c r="CM37" s="61" t="str">
        <f t="shared" si="12"/>
        <v/>
      </c>
      <c r="CN37" s="138" t="str">
        <f t="array" ref="CN37">_xlfn.IFNA((INDEX('DMR 001C NEW'!$A$3:$O$9999,MATCH(('001-C DMR'!$CM$6&amp;'001-C DMR'!$CM$10&amp;'001-C DMR'!$B37),('DMR 001C NEW'!$E$3:$E$9018&amp;'DMR 001C NEW'!$B$3:$B$9018&amp;'DMR 001C NEW'!$A$3:$A$9018),0),MATCH('001-C DMR'!$CN$11,'DMR 001C NEW'!$A$2:$O$2,0))*1000),"")</f>
        <v/>
      </c>
      <c r="CO37" s="138" t="str">
        <f t="array" ref="CO37">_xlfn.IFNA(INDEX('DMR 001C NEW'!$A$3:$O$9999,MATCH(('001-C DMR'!$CM$6&amp;'001-C DMR'!$CM$10&amp;'001-C DMR'!$B37),('DMR 001C NEW'!$E$3:$E$9018&amp;'DMR 001C NEW'!$B$3:$B$9018&amp;'DMR 001C NEW'!$A$3:$A$9018),0),MATCH('001-C DMR'!$CO$11,'DMR 001C NEW'!$A$2:$O$2,0))*1000,"")</f>
        <v/>
      </c>
      <c r="CP37" s="138" t="str">
        <f t="shared" si="13"/>
        <v/>
      </c>
      <c r="CQ37" s="64" t="str">
        <f t="shared" si="34"/>
        <v/>
      </c>
      <c r="CR37" s="280" t="str">
        <f t="array" ref="CR37">_xlfn.IFNA(INDEX('DMR 001C NEW'!$A$3:$O$999,MATCH(('001-C DMR'!$CM$6&amp;'001-C DMR'!CR$10&amp;'001-C DMR'!$B37),('DMR 001C NEW'!$E$3:$E$1112&amp;'DMR 001C NEW'!$B$3:$B$1112&amp;'DMR 001C NEW'!$A$3:$A$1112),0),MATCH('001-C DMR'!$CO$11,'DMR 001C NEW'!$A$2:$O$2,0)),"")</f>
        <v/>
      </c>
      <c r="CS37" s="280" t="str">
        <f t="array" ref="CS37">_xlfn.IFNA(INDEX('DMR 001C NEW'!$A$3:$O$999,MATCH(('001-C DMR'!$CM$6&amp;'001-C DMR'!CS$10&amp;'001-C DMR'!$B37),('DMR 001C NEW'!$E$3:$E$1112&amp;'DMR 001C NEW'!$B$3:$B$1112&amp;'DMR 001C NEW'!$A$3:$A$1112),0),MATCH('001-C DMR'!$CO$11,'DMR 001C NEW'!$A$2:$O$2,0)),"")</f>
        <v/>
      </c>
      <c r="CT37" s="280" t="str">
        <f t="array" ref="CT37">_xlfn.IFNA(INDEX('DMR 001C NEW'!$A$3:$O$999,MATCH(('001-C DMR'!$CM$6&amp;'001-C DMR'!CT$10&amp;'001-C DMR'!$B37),('DMR 001C NEW'!$E$3:$E$1112&amp;'DMR 001C NEW'!$B$3:$B$1112&amp;'DMR 001C NEW'!$A$3:$A$1112),0),MATCH('001-C DMR'!$CO$11,'DMR 001C NEW'!$A$2:$O$2,0)),"")</f>
        <v/>
      </c>
      <c r="CU37" s="280" t="str">
        <f t="array" ref="CU37">_xlfn.IFNA(INDEX('DMR 001C NEW'!$A$3:$O$999,MATCH(('001-C DMR'!$CM$6&amp;'001-C DMR'!CU$10&amp;'001-C DMR'!$B37),('DMR 001C NEW'!$E$3:$E$1112&amp;'DMR 001C NEW'!$B$3:$B$1112&amp;'DMR 001C NEW'!$A$3:$A$1112),0),MATCH('001-C DMR'!$CO$11,'DMR 001C NEW'!$A$2:$O$2,0)),"")</f>
        <v/>
      </c>
      <c r="CV37" s="280" t="str">
        <f t="array" ref="CV37">_xlfn.IFNA(INDEX('DMR 001C NEW'!$A$3:$O$999,MATCH(('001-C DMR'!$CM$6&amp;'001-C DMR'!CV$10&amp;'001-C DMR'!$B37),('DMR 001C NEW'!$E$3:$E$1112&amp;'DMR 001C NEW'!$B$3:$B$1112&amp;'DMR 001C NEW'!$A$3:$A$1112),0),MATCH('001-C DMR'!$CO$11,'DMR 001C NEW'!$A$2:$O$2,0)),"")</f>
        <v/>
      </c>
      <c r="CW37" s="280" t="str">
        <f t="array" ref="CW37">_xlfn.IFNA(INDEX('DMR 001C NEW'!$A$3:$O$999,MATCH(('001-C DMR'!$CM$6&amp;'001-C DMR'!CW$10&amp;'001-C DMR'!$B37),('DMR 001C NEW'!$E$3:$E$1112&amp;'DMR 001C NEW'!$B$3:$B$1112&amp;'DMR 001C NEW'!$A$3:$A$1112),0),MATCH('001-C DMR'!$CO$11,'DMR 001C NEW'!$A$2:$O$2,0)),"")</f>
        <v/>
      </c>
      <c r="CX37" s="280" t="str">
        <f t="array" ref="CX37">_xlfn.IFNA(INDEX('DMR 001C NEW'!$A$3:$O$999,MATCH(('001-C DMR'!$CM$6&amp;'001-C DMR'!CX$10&amp;'001-C DMR'!$B37),('DMR 001C NEW'!$E$3:$E$1112&amp;'DMR 001C NEW'!$B$3:$B$1112&amp;'DMR 001C NEW'!$A$3:$A$1112),0),MATCH('001-C DMR'!$CO$11,'DMR 001C NEW'!$A$2:$O$2,0)),"")</f>
        <v/>
      </c>
      <c r="CY37" s="61" t="str">
        <f t="shared" si="14"/>
        <v/>
      </c>
      <c r="CZ37" s="138" t="str">
        <f t="array" ref="CZ37">_xlfn.IFNA((INDEX('DMR 001C NEW'!$A$3:$O$9999,MATCH(('001-C DMR'!$CY$6&amp;'001-C DMR'!$CY$10&amp;'001-C DMR'!$B37),('DMR 001C NEW'!$E$3:$E$9018&amp;'DMR 001C NEW'!$B$3:$B$9018&amp;'DMR 001C NEW'!$A$3:$A$9018),0),MATCH('001-C DMR'!$CZ$11,'DMR 001C NEW'!$A$2:$O$2,0))*1000),"")</f>
        <v/>
      </c>
      <c r="DA37" s="138" t="str">
        <f t="array" ref="DA37">_xlfn.IFNA(INDEX('DMR 001C NEW'!$A$3:$O$9999,MATCH(('001-C DMR'!$CY$6&amp;'001-C DMR'!$CY$10&amp;'001-C DMR'!$B37),('DMR 001C NEW'!$E$3:$E$9018&amp;'DMR 001C NEW'!$B$3:$B$9018&amp;'DMR 001C NEW'!$A$3:$A$9018),0),MATCH('001-C DMR'!$DA$11,'DMR 001C NEW'!$A$2:$O$2,0))*1000,"")</f>
        <v/>
      </c>
      <c r="DB37" s="138" t="str">
        <f t="shared" si="15"/>
        <v/>
      </c>
      <c r="DC37" s="64" t="str">
        <f t="shared" si="35"/>
        <v/>
      </c>
      <c r="DD37" s="280" t="str">
        <f t="array" ref="DD37">_xlfn.IFNA(INDEX('DMR 001C NEW'!$A$3:$O$999,MATCH(('001-C DMR'!$CY$6&amp;'001-C DMR'!DD$10&amp;'001-C DMR'!$B37),('DMR 001C NEW'!$E$3:$E$1112&amp;'DMR 001C NEW'!$B$3:$B$1112&amp;'DMR 001C NEW'!$A$3:$A$1112),0),MATCH('001-C DMR'!$DA$11,'DMR 001C NEW'!$A$2:$O$2,0)),"")</f>
        <v/>
      </c>
      <c r="DE37" s="280" t="str">
        <f t="array" ref="DE37">_xlfn.IFNA(INDEX('DMR 001C NEW'!$A$3:$O$999,MATCH(('001-C DMR'!$CY$6&amp;'001-C DMR'!DE$10&amp;'001-C DMR'!$B37),('DMR 001C NEW'!$E$3:$E$1112&amp;'DMR 001C NEW'!$B$3:$B$1112&amp;'DMR 001C NEW'!$A$3:$A$1112),0),MATCH('001-C DMR'!$DA$11,'DMR 001C NEW'!$A$2:$O$2,0)),"")</f>
        <v/>
      </c>
      <c r="DF37" s="280" t="str">
        <f t="array" ref="DF37">_xlfn.IFNA(INDEX('DMR 001C NEW'!$A$3:$O$999,MATCH(('001-C DMR'!$CY$6&amp;'001-C DMR'!DF$10&amp;'001-C DMR'!$B37),('DMR 001C NEW'!$E$3:$E$1112&amp;'DMR 001C NEW'!$B$3:$B$1112&amp;'DMR 001C NEW'!$A$3:$A$1112),0),MATCH('001-C DMR'!$DA$11,'DMR 001C NEW'!$A$2:$O$2,0)),"")</f>
        <v/>
      </c>
      <c r="DG37" s="280" t="str">
        <f t="array" ref="DG37">_xlfn.IFNA(INDEX('DMR 001C NEW'!$A$3:$O$999,MATCH(('001-C DMR'!$CY$6&amp;'001-C DMR'!DG$10&amp;'001-C DMR'!$B37),('DMR 001C NEW'!$E$3:$E$1112&amp;'DMR 001C NEW'!$B$3:$B$1112&amp;'DMR 001C NEW'!$A$3:$A$1112),0),MATCH('001-C DMR'!$DA$11,'DMR 001C NEW'!$A$2:$O$2,0)),"")</f>
        <v/>
      </c>
      <c r="DH37" s="280" t="str">
        <f t="array" ref="DH37">_xlfn.IFNA(INDEX('DMR 001C NEW'!$A$3:$O$999,MATCH(('001-C DMR'!$CY$6&amp;'001-C DMR'!DH$10&amp;'001-C DMR'!$B37),('DMR 001C NEW'!$E$3:$E$1112&amp;'DMR 001C NEW'!$B$3:$B$1112&amp;'DMR 001C NEW'!$A$3:$A$1112),0),MATCH('001-C DMR'!$DA$11,'DMR 001C NEW'!$A$2:$O$2,0)),"")</f>
        <v/>
      </c>
      <c r="DI37" s="280" t="str">
        <f t="array" ref="DI37">_xlfn.IFNA(INDEX('DMR 001C NEW'!$A$3:$O$999,MATCH(('001-C DMR'!$CY$6&amp;'001-C DMR'!DI$10&amp;'001-C DMR'!$B37),('DMR 001C NEW'!$E$3:$E$1112&amp;'DMR 001C NEW'!$B$3:$B$1112&amp;'DMR 001C NEW'!$A$3:$A$1112),0),MATCH('001-C DMR'!$DA$11,'DMR 001C NEW'!$A$2:$O$2,0)),"")</f>
        <v/>
      </c>
      <c r="DJ37" s="280" t="str">
        <f t="array" ref="DJ37">_xlfn.IFNA(INDEX('DMR 001C NEW'!$A$3:$O$999,MATCH(('001-C DMR'!$CY$6&amp;'001-C DMR'!DJ$10&amp;'001-C DMR'!$B37),('DMR 001C NEW'!$E$3:$E$1112&amp;'DMR 001C NEW'!$B$3:$B$1112&amp;'DMR 001C NEW'!$A$3:$A$1112),0),MATCH('001-C DMR'!$DA$11,'DMR 001C NEW'!$A$2:$O$2,0)),"")</f>
        <v/>
      </c>
      <c r="DK37" s="61" t="str">
        <f t="shared" si="16"/>
        <v/>
      </c>
      <c r="DL37" s="58" t="str">
        <f t="array" ref="DL37">_xlfn.IFNA((INDEX('DMR 001C NEW'!$A$3:$O$9999,MATCH(('001-C DMR'!$DK$6&amp;'001-C DMR'!$DK$10&amp;'001-C DMR'!$B37),('DMR 001C NEW'!$E$3:$E$9018&amp;'DMR 001C NEW'!$B$3:$B$9018&amp;'DMR 001C NEW'!$A$3:$A$9018),0),MATCH('001-C DMR'!$DL$11,'DMR 001C NEW'!$A$2:$O$2,0))),"")</f>
        <v/>
      </c>
      <c r="DM37" s="58" t="str">
        <f t="array" ref="DM37">_xlfn.IFNA(INDEX('DMR 001C NEW'!$A$3:$O$9999,MATCH(('001-C DMR'!$DK$6&amp;'001-C DMR'!$DK$10&amp;'001-C DMR'!$B37),('DMR 001C NEW'!$E$3:$E$9018&amp;'DMR 001C NEW'!$B$3:$B$9018&amp;'DMR 001C NEW'!$A$3:$A$9018),0),MATCH('001-C DMR'!$DM$11,'DMR 001C NEW'!$A$2:$O$2,0)),"")</f>
        <v/>
      </c>
      <c r="DN37" s="58" t="str">
        <f t="shared" si="17"/>
        <v/>
      </c>
      <c r="DO37" s="223"/>
      <c r="DP37" s="224"/>
      <c r="DQ37" s="64" t="str">
        <f t="shared" si="18"/>
        <v/>
      </c>
      <c r="DR37" s="280" t="str">
        <f t="array" ref="DR37">_xlfn.IFNA(INDEX('DMR 001C NEW'!$A$3:$O$999,MATCH(('001-C DMR'!$DK$6&amp;'001-C DMR'!DR$10&amp;'001-C DMR'!$B37),('DMR 001C NEW'!$E$3:$E$1112&amp;'DMR 001C NEW'!$B$3:$B$1112&amp;'DMR 001C NEW'!$A$3:$A$1112),0),MATCH('001-C DMR'!$DR$11,'DMR 001C NEW'!$A$2:$O$2,0)),"")</f>
        <v/>
      </c>
      <c r="DS37" s="280" t="str">
        <f t="array" ref="DS37">_xlfn.IFNA(INDEX('DMR 001C NEW'!$A$3:$O$999,MATCH(('001-C DMR'!$DK$6&amp;'001-C DMR'!DS$10&amp;'001-C DMR'!$B37),('DMR 001C NEW'!$E$3:$E$1112&amp;'DMR 001C NEW'!$B$3:$B$1112&amp;'DMR 001C NEW'!$A$3:$A$1112),0),MATCH('001-C DMR'!$DR$11,'DMR 001C NEW'!$A$2:$O$2,0)),"")</f>
        <v/>
      </c>
      <c r="DT37" s="280" t="str">
        <f t="array" ref="DT37">_xlfn.IFNA(INDEX('DMR 001C NEW'!$A$3:$O$999,MATCH(('001-C DMR'!$DK$6&amp;'001-C DMR'!DT$10&amp;'001-C DMR'!$B37),('DMR 001C NEW'!$E$3:$E$1112&amp;'DMR 001C NEW'!$B$3:$B$1112&amp;'DMR 001C NEW'!$A$3:$A$1112),0),MATCH('001-C DMR'!$DR$11,'DMR 001C NEW'!$A$2:$O$2,0)),"")</f>
        <v/>
      </c>
      <c r="DU37" s="280" t="str">
        <f t="array" ref="DU37">_xlfn.IFNA(INDEX('DMR 001C NEW'!$A$3:$O$999,MATCH(('001-C DMR'!$DK$6&amp;'001-C DMR'!DU$10&amp;'001-C DMR'!$B37),('DMR 001C NEW'!$E$3:$E$1112&amp;'DMR 001C NEW'!$B$3:$B$1112&amp;'DMR 001C NEW'!$A$3:$A$1112),0),MATCH('001-C DMR'!$DR$11,'DMR 001C NEW'!$A$2:$O$2,0)),"")</f>
        <v/>
      </c>
      <c r="DV37" s="280" t="str">
        <f t="array" ref="DV37">_xlfn.IFNA(INDEX('DMR 001C NEW'!$A$3:$O$999,MATCH(('001-C DMR'!$DK$6&amp;'001-C DMR'!DV$10&amp;'001-C DMR'!$B37),('DMR 001C NEW'!$E$3:$E$1112&amp;'DMR 001C NEW'!$B$3:$B$1112&amp;'DMR 001C NEW'!$A$3:$A$1112),0),MATCH('001-C DMR'!$DR$11,'DMR 001C NEW'!$A$2:$O$2,0)),"")</f>
        <v/>
      </c>
      <c r="DW37" s="280" t="str">
        <f t="array" ref="DW37">_xlfn.IFNA(INDEX('DMR 001C NEW'!$A$3:$O$999,MATCH(('001-C DMR'!$DK$6&amp;'001-C DMR'!DW$10&amp;'001-C DMR'!$B37),('DMR 001C NEW'!$E$3:$E$1112&amp;'DMR 001C NEW'!$B$3:$B$1112&amp;'DMR 001C NEW'!$A$3:$A$1112),0),MATCH('001-C DMR'!$DR$11,'DMR 001C NEW'!$A$2:$O$2,0)),"")</f>
        <v/>
      </c>
      <c r="DX37" s="280" t="str">
        <f t="array" ref="DX37">_xlfn.IFNA(INDEX('DMR 001C NEW'!$A$3:$O$999,MATCH(('001-C DMR'!$DK$6&amp;'001-C DMR'!DX$10&amp;'001-C DMR'!$B37),('DMR 001C NEW'!$E$3:$E$1112&amp;'DMR 001C NEW'!$B$3:$B$1112&amp;'DMR 001C NEW'!$A$3:$A$1112),0),MATCH('001-C DMR'!$DR$11,'DMR 001C NEW'!$A$2:$O$2,0)),"")</f>
        <v/>
      </c>
      <c r="DY37" s="61" t="str">
        <f t="shared" si="28"/>
        <v/>
      </c>
      <c r="DZ37" s="249" t="str">
        <f t="array" ref="DZ37">_xlfn.IFNA((INDEX('DMR 001C NEW'!$A$3:$O$9999,MATCH(('001-C DMR'!$DY$6&amp;'001-C DMR'!$DY$10&amp;'001-C DMR'!$B37),('DMR 001C NEW'!$E$3:$E$9018&amp;'DMR 001C NEW'!$B$3:$B$9018&amp;'DMR 001C NEW'!$A$3:$A$9018),0),MATCH('001-C DMR'!$DZ$11,'DMR 001C NEW'!$A$2:$O$2,0))),"")</f>
        <v/>
      </c>
      <c r="EA37" s="249" t="str">
        <f t="array" ref="EA37">_xlfn.IFNA((INDEX('DMR 001C NEW'!$A$3:$O$9999,MATCH(('001-C DMR'!$DY$6&amp;'001-C DMR'!$DY$10&amp;'001-C DMR'!$B37),('DMR 001C NEW'!$E$3:$E$9018&amp;'DMR 001C NEW'!$B$3:$B$9018&amp;'DMR 001C NEW'!$A$3:$A$9018),0),MATCH('001-C DMR'!$EA$11,'DMR 001C NEW'!$A$2:$O$2,0))),"")</f>
        <v/>
      </c>
      <c r="EB37" s="249" t="str">
        <f t="array" ref="EB37">IF(EA37="SCRATCHED","",IF(EA37&lt;DZ37,0,EA37))</f>
        <v/>
      </c>
      <c r="EC37" s="249" t="str">
        <f t="shared" si="29"/>
        <v/>
      </c>
      <c r="ED37" s="249" t="str">
        <f t="array" ref="ED37">_xlfn.IFNA((INDEX('DMR 001C NEW'!$A$3:$O$9999,MATCH(('001-C DMR'!$DY$6&amp;'001-C DMR'!$EC$10&amp;'001-C DMR'!$B37),('DMR 001C NEW'!$E$3:$E$9018&amp;'DMR 001C NEW'!$B$3:$B$9018&amp;'DMR 001C NEW'!$A$3:$A$9018),0),MATCH('001-C DMR'!$DZ$11,'DMR 001C NEW'!$A$2:$O$2,0))),"")</f>
        <v/>
      </c>
      <c r="EE37" s="249" t="str">
        <f t="array" ref="EE37">_xlfn.IFNA((INDEX('DMR 001C NEW'!$A$3:$O$9999,MATCH(('001-C DMR'!$DY$6&amp;'001-C DMR'!$EC$10&amp;'001-C DMR'!$B37),('DMR 001C NEW'!$E$3:$E$9018&amp;'DMR 001C NEW'!$B$3:$B$9018&amp;'DMR 001C NEW'!$A$3:$A$9018),0),MATCH('001-C DMR'!$EE$11,'DMR 001C NEW'!$A$2:$O$2,0))),"")</f>
        <v/>
      </c>
      <c r="EF37" s="249" t="str">
        <f t="array" ref="EF37">IF(EE37="SCRATCHED","",IF(EE37&lt;ED37,0,EE37))</f>
        <v/>
      </c>
      <c r="EG37" s="249"/>
      <c r="EH37" s="195"/>
      <c r="EI37" s="194">
        <f t="array" ref="EI37">_xlfn.IFNA(INDEX('DMR Flows-Effluent'!$A$3:$F$186,MATCH(($EI$10&amp;$B37),('DMR Flows-Effluent'!$B$3:$B$186&amp;'DMR Flows-Effluent'!$A$3:$A$186),0),MATCH($EI$8,'DMR Flows-Effluent'!$A$2:$F$2,0)),"")</f>
        <v>45.042499999999997</v>
      </c>
      <c r="EJ37" s="56">
        <f t="array" ref="EJ37">_xlfn.IFNA(INDEX('DMR Flows-Effluent'!$A$3:$F$186,MATCH(($EJ$10&amp;$B37),('DMR Flows-Effluent'!$B$3:$B$186&amp;'DMR Flows-Effluent'!$A$3:$A$186),0),MATCH($EI$8,'DMR Flows-Effluent'!$A$2:$F$2,0)),"")</f>
        <v>79.455399999999997</v>
      </c>
      <c r="EK37" s="168">
        <f t="shared" si="19"/>
        <v>124.49789999999999</v>
      </c>
      <c r="EL37" s="63"/>
      <c r="EM37" s="63"/>
      <c r="EN37" s="63"/>
      <c r="EO37" s="63"/>
      <c r="EP37" s="62"/>
      <c r="EQ37" s="157">
        <f>'E.Coli Calculations'!R31</f>
        <v>182.11447599089587</v>
      </c>
      <c r="ER37" s="56"/>
      <c r="ES37" s="64" t="str">
        <f t="shared" si="36"/>
        <v/>
      </c>
      <c r="ET37" s="61" t="str">
        <f t="shared" si="20"/>
        <v/>
      </c>
      <c r="EU37" s="58" t="str">
        <f t="array" ref="EU37">_xlfn.IFNA((INDEX('DMR 001C NEW'!$A$3:$O$9999,MATCH(('001-C DMR'!$ET$6&amp;'001-C DMR'!$ET$10&amp;'001-C DMR'!$B37),('DMR 001C NEW'!$E$3:$E$9018&amp;'DMR 001C NEW'!$B$3:$B$9018&amp;'DMR 001C NEW'!$A$3:$A$9018),0),MATCH('001-C DMR'!$EU$11,'DMR 001C NEW'!$A$2:$O$2,0))),"")</f>
        <v/>
      </c>
      <c r="EV37" s="58" t="str">
        <f t="array" ref="EV37">_xlfn.IFNA(INDEX('DMR 001C NEW'!$A$3:$O$9999,MATCH(('001-C DMR'!$ET$6&amp;'001-C DMR'!$ET$10&amp;'001-C DMR'!$B37),('DMR 001C NEW'!$E$3:$E$9018&amp;'DMR 001C NEW'!$B$3:$B$9018&amp;'DMR 001C NEW'!$A$3:$A$9018),0),MATCH('001-C DMR'!$EV$11,'DMR 001C NEW'!$A$2:$O$2,0)),"")</f>
        <v/>
      </c>
      <c r="EW37" s="56" t="str">
        <f t="shared" si="21"/>
        <v/>
      </c>
      <c r="EX37" s="64"/>
      <c r="EY37" s="279" t="str">
        <f t="array" ref="EY37">_xlfn.IFNA(INDEX('DMR 001C NEW'!$A$3:$O$999,MATCH(('001-C DMR'!$ET$6&amp;'001-C DMR'!EY$10&amp;'001-C DMR'!$B37),('DMR 001C NEW'!$E$3:$E$1112&amp;'DMR 001C NEW'!$B$3:$B$1112&amp;'DMR 001C NEW'!$A$3:$A$1112),0),MATCH('001-C DMR'!$EY$11,'DMR 001C NEW'!$A$2:$O$2,0)),"")</f>
        <v/>
      </c>
      <c r="EZ37" s="280" t="str">
        <f t="array" ref="EZ37">_xlfn.IFNA(INDEX('DMR 001C NEW'!$A$3:$O$999,MATCH(('001-C DMR'!$ET$6&amp;'001-C DMR'!EZ$10&amp;'001-C DMR'!$B37),('DMR 001C NEW'!$E$3:$E$1112&amp;'DMR 001C NEW'!$B$3:$B$1112&amp;'DMR 001C NEW'!$A$3:$A$1112),0),MATCH('001-C DMR'!$EY$11,'DMR 001C NEW'!$A$2:$O$2,0)),"")</f>
        <v/>
      </c>
      <c r="FA37" s="280" t="str">
        <f t="array" ref="FA37">_xlfn.IFNA(INDEX('DMR 001C NEW'!$A$3:$O$999,MATCH(('001-C DMR'!$ET$6&amp;'001-C DMR'!FA$10&amp;'001-C DMR'!$B37),('DMR 001C NEW'!$E$3:$E$1112&amp;'DMR 001C NEW'!$B$3:$B$1112&amp;'DMR 001C NEW'!$A$3:$A$1112),0),MATCH('001-C DMR'!$EY$11,'DMR 001C NEW'!$A$2:$O$2,0)),"")</f>
        <v/>
      </c>
      <c r="FB37" s="280" t="str">
        <f t="array" ref="FB37">_xlfn.IFNA(INDEX('DMR 001C NEW'!$A$3:$O$999,MATCH(('001-C DMR'!$ET$6&amp;'001-C DMR'!FB$10&amp;'001-C DMR'!$B37),('DMR 001C NEW'!$E$3:$E$1112&amp;'DMR 001C NEW'!$B$3:$B$1112&amp;'DMR 001C NEW'!$A$3:$A$1112),0),MATCH('001-C DMR'!$EY$11,'DMR 001C NEW'!$A$2:$O$2,0)),"")</f>
        <v/>
      </c>
      <c r="FC37" s="280" t="str">
        <f t="array" ref="FC37">_xlfn.IFNA(INDEX('DMR 001C NEW'!$A$3:$O$999,MATCH(('001-C DMR'!$ET$6&amp;'001-C DMR'!FC$10&amp;'001-C DMR'!$B37),('DMR 001C NEW'!$E$3:$E$1112&amp;'DMR 001C NEW'!$B$3:$B$1112&amp;'DMR 001C NEW'!$A$3:$A$1112),0),MATCH('001-C DMR'!$EY$11,'DMR 001C NEW'!$A$2:$O$2,0)),"")</f>
        <v/>
      </c>
      <c r="FD37" s="280" t="str">
        <f t="array" ref="FD37">_xlfn.IFNA(INDEX('DMR 001C NEW'!$A$3:$O$999,MATCH(('001-C DMR'!$ET$6&amp;'001-C DMR'!FD$10&amp;'001-C DMR'!$B37),('DMR 001C NEW'!$E$3:$E$1112&amp;'DMR 001C NEW'!$B$3:$B$1112&amp;'DMR 001C NEW'!$A$3:$A$1112),0),MATCH('001-C DMR'!$EY$11,'DMR 001C NEW'!$A$2:$O$2,0)),"")</f>
        <v/>
      </c>
      <c r="FE37" s="281" t="str">
        <f t="array" ref="FE37">_xlfn.IFNA(INDEX('DMR 001C NEW'!$A$3:$O$999,MATCH(('001-C DMR'!$ET$6&amp;'001-C DMR'!FE$10&amp;'001-C DMR'!$B37),('DMR 001C NEW'!$E$3:$E$1112&amp;'DMR 001C NEW'!$B$3:$B$1112&amp;'DMR 001C NEW'!$A$3:$A$1112),0),MATCH('001-C DMR'!$EY$11,'DMR 001C NEW'!$A$2:$O$2,0)),"")</f>
        <v/>
      </c>
      <c r="FF37" s="57" t="str">
        <f t="shared" si="22"/>
        <v/>
      </c>
      <c r="FG37" s="56">
        <f t="array" ref="FG37">_xlfn.IFNA(INDEX('DMR 001C NEW'!$A$3:$O$9999,MATCH(('001-C DMR'!$FF$6&amp;'001-C DMR'!$FF$10&amp;'001-C DMR'!$B37),('DMR 001C NEW'!$E$3:$E$7246&amp;'DMR 001C NEW'!$B$3:$B$7246&amp;'DMR 001C NEW'!$A$3:$A$7246),0),MATCH('001-C DMR'!$FG$11,'DMR 001C NEW'!$A$2:$O$2,0)),"")</f>
        <v>0</v>
      </c>
      <c r="FH37" s="56">
        <f t="array" ref="FH37">_xlfn.IFNA(INDEX('DMR 001C NEW'!$A$3:$O$9999,MATCH(('001-C DMR'!$FF$6&amp;'001-C DMR'!$FF$10&amp;'001-C DMR'!$B37),('DMR 001C NEW'!$E$3:$E$7246&amp;'DMR 001C NEW'!$B$3:$B$7246&amp;'DMR 001C NEW'!$A$3:$A$7246),0),MATCH('001-C DMR'!$FH$11,'DMR 001C NEW'!$A$2:$O$2,0)),"")</f>
        <v>3</v>
      </c>
      <c r="FI37" s="57" t="str">
        <f t="shared" si="23"/>
        <v/>
      </c>
      <c r="FJ37" s="56">
        <f t="array" ref="FJ37">_xlfn.IFNA(INDEX('DMR 001C NEW'!$A$3:$O$9999,MATCH(('001-C DMR'!$FF$6&amp;'001-C DMR'!$FI$10&amp;'001-C DMR'!$B37),('DMR 001C NEW'!$E$3:$E$7246&amp;'DMR 001C NEW'!$B$3:$B$7246&amp;'DMR 001C NEW'!$A$3:$A$7246),0),MATCH('001-C DMR'!$FG$11,'DMR 001C NEW'!$A$2:$O$2,0)),"")</f>
        <v>0</v>
      </c>
      <c r="FK37" s="56">
        <f t="array" ref="FK37">_xlfn.IFNA(INDEX('DMR 001C NEW'!$A$3:$O$9999,MATCH(('001-C DMR'!$FF$6&amp;'001-C DMR'!$FI$10&amp;'001-C DMR'!$B37),('DMR 001C NEW'!$E$3:$E$7246&amp;'DMR 001C NEW'!$B$3:$B$7246&amp;'DMR 001C NEW'!$A$3:$A$7246),0),MATCH('001-C DMR'!$FH$11,'DMR 001C NEW'!$A$2:$O$2,0)),"")</f>
        <v>3</v>
      </c>
      <c r="FL37" s="56">
        <f t="array" ref="FL37">IFERROR((($FH37*$EI37)+($FK37*$EJ37))/($EK37),"")</f>
        <v>3.0000000000000004</v>
      </c>
      <c r="FM37" s="56" t="str">
        <f t="shared" si="43"/>
        <v/>
      </c>
      <c r="FN37" s="64" t="str">
        <f t="shared" si="37"/>
        <v/>
      </c>
      <c r="FO37" s="66"/>
      <c r="FP37" s="280" t="str">
        <f t="array" ref="FP37">_xlfn.IFNA(INDEX('DMR 001C NEW'!$A$3:$O$999,MATCH(('001-C DMR'!$FF$6&amp;'001-C DMR'!FP$10&amp;'001-C DMR'!$B37),('DMR 001C NEW'!$E$3:$E$1112&amp;'DMR 001C NEW'!$B$3:$B$1112&amp;'DMR 001C NEW'!$A$3:$A$1112),0),MATCH('001-C DMR'!$FH$11,'DMR 001C NEW'!$A$2:$O$2,0)),"")</f>
        <v/>
      </c>
      <c r="FQ37" s="280" t="str">
        <f t="array" ref="FQ37">_xlfn.IFNA(INDEX('DMR 001C NEW'!$A$3:$O$999,MATCH(('001-C DMR'!$FF$6&amp;'001-C DMR'!FQ$10&amp;'001-C DMR'!$B37),('DMR 001C NEW'!$E$3:$E$1112&amp;'DMR 001C NEW'!$B$3:$B$1112&amp;'DMR 001C NEW'!$A$3:$A$1112),0),MATCH('001-C DMR'!$FH$11,'DMR 001C NEW'!$A$2:$O$2,0)),"")</f>
        <v/>
      </c>
      <c r="FR37" s="280" t="str">
        <f t="array" ref="FR37">_xlfn.IFNA(INDEX('DMR 001C NEW'!$A$3:$O$999,MATCH(('001-C DMR'!$FF$6&amp;'001-C DMR'!FR$10&amp;'001-C DMR'!$B37),('DMR 001C NEW'!$E$3:$E$1112&amp;'DMR 001C NEW'!$B$3:$B$1112&amp;'DMR 001C NEW'!$A$3:$A$1112),0),MATCH('001-C DMR'!$FH$11,'DMR 001C NEW'!$A$2:$O$2,0)),"")</f>
        <v/>
      </c>
      <c r="FS37" s="280" t="str">
        <f t="array" ref="FS37">_xlfn.IFNA(INDEX('DMR 001C NEW'!$A$3:$O$999,MATCH(('001-C DMR'!$FF$6&amp;'001-C DMR'!FS$10&amp;'001-C DMR'!$B37),('DMR 001C NEW'!$E$3:$E$1112&amp;'DMR 001C NEW'!$B$3:$B$1112&amp;'DMR 001C NEW'!$A$3:$A$1112),0),MATCH('001-C DMR'!$FH$11,'DMR 001C NEW'!$A$2:$O$2,0)),"")</f>
        <v/>
      </c>
      <c r="FT37" s="280" t="str">
        <f t="array" ref="FT37">_xlfn.IFNA(INDEX('DMR 001C NEW'!$A$3:$O$999,MATCH(('001-C DMR'!$FF$6&amp;'001-C DMR'!FT$10&amp;'001-C DMR'!$B37),('DMR 001C NEW'!$E$3:$E$1112&amp;'DMR 001C NEW'!$B$3:$B$1112&amp;'DMR 001C NEW'!$A$3:$A$1112),0),MATCH('001-C DMR'!$FH$11,'DMR 001C NEW'!$A$2:$O$2,0)),"")</f>
        <v/>
      </c>
      <c r="FU37" s="280" t="str">
        <f t="array" ref="FU37">_xlfn.IFNA(INDEX('DMR 001C NEW'!$A$3:$O$999,MATCH(('001-C DMR'!$FF$6&amp;'001-C DMR'!FU$10&amp;'001-C DMR'!$B37),('DMR 001C NEW'!$E$3:$E$1112&amp;'DMR 001C NEW'!$B$3:$B$1112&amp;'DMR 001C NEW'!$A$3:$A$1112),0),MATCH('001-C DMR'!$FH$11,'DMR 001C NEW'!$A$2:$O$2,0)),"")</f>
        <v/>
      </c>
      <c r="FV37" s="66"/>
      <c r="FW37" s="61" t="str">
        <f t="shared" si="24"/>
        <v/>
      </c>
      <c r="FX37" s="58" t="str">
        <f t="array" ref="FX37">_xlfn.IFNA(INDEX('DMR 001C NEW'!$A$3:$O$9999,MATCH(('001-C DMR'!$FW$6&amp;'001-C DMR'!$FW$10&amp;'001-C DMR'!$B37),('DMR 001C NEW'!$E$3:$E$7246&amp;'DMR 001C NEW'!$B$3:$B$7246&amp;'DMR 001C NEW'!$A$3:$A$7246),0),MATCH('001-C DMR'!$FX$11,'DMR 001C NEW'!$A$2:$O$2,0)),"")</f>
        <v/>
      </c>
      <c r="FY37" s="58" t="str">
        <f t="array" ref="FY37">_xlfn.IFNA(INDEX('DMR 001C NEW'!$A$3:$O$9999,MATCH(('001-C DMR'!$FW$6&amp;'001-C DMR'!$FW$10&amp;'001-C DMR'!$B37),('DMR 001C NEW'!$E$3:$E$7246&amp;'DMR 001C NEW'!$B$3:$B$7246&amp;'DMR 001C NEW'!$A$3:$A$7246),0),MATCH('001-C DMR'!$FY$11,'DMR 001C NEW'!$A$2:$O$2,0)),"")</f>
        <v/>
      </c>
      <c r="FZ37" s="57" t="str">
        <f t="shared" si="25"/>
        <v/>
      </c>
      <c r="GA37" s="58" t="str">
        <f t="array" ref="GA37">_xlfn.IFNA(INDEX('DMR 001C NEW'!$A$3:$O$9999,MATCH(('001-C DMR'!$FW$6&amp;'001-C DMR'!$FZ$10&amp;'001-C DMR'!$B37),('DMR 001C NEW'!$E$3:$E$7246&amp;'DMR 001C NEW'!$B$3:$B$7246&amp;'DMR 001C NEW'!$A$3:$A$7246),0),MATCH('001-C DMR'!$FX$11,'DMR 001C NEW'!$A$2:$O$2,0)),"")</f>
        <v/>
      </c>
      <c r="GB37" s="58" t="str">
        <f t="array" ref="GB37">_xlfn.IFNA(INDEX('DMR 001C NEW'!$A$3:$O$9999,MATCH(('001-C DMR'!$FW$6&amp;'001-C DMR'!$FZ$10&amp;'001-C DMR'!$B37),('DMR 001C NEW'!$E$3:$E$7246&amp;'DMR 001C NEW'!$B$3:$B$7246&amp;'DMR 001C NEW'!$A$3:$A$7246),0),MATCH('001-C DMR'!$GB$11,'DMR 001C NEW'!$A$2:$O$2,0)),"")</f>
        <v/>
      </c>
      <c r="GC37" s="56" t="str">
        <f t="shared" si="4"/>
        <v/>
      </c>
      <c r="GD37" s="64" t="str">
        <f t="shared" si="38"/>
        <v/>
      </c>
      <c r="GE37" s="279" t="str">
        <f t="array" ref="GE37">_xlfn.IFNA(INDEX('DMR 001C NEW'!$A$3:$O$999,MATCH(('001-C DMR'!$FW$6&amp;'001-C DMR'!GE$10&amp;'001-C DMR'!$B37),('DMR 001C NEW'!$E$3:$E$1112&amp;'DMR 001C NEW'!$B$3:$B$1112&amp;'DMR 001C NEW'!$A$3:$A$1112),0),MATCH('001-C DMR'!$FY$11,'DMR 001C NEW'!$A$2:$O$2,0)),"")</f>
        <v/>
      </c>
      <c r="GF37" s="280" t="str">
        <f t="array" ref="GF37">_xlfn.IFNA(INDEX('DMR 001C NEW'!$A$3:$O$999,MATCH(('001-C DMR'!$FW$6&amp;'001-C DMR'!GF$10&amp;'001-C DMR'!$B37),('DMR 001C NEW'!$E$3:$E$1112&amp;'DMR 001C NEW'!$B$3:$B$1112&amp;'DMR 001C NEW'!$A$3:$A$1112),0),MATCH('001-C DMR'!$FY$11,'DMR 001C NEW'!$A$2:$O$2,0)),"")</f>
        <v/>
      </c>
      <c r="GG37" s="280" t="str">
        <f t="array" ref="GG37">_xlfn.IFNA(INDEX('DMR 001C NEW'!$A$3:$O$999,MATCH(('001-C DMR'!$FW$6&amp;'001-C DMR'!GG$10&amp;'001-C DMR'!$B37),('DMR 001C NEW'!$E$3:$E$1112&amp;'DMR 001C NEW'!$B$3:$B$1112&amp;'DMR 001C NEW'!$A$3:$A$1112),0),MATCH('001-C DMR'!$FY$11,'DMR 001C NEW'!$A$2:$O$2,0)),"")</f>
        <v/>
      </c>
      <c r="GH37" s="280" t="str">
        <f t="array" ref="GH37">_xlfn.IFNA(INDEX('DMR 001C NEW'!$A$3:$O$999,MATCH(('001-C DMR'!$FW$6&amp;'001-C DMR'!GH$10&amp;'001-C DMR'!$B37),('DMR 001C NEW'!$E$3:$E$1112&amp;'DMR 001C NEW'!$B$3:$B$1112&amp;'DMR 001C NEW'!$A$3:$A$1112),0),MATCH('001-C DMR'!$FY$11,'DMR 001C NEW'!$A$2:$O$2,0)),"")</f>
        <v/>
      </c>
      <c r="GI37" s="280" t="str">
        <f t="array" ref="GI37">_xlfn.IFNA(INDEX('DMR 001C NEW'!$A$3:$O$999,MATCH(('001-C DMR'!$FW$6&amp;'001-C DMR'!GI$10&amp;'001-C DMR'!$B37),('DMR 001C NEW'!$E$3:$E$1112&amp;'DMR 001C NEW'!$B$3:$B$1112&amp;'DMR 001C NEW'!$A$3:$A$1112),0),MATCH('001-C DMR'!$FY$11,'DMR 001C NEW'!$A$2:$O$2,0)),"")</f>
        <v/>
      </c>
      <c r="GJ37" s="281" t="str">
        <f t="array" ref="GJ37">_xlfn.IFNA(INDEX('DMR 001C NEW'!$A$3:$O$999,MATCH(('001-C DMR'!$FW$6&amp;'001-C DMR'!GJ$10&amp;'001-C DMR'!$B37),('DMR 001C NEW'!$E$3:$E$1112&amp;'DMR 001C NEW'!$B$3:$B$1112&amp;'DMR 001C NEW'!$A$3:$A$1112),0),MATCH('001-C DMR'!$FY$11,'DMR 001C NEW'!$A$2:$O$2,0)),"")</f>
        <v/>
      </c>
      <c r="GK37" s="58" t="str">
        <f t="array" ref="GK37">_xlfn.IFNA(INDEX('DMR 001C NEW'!$A$3:$O$9999,MATCH(('001-C DMR'!$GK$6&amp;'001-C DMR'!$GK$10&amp;'001-C DMR'!$B37),('DMR 001C NEW'!$E$3:$E$9018&amp;'DMR 001C NEW'!$B$3:$B$9018&amp;'DMR 001C NEW'!$A$3:$A$9018),0),MATCH('001-C DMR'!$GK$11,'DMR 001C NEW'!$A$2:$O$2,0)),"")</f>
        <v>n</v>
      </c>
      <c r="GL37" s="58" t="str">
        <f t="array" ref="GL37">_xlfn.IFNA(INDEX('DMR 001C NEW'!$A$3:$O$9999,MATCH(('001-C DMR'!$GK$6&amp;'001-C DMR'!$GL$10&amp;'001-C DMR'!$B37),('DMR 001C NEW'!$E$3:$E$9018&amp;'DMR 001C NEW'!$B$3:$B$9018&amp;'DMR 001C NEW'!$A$3:$A$9018),0),MATCH('001-C DMR'!$GK$11,'DMR 001C NEW'!$A$2:$O$2,0)),"")</f>
        <v>n</v>
      </c>
      <c r="GM37" s="134"/>
      <c r="GN37" s="64" t="str">
        <f t="shared" si="44"/>
        <v/>
      </c>
    </row>
    <row r="38" spans="1:196" s="51" customFormat="1" x14ac:dyDescent="0.25">
      <c r="A38" s="67" t="str">
        <f t="shared" si="5"/>
        <v>Fri</v>
      </c>
      <c r="B38" s="216">
        <f t="shared" si="26"/>
        <v>43700</v>
      </c>
      <c r="C38" s="93">
        <f t="array" ref="C38">INDEX('DMR 001C NEW'!$A$3:$N$10020,MATCH(('001-C DMR'!$C$6:$K$6&amp;'001-C DMR'!$C$10:$E$10&amp;'001-C DMR'!$B38),('DMR 001C NEW'!$E$3:$E$7246&amp;'DMR 001C NEW'!$B$3:$B$7246&amp;'DMR 001C NEW'!$A$3:$A$7246),0),MATCH('001-C DMR'!$C$11,'DMR 001C NEW'!$A$2:$O$2,0))</f>
        <v>5.9</v>
      </c>
      <c r="D38" s="56" t="str">
        <f t="array" ref="D38">INDEX('DMR 001C NEW'!$A$3:$N$11771,MATCH(('001-C DMR'!$C$6:$K$6&amp;'001-C DMR'!$C$10:$E$10&amp;'001-C DMR'!$B38),('DMR 001C NEW'!$E$3:$E$9018&amp;'DMR 001C NEW'!$B$3:$B$9018&amp;'DMR 001C NEW'!$A$3:$A$9018),0),MATCH('001-C DMR'!$D$11,'DMR 001C NEW'!$A$2:$O$2,0))</f>
        <v>AE70206</v>
      </c>
      <c r="E38" s="56">
        <f t="array" ref="E38">INDEX('DMR 001C NEW'!$A$3:$N$9999,MATCH(('001-C DMR'!$E$11&amp;'001-C DMR'!$C$10:$E$10&amp;'001-C DMR'!$B38&amp;$D38),('DMR 001C NEW'!$E$3:$E$7246&amp;'DMR 001C NEW'!$B$3:$B$7246&amp;'DMR 001C NEW'!$A$3:$A$7246&amp;'DMR 001C NEW'!$M$3:$M$7188),0),MATCH($C$11,'DMR 001C NEW'!$A$2:$O$2,0))</f>
        <v>59.44</v>
      </c>
      <c r="F38" s="56">
        <f t="array" ref="F38">INDEX('DMR 001C NEW'!$A$3:$N$9999,MATCH('001-C DMR'!$C$6:$K$6&amp;'001-C DMR'!$F$10&amp;'001-C DMR'!$B38,('DMR 001C NEW'!$E$3:$E$7246&amp;'DMR 001C NEW'!$B$3:$B$7246&amp;'DMR 001C NEW'!$A$3:$A$7246),0),MATCH('001-C DMR'!$C$11,'DMR 001C NEW'!$A$2:$O$2,0))</f>
        <v>6.4</v>
      </c>
      <c r="G38" s="56" t="str">
        <f t="array" ref="G38">INDEX('DMR 001C NEW'!$A$3:$N$3865,MATCH(('001-C DMR'!$C$6:$K$6&amp;'001-C DMR'!$F$10&amp;'001-C DMR'!$B38),('DMR 001C NEW'!$E$3:$E$1112&amp;'DMR 001C NEW'!$B$3:$B$1112&amp;'DMR 001C NEW'!$A$3:$A$1112),0),MATCH('001-C DMR'!$D$11,'DMR 001C NEW'!$A$2:$O$2,0))</f>
        <v>AE70207</v>
      </c>
      <c r="H38" s="56">
        <f t="array" ref="H38">INDEX('DMR 001C NEW'!$A$3:$N$9999,MATCH(('001-C DMR'!$E$11&amp;'001-C DMR'!$F$10&amp;'001-C DMR'!$B38&amp;$G38),('DMR 001C NEW'!$E$3:$E$7246&amp;'DMR 001C NEW'!$B$3:$B$7246&amp;'DMR 001C NEW'!$A$3:$A$7246&amp;'DMR 001C NEW'!$M$3:$M$7188),0),MATCH($C$11,'DMR 001C NEW'!$A$2:$O$2,0))</f>
        <v>75.48</v>
      </c>
      <c r="I38" s="56">
        <f t="shared" si="0"/>
        <v>6.1797213163356055</v>
      </c>
      <c r="J38" s="58" t="str">
        <f t="shared" si="39"/>
        <v/>
      </c>
      <c r="K38" s="64" t="str">
        <f t="shared" si="40"/>
        <v/>
      </c>
      <c r="L38" s="262" t="str">
        <f t="array" ref="L38">_xlfn.IFNA(INDEX('DMR 001C NEW'!$A$3:$N$3865,MATCH(('001-C DMR'!$C$6:$K$6&amp;'001-C DMR'!L$10&amp;'001-C DMR'!$B38),('DMR 001C NEW'!$E$3:$E$1112&amp;'DMR 001C NEW'!$B$3:$B$1112&amp;'DMR 001C NEW'!$A$3:$A$1112),0),MATCH('001-C DMR'!$C$11,'DMR 001C NEW'!$A$2:$O$2,0)),"")</f>
        <v/>
      </c>
      <c r="M38" s="262" t="str">
        <f t="array" ref="M38">_xlfn.IFNA(INDEX('DMR 001C NEW'!$A$3:$N$3865,MATCH(('001-C DMR'!$C$6:$K$6&amp;'001-C DMR'!M$10&amp;'001-C DMR'!$B38),('DMR 001C NEW'!$E$3:$E$1112&amp;'DMR 001C NEW'!$B$3:$B$1112&amp;'DMR 001C NEW'!$A$3:$A$1112),0),MATCH('001-C DMR'!$C$11,'DMR 001C NEW'!$A$2:$O$2,0)),"")</f>
        <v/>
      </c>
      <c r="N38" s="262" t="str">
        <f t="array" ref="N38">_xlfn.IFNA(INDEX('DMR 001C NEW'!$A$3:$N$3865,MATCH(('001-C DMR'!$C$6:$K$6&amp;'001-C DMR'!N$10&amp;'001-C DMR'!$B38),('DMR 001C NEW'!$E$3:$E$1112&amp;'DMR 001C NEW'!$B$3:$B$1112&amp;'DMR 001C NEW'!$A$3:$A$1112),0),MATCH('001-C DMR'!$C$11,'DMR 001C NEW'!$A$2:$O$2,0)),"")</f>
        <v/>
      </c>
      <c r="O38" s="262" t="str">
        <f t="array" ref="O38">_xlfn.IFNA(INDEX('DMR 001C NEW'!$A$3:$N$3865,MATCH(('001-C DMR'!$C$6:$K$6&amp;'001-C DMR'!O$10&amp;'001-C DMR'!$B38),('DMR 001C NEW'!$E$3:$E$1112&amp;'DMR 001C NEW'!$B$3:$B$1112&amp;'DMR 001C NEW'!$A$3:$A$1112),0),MATCH('001-C DMR'!$C$11,'DMR 001C NEW'!$A$2:$O$2,0)),"")</f>
        <v/>
      </c>
      <c r="P38" s="262" t="str">
        <f t="array" ref="P38">_xlfn.IFNA(INDEX('DMR 001C NEW'!$A$3:$N$3865,MATCH(('001-C DMR'!$C$6:$K$6&amp;'001-C DMR'!P$10&amp;'001-C DMR'!$B38),('DMR 001C NEW'!$E$3:$E$1112&amp;'DMR 001C NEW'!$B$3:$B$1112&amp;'DMR 001C NEW'!$A$3:$A$1112),0),MATCH('001-C DMR'!$C$11,'DMR 001C NEW'!$A$2:$O$2,0)),"")</f>
        <v/>
      </c>
      <c r="Q38" s="120" t="e">
        <f t="array" ref="Q38">INDEX('DMR 001C NEW'!$A$3:$N$3865,MATCH(('001-C DMR'!$C$6:$K$6&amp;'001-C DMR'!Q$10&amp;'001-C DMR'!$B38),('DMR 001C NEW'!$E$3:$E$1112&amp;'DMR 001C NEW'!$B$3:$B$1112&amp;'DMR 001C NEW'!$A$3:$A$1112),0),MATCH('001-C DMR'!$C$11,'DMR 001C NEW'!$A$2:$O$2,0))</f>
        <v>#N/A</v>
      </c>
      <c r="R38" s="61"/>
      <c r="S38" s="56">
        <f t="array" ref="S38">_xlfn.IFNA(INDEX('DMR 001C NEW'!$A$3:$N$11771,MATCH(('001-C DMR'!$R$6:$T$6&amp;'001-C DMR'!$R$10&amp;'001-C DMR'!$B38),('DMR 001C NEW'!$E$3:$E$9018&amp;'DMR 001C NEW'!$B$3:$B$9018&amp;'DMR 001C NEW'!$A$3:$A$9018),0),MATCH('001-C DMR'!$S$11,'DMR 001C NEW'!$A$2:$O$2,0)),"")</f>
        <v>7.1</v>
      </c>
      <c r="T38" s="64" t="str">
        <f t="shared" si="41"/>
        <v/>
      </c>
      <c r="U38" s="262" t="str">
        <f t="array" ref="U38">_xlfn.IFNA(INDEX('DMR 001C NEW'!$A$3:$O$591,MATCH('001-C DMR'!$R$6:$T$6&amp;'001-C DMR'!U$10&amp;'001-C DMR'!$B38,('DMR 001C NEW'!$E$3:$E$704&amp;'DMR 001C NEW'!$B$3:$B$704&amp;'DMR 001C NEW'!$A$3:$A$704),0),MATCH('001-C DMR'!$U$11,'DMR 001C NEW'!$A$2:$O$2,0)),"")</f>
        <v/>
      </c>
      <c r="V38" s="262" t="str">
        <f t="array" ref="V38">_xlfn.IFNA(INDEX('DMR 001C NEW'!$A$3:$O$591,MATCH('001-C DMR'!$R$6:$T$6&amp;'001-C DMR'!V$10&amp;'001-C DMR'!$B38,('DMR 001C NEW'!$E$3:$E$704&amp;'DMR 001C NEW'!$B$3:$B$704&amp;'DMR 001C NEW'!$A$3:$A$704),0),MATCH('001-C DMR'!$U$11,'DMR 001C NEW'!$A$2:$O$2,0)),"")</f>
        <v/>
      </c>
      <c r="W38" s="262" t="str">
        <f t="array" ref="W38">_xlfn.IFNA(INDEX('DMR 001C NEW'!$A$3:$O$591,MATCH('001-C DMR'!$R$6:$T$6&amp;'001-C DMR'!W$10&amp;'001-C DMR'!$B38,('DMR 001C NEW'!$E$3:$E$704&amp;'DMR 001C NEW'!$B$3:$B$704&amp;'DMR 001C NEW'!$A$3:$A$704),0),MATCH('001-C DMR'!$U$11,'DMR 001C NEW'!$A$2:$O$2,0)),"")</f>
        <v/>
      </c>
      <c r="X38" s="262" t="str">
        <f t="array" ref="X38">_xlfn.IFNA(INDEX('DMR 001C NEW'!$A$3:$O$591,MATCH('001-C DMR'!$R$6:$T$6&amp;'001-C DMR'!X$10&amp;'001-C DMR'!$B38,('DMR 001C NEW'!$E$3:$E$704&amp;'DMR 001C NEW'!$B$3:$B$704&amp;'DMR 001C NEW'!$A$3:$A$704),0),MATCH('001-C DMR'!$U$11,'DMR 001C NEW'!$A$2:$O$2,0)),"")</f>
        <v/>
      </c>
      <c r="Y38" s="262" t="str">
        <f t="array" ref="Y38">_xlfn.IFNA(INDEX('DMR 001C NEW'!$A$3:$O$591,MATCH('001-C DMR'!$R$6:$T$6&amp;'001-C DMR'!Y$10&amp;'001-C DMR'!$B38,('DMR 001C NEW'!$E$3:$E$704&amp;'DMR 001C NEW'!$B$3:$B$704&amp;'DMR 001C NEW'!$A$3:$A$704),0),MATCH('001-C DMR'!$U$11,'DMR 001C NEW'!$A$2:$O$2,0)),"")</f>
        <v/>
      </c>
      <c r="Z38" s="262" t="str">
        <f t="array" ref="Z38">_xlfn.IFNA(INDEX('DMR 001C NEW'!$A$3:$O$591,MATCH('001-C DMR'!$R$6:$T$6&amp;'001-C DMR'!Z$10&amp;'001-C DMR'!$B38,('DMR 001C NEW'!$E$3:$E$704&amp;'DMR 001C NEW'!$B$3:$B$704&amp;'DMR 001C NEW'!$A$3:$A$704),0),MATCH('001-C DMR'!$U$11,'DMR 001C NEW'!$A$2:$O$2,0)),"")</f>
        <v/>
      </c>
      <c r="AA38" s="262" t="str">
        <f t="array" ref="AA38">_xlfn.IFNA(INDEX('DMR 001C NEW'!$A$3:$O$591,MATCH('001-C DMR'!$R$6:$T$6&amp;'001-C DMR'!AA$10&amp;'001-C DMR'!$B38,('DMR 001C NEW'!$E$3:$E$704&amp;'DMR 001C NEW'!$B$3:$B$704&amp;'DMR 001C NEW'!$A$3:$A$704),0),MATCH('001-C DMR'!$U$11,'DMR 001C NEW'!$A$2:$O$2,0)),"")</f>
        <v/>
      </c>
      <c r="AB38" s="61" t="str">
        <f t="array" ref="AB38">IF(AD38&lt;AC38,"&lt;","")</f>
        <v/>
      </c>
      <c r="AC38" s="56">
        <f t="array" ref="AC38">_xlfn.IFNA(INDEX('DMR 001C NEW'!$A$3:$O$9999,MATCH(('001-C DMR'!$AB$6:$AJ$6&amp;'001-C DMR'!$AB$10:$AD$10&amp;'001-C DMR'!$B38),('DMR 001C NEW'!$E$3:$E$7246&amp;'DMR 001C NEW'!$B$3:$B$7246&amp;'DMR 001C NEW'!$A$3:$A$7246),0),MATCH('001-C DMR'!$AC$11,'DMR 001C NEW'!$A$2:$O$2,0)),"")</f>
        <v>3</v>
      </c>
      <c r="AD38" s="56">
        <f t="array" ref="AD38">_xlfn.IFNA(INDEX('DMR 001C NEW'!$A$3:$O$9999,MATCH(('001-C DMR'!$AB$6:$AJ$6&amp;'001-C DMR'!$AB$10:$AD$10&amp;'001-C DMR'!$B38),('DMR 001C NEW'!$E$3:$E$7246&amp;'DMR 001C NEW'!$B$3:$B$7246&amp;'DMR 001C NEW'!$A$3:$A$7246),0),MATCH('001-C DMR'!$AD$11,'DMR 001C NEW'!$A$2:$O$2,0)),"")</f>
        <v>13</v>
      </c>
      <c r="AE38" s="57" t="str">
        <f t="array" ref="AE38">IF(AG38&lt;AF38,"&lt;","")</f>
        <v/>
      </c>
      <c r="AF38" s="56">
        <f t="array" ref="AF38">_xlfn.IFNA(INDEX('DMR 001C NEW'!$A$3:$O$9999,MATCH(('001-C DMR'!$AB$6:$AJ$6&amp;'001-C DMR'!$AE$10&amp;'001-C DMR'!$B38),('DMR 001C NEW'!$E$3:$E$9018&amp;'DMR 001C NEW'!$B$3:$B$9018&amp;'DMR 001C NEW'!$A$3:$A$9018),0),MATCH('001-C DMR'!$AF$11,'DMR 001C NEW'!$A$2:$O$2,0)),"")</f>
        <v>3</v>
      </c>
      <c r="AG38" s="56">
        <f t="array" ref="AG38">_xlfn.IFNA(INDEX('DMR 001C NEW'!$A$3:$O$9999,MATCH(('001-C DMR'!$AB$6:$AJ$6&amp;'001-C DMR'!$AE$10&amp;'001-C DMR'!$B38),('DMR 001C NEW'!$E$3:$E$9018&amp;'DMR 001C NEW'!$B$3:$B$9018&amp;'DMR 001C NEW'!$A$3:$A$9018),0),MATCH('001-C DMR'!$AG$11,'DMR 001C NEW'!$A$2:$O$2,0)),"")</f>
        <v>17</v>
      </c>
      <c r="AH38" s="56">
        <f t="array" ref="AH38">IFERROR((($AD38*$EI38)+($AG38*$EJ38))/($EK38),"")</f>
        <v>15.755122763047751</v>
      </c>
      <c r="AI38" s="56" t="str">
        <f t="shared" si="42"/>
        <v/>
      </c>
      <c r="AJ38" s="64" t="str">
        <f t="shared" si="30"/>
        <v/>
      </c>
      <c r="AK38" s="262" t="str">
        <f t="array" ref="AK38">_xlfn.IFNA(INDEX('DMR 001C NEW'!$A$3:$O$999,MATCH(('001-C DMR'!$AB$6:$AJ$6&amp;'001-C DMR'!AK$10&amp;'001-C DMR'!$B38),('DMR 001C NEW'!$E$3:$E$1112&amp;'DMR 001C NEW'!$B$3:$B$1112&amp;'DMR 001C NEW'!$A$3:$A$1112),0),MATCH('001-C DMR'!$AD$11,'DMR 001C NEW'!$A$2:$O$2,0)),"")</f>
        <v/>
      </c>
      <c r="AL38" s="262" t="str">
        <f t="array" ref="AL38">_xlfn.IFNA(INDEX('DMR 001C NEW'!$A$3:$O$999,MATCH(('001-C DMR'!$AB$6:$AJ$6&amp;'001-C DMR'!AL$10&amp;'001-C DMR'!$B38),('DMR 001C NEW'!$E$3:$E$1112&amp;'DMR 001C NEW'!$B$3:$B$1112&amp;'DMR 001C NEW'!$A$3:$A$1112),0),MATCH('001-C DMR'!$AD$11,'DMR 001C NEW'!$A$2:$O$2,0)),"")</f>
        <v/>
      </c>
      <c r="AM38" s="262" t="str">
        <f t="array" ref="AM38">_xlfn.IFNA(INDEX('DMR 001C NEW'!$A$3:$O$999,MATCH(('001-C DMR'!$AB$6:$AJ$6&amp;'001-C DMR'!AM$10&amp;'001-C DMR'!$B38),('DMR 001C NEW'!$E$3:$E$1112&amp;'DMR 001C NEW'!$B$3:$B$1112&amp;'DMR 001C NEW'!$A$3:$A$1112),0),MATCH('001-C DMR'!$AD$11,'DMR 001C NEW'!$A$2:$O$2,0)),"")</f>
        <v/>
      </c>
      <c r="AN38" s="262" t="str">
        <f t="array" ref="AN38">_xlfn.IFNA(INDEX('DMR 001C NEW'!$A$3:$O$999,MATCH(('001-C DMR'!$AB$6:$AJ$6&amp;'001-C DMR'!AN$10&amp;'001-C DMR'!$B38),('DMR 001C NEW'!$E$3:$E$1112&amp;'DMR 001C NEW'!$B$3:$B$1112&amp;'DMR 001C NEW'!$A$3:$A$1112),0),MATCH('001-C DMR'!$AD$11,'DMR 001C NEW'!$A$2:$O$2,0)),"")</f>
        <v/>
      </c>
      <c r="AO38" s="262" t="str">
        <f t="array" ref="AO38">_xlfn.IFNA(INDEX('DMR 001C NEW'!$A$3:$O$999,MATCH(('001-C DMR'!$AB$6:$AJ$6&amp;'001-C DMR'!AO$10&amp;'001-C DMR'!$B38),('DMR 001C NEW'!$E$3:$E$1112&amp;'DMR 001C NEW'!$B$3:$B$1112&amp;'DMR 001C NEW'!$A$3:$A$1112),0),MATCH('001-C DMR'!$AD$11,'DMR 001C NEW'!$A$2:$O$2,0)),"")</f>
        <v/>
      </c>
      <c r="AP38" s="262" t="str">
        <f t="array" ref="AP38">_xlfn.IFNA(INDEX('DMR 001C NEW'!$A$3:$O$999,MATCH(('001-C DMR'!$AB$6:$AJ$6&amp;'001-C DMR'!AP$10&amp;'001-C DMR'!$B38),('DMR 001C NEW'!$E$3:$E$1112&amp;'DMR 001C NEW'!$B$3:$B$1112&amp;'DMR 001C NEW'!$A$3:$A$1112),0),MATCH('001-C DMR'!$AD$11,'DMR 001C NEW'!$A$2:$O$2,0)),"")</f>
        <v/>
      </c>
      <c r="AQ38" s="61" t="str">
        <f t="array" ref="AQ38">IF(AS38&lt;AR38,"&lt;","")</f>
        <v/>
      </c>
      <c r="AR38" s="58">
        <f t="array" ref="AR38">_xlfn.IFNA((INDEX('DMR 001C NEW'!$A$3:$O$9999,MATCH(('001-C DMR'!$AQ$6:$AZ$6&amp;'001-C DMR'!$AQ$10:$AS$10&amp;'001-C DMR'!$B38),('DMR 001C NEW'!$E$3:$E$7246&amp;'DMR 001C NEW'!$B$3:$B$7246&amp;'DMR 001C NEW'!$A$3:$A$7246),0),MATCH('001-C DMR'!$AR$11,'DMR 001C NEW'!$A$2:$O$2,0))),"")</f>
        <v>0.15</v>
      </c>
      <c r="AS38" s="58">
        <f t="array" ref="AS38">_xlfn.IFNA(INDEX('DMR 001C NEW'!$A$3:$O$9999,MATCH(('001-C DMR'!$AQ$6:$AZ$6&amp;'001-C DMR'!$AQ$10:$AS$10&amp;'001-C DMR'!$B38),('DMR 001C NEW'!$E$3:$E$7246&amp;'DMR 001C NEW'!$B$3:$B$7246&amp;'DMR 001C NEW'!$A$3:$A$7246),0),MATCH('001-C DMR'!$AS$11,'DMR 001C NEW'!$A$2:$O$2,0)),"")</f>
        <v>1.2</v>
      </c>
      <c r="AT38" s="58">
        <f t="shared" si="27"/>
        <v>1.2</v>
      </c>
      <c r="AU38" s="57" t="str">
        <f t="array" ref="AU38">IF(AW38&lt;AV38,"&lt;","")</f>
        <v/>
      </c>
      <c r="AV38" s="58">
        <f t="array" ref="AV38">_xlfn.IFNA((INDEX('DMR 001C NEW'!$A$3:$O$9999,MATCH(('001-C DMR'!$AQ$6:$AZ$6&amp;'001-C DMR'!$AU$10&amp;'001-C DMR'!$B38),('DMR 001C NEW'!$E$3:$E$7246&amp;'DMR 001C NEW'!$B$3:$B$7246&amp;'DMR 001C NEW'!$A$3:$A$7246),0),MATCH('001-C DMR'!$AR$11,'DMR 001C NEW'!$A$2:$O$2,0))),"")</f>
        <v>0.15</v>
      </c>
      <c r="AW38" s="58">
        <f t="array" ref="AW38">_xlfn.IFNA(INDEX('DMR 001C NEW'!$A$3:$O$9999,MATCH(('001-C DMR'!$AQ$6:$AZ$6&amp;'001-C DMR'!$AU$10&amp;'001-C DMR'!$B38),('DMR 001C NEW'!$E$3:$E$7246&amp;'DMR 001C NEW'!$B$3:$B$7246&amp;'DMR 001C NEW'!$A$3:$A$7246),0),MATCH('001-C DMR'!$AW$11,'DMR 001C NEW'!$A$2:$O$2,0)),"")</f>
        <v>0.71</v>
      </c>
      <c r="AX38" s="58">
        <f t="shared" si="6"/>
        <v>0.71</v>
      </c>
      <c r="AY38" s="56">
        <f t="array" ref="AY38">IFERROR((($AT38*$EI38)+($AX38*$EJ38))/($EK38),"")</f>
        <v>0.86249746152665019</v>
      </c>
      <c r="AZ38" s="64" t="str">
        <f t="shared" si="31"/>
        <v/>
      </c>
      <c r="BA38" s="279" t="str">
        <f t="array" ref="BA38">_xlfn.IFNA(INDEX('DMR 001C NEW'!$A$3:$O$9999,MATCH(('001-C DMR'!$AQ$6:$AZ$6&amp;'001-C DMR'!BA$10&amp;'001-C DMR'!$B38),('DMR 001C NEW'!$E$3:$E$1112&amp;'DMR 001C NEW'!$B$3:$B$1112&amp;'DMR 001C NEW'!$A$3:$A$1112),0),MATCH('001-C DMR'!$BA$11,'DMR 001C NEW'!$A$2:$O$2,0)),"")</f>
        <v/>
      </c>
      <c r="BB38" s="280" t="str">
        <f t="array" ref="BB38">_xlfn.IFNA(INDEX('DMR 001C NEW'!$A$3:$O$9999,MATCH(('001-C DMR'!$AQ$6:$AZ$6&amp;'001-C DMR'!BB$10&amp;'001-C DMR'!$B38),('DMR 001C NEW'!$E$3:$E$1112&amp;'DMR 001C NEW'!$B$3:$B$1112&amp;'DMR 001C NEW'!$A$3:$A$1112),0),MATCH('001-C DMR'!$BA$11,'DMR 001C NEW'!$A$2:$O$2,0)),"")</f>
        <v/>
      </c>
      <c r="BC38" s="280" t="str">
        <f t="array" ref="BC38">_xlfn.IFNA(INDEX('DMR 001C NEW'!$A$3:$O$9999,MATCH(('001-C DMR'!$AQ$6:$AZ$6&amp;'001-C DMR'!BC$10&amp;'001-C DMR'!$B38),('DMR 001C NEW'!$E$3:$E$1112&amp;'DMR 001C NEW'!$B$3:$B$1112&amp;'DMR 001C NEW'!$A$3:$A$1112),0),MATCH('001-C DMR'!$BA$11,'DMR 001C NEW'!$A$2:$O$2,0)),"")</f>
        <v/>
      </c>
      <c r="BD38" s="280" t="str">
        <f t="array" ref="BD38">_xlfn.IFNA(INDEX('DMR 001C NEW'!$A$3:$O$9999,MATCH(('001-C DMR'!$AQ$6:$AZ$6&amp;'001-C DMR'!BD$10&amp;'001-C DMR'!$B38),('DMR 001C NEW'!$E$3:$E$1112&amp;'DMR 001C NEW'!$B$3:$B$1112&amp;'DMR 001C NEW'!$A$3:$A$1112),0),MATCH('001-C DMR'!$BA$11,'DMR 001C NEW'!$A$2:$O$2,0)),"")</f>
        <v/>
      </c>
      <c r="BE38" s="280" t="str">
        <f t="array" ref="BE38">_xlfn.IFNA(INDEX('DMR 001C NEW'!$A$3:$O$9999,MATCH(('001-C DMR'!$AQ$6:$AZ$6&amp;'001-C DMR'!BE$10&amp;'001-C DMR'!$B38),('DMR 001C NEW'!$E$3:$E$1112&amp;'DMR 001C NEW'!$B$3:$B$1112&amp;'DMR 001C NEW'!$A$3:$A$1112),0),MATCH('001-C DMR'!$BA$11,'DMR 001C NEW'!$A$2:$O$2,0)),"")</f>
        <v/>
      </c>
      <c r="BF38" s="281" t="str">
        <f t="array" ref="BF38">_xlfn.IFNA(INDEX('DMR 001C NEW'!$A$3:$O$9999,MATCH(('001-C DMR'!$AQ$6:$AZ$6&amp;'001-C DMR'!BF$10&amp;'001-C DMR'!$B38),('DMR 001C NEW'!$E$3:$E$1112&amp;'DMR 001C NEW'!$B$3:$B$1112&amp;'DMR 001C NEW'!$A$3:$A$1112),0),MATCH('001-C DMR'!$BA$11,'DMR 001C NEW'!$A$2:$O$2,0)),"")</f>
        <v/>
      </c>
      <c r="BG38" s="57"/>
      <c r="BH38" s="58">
        <f t="array" ref="BH38">_xlfn.IFNA((INDEX('DMR 001C NEW'!$A$3:$O$9999,MATCH(('001-C DMR'!$BG$6&amp;'001-C DMR'!$BG$10&amp;'001-C DMR'!$B38),('DMR 001C NEW'!$E$3:$E$7246&amp;'DMR 001C NEW'!$B$3:$B$7246&amp;'DMR 001C NEW'!$A$3:$A$7246),0),MATCH('001-C DMR'!$BH$11,'DMR 001C NEW'!$A$2:$O$2,0))),"")</f>
        <v>0.06</v>
      </c>
      <c r="BI38" s="58">
        <f t="array" ref="BI38">_xlfn.IFNA(INDEX('DMR 001C NEW'!$A$3:$O$9999,MATCH(('001-C DMR'!$BG$6&amp;'001-C DMR'!$BG$10&amp;'001-C DMR'!$B38),('DMR 001C NEW'!$E$3:$E$7246&amp;'DMR 001C NEW'!$B$3:$B$7246&amp;'DMR 001C NEW'!$A$3:$A$7246),0),MATCH('001-C DMR'!$BI$11,'DMR 001C NEW'!$A$2:$O$2,0)),"")</f>
        <v>5.36</v>
      </c>
      <c r="BJ38" s="58">
        <f t="shared" si="7"/>
        <v>5.36</v>
      </c>
      <c r="BK38" s="57" t="str">
        <f t="shared" si="8"/>
        <v/>
      </c>
      <c r="BL38" s="58">
        <f t="array" ref="BL38">_xlfn.IFNA((INDEX('DMR 001C NEW'!$A$3:$O$9999,MATCH(('001-C DMR'!$BG$6&amp;'001-C DMR'!$BK$10&amp;'001-C DMR'!$B38),('DMR 001C NEW'!$E$3:$E$7246&amp;'DMR 001C NEW'!$B$3:$B$7246&amp;'DMR 001C NEW'!$A$3:$A$7246),0),MATCH('001-C DMR'!$BH$11,'DMR 001C NEW'!$A$2:$O$2,0))),"")</f>
        <v>0.06</v>
      </c>
      <c r="BM38" s="58">
        <f t="array" ref="BM38">_xlfn.IFNA(INDEX('DMR 001C NEW'!$A$3:$O$9999,MATCH(('001-C DMR'!$BG$6&amp;'001-C DMR'!$BK$10&amp;'001-C DMR'!$B38),('DMR 001C NEW'!$E$3:$E$7246&amp;'DMR 001C NEW'!$B$3:$B$7246&amp;'DMR 001C NEW'!$A$3:$A$7246),0),MATCH('001-C DMR'!$BI$11,'DMR 001C NEW'!$A$2:$O$2,0)),"")</f>
        <v>5.86</v>
      </c>
      <c r="BN38" s="58">
        <f t="shared" si="9"/>
        <v>5.86</v>
      </c>
      <c r="BO38" s="56">
        <f t="array" ref="BO38">IFERROR((($BJ38*$EI38)+($BN38*$EJ38))/($EK38),"")</f>
        <v>5.7043903453809692</v>
      </c>
      <c r="BP38" s="64" t="str">
        <f t="shared" si="32"/>
        <v/>
      </c>
      <c r="BQ38" s="280" t="str">
        <f t="array" ref="BQ38">_xlfn.IFNA(INDEX('DMR 001C NEW'!$A$3:$O$999,MATCH(('001-C DMR'!$BG$6&amp;'001-C DMR'!BQ$10&amp;'001-C DMR'!$B38),('DMR 001C NEW'!$E$3:$E$1112&amp;'DMR 001C NEW'!$B$3:$B$1112&amp;'DMR 001C NEW'!$A$3:$A$1112),0),MATCH('001-C DMR'!$BQ$11,'DMR 001C NEW'!$A$2:$O$2,0)),"")</f>
        <v/>
      </c>
      <c r="BR38" s="280" t="str">
        <f t="array" ref="BR38">_xlfn.IFNA(INDEX('DMR 001C NEW'!$A$3:$O$999,MATCH(('001-C DMR'!$BG$6&amp;'001-C DMR'!BR$10&amp;'001-C DMR'!$B38),('DMR 001C NEW'!$E$3:$E$1112&amp;'DMR 001C NEW'!$B$3:$B$1112&amp;'DMR 001C NEW'!$A$3:$A$1112),0),MATCH('001-C DMR'!$BQ$11,'DMR 001C NEW'!$A$2:$O$2,0)),"")</f>
        <v/>
      </c>
      <c r="BS38" s="280" t="str">
        <f t="array" ref="BS38">_xlfn.IFNA(INDEX('DMR 001C NEW'!$A$3:$O$999,MATCH(('001-C DMR'!$BG$6&amp;'001-C DMR'!BS$10&amp;'001-C DMR'!$B38),('DMR 001C NEW'!$E$3:$E$1112&amp;'DMR 001C NEW'!$B$3:$B$1112&amp;'DMR 001C NEW'!$A$3:$A$1112),0),MATCH('001-C DMR'!$BQ$11,'DMR 001C NEW'!$A$2:$O$2,0)),"")</f>
        <v/>
      </c>
      <c r="BT38" s="280" t="str">
        <f t="array" ref="BT38">_xlfn.IFNA(INDEX('DMR 001C NEW'!$A$3:$O$999,MATCH(('001-C DMR'!$BG$6&amp;'001-C DMR'!BT$10&amp;'001-C DMR'!$B38),('DMR 001C NEW'!$E$3:$E$1112&amp;'DMR 001C NEW'!$B$3:$B$1112&amp;'DMR 001C NEW'!$A$3:$A$1112),0),MATCH('001-C DMR'!$BQ$11,'DMR 001C NEW'!$A$2:$O$2,0)),"")</f>
        <v/>
      </c>
      <c r="BU38" s="280" t="str">
        <f t="array" ref="BU38">_xlfn.IFNA(INDEX('DMR 001C NEW'!$A$3:$O$999,MATCH(('001-C DMR'!$BG$6&amp;'001-C DMR'!BU$10&amp;'001-C DMR'!$B38),('DMR 001C NEW'!$E$3:$E$1112&amp;'DMR 001C NEW'!$B$3:$B$1112&amp;'DMR 001C NEW'!$A$3:$A$1112),0),MATCH('001-C DMR'!$BQ$11,'DMR 001C NEW'!$A$2:$O$2,0)),"")</f>
        <v/>
      </c>
      <c r="BV38" s="280" t="str">
        <f t="array" ref="BV38">_xlfn.IFNA(INDEX('DMR 001C NEW'!$A$3:$O$999,MATCH(('001-C DMR'!$BG$6&amp;'001-C DMR'!BV$10&amp;'001-C DMR'!$B38),('DMR 001C NEW'!$E$3:$E$1112&amp;'DMR 001C NEW'!$B$3:$B$1112&amp;'DMR 001C NEW'!$A$3:$A$1112),0),MATCH('001-C DMR'!$BQ$11,'DMR 001C NEW'!$A$2:$O$2,0)),"")</f>
        <v/>
      </c>
      <c r="BW38" s="65"/>
      <c r="BX38" s="65"/>
      <c r="BY38" s="57" t="str">
        <f t="shared" si="10"/>
        <v/>
      </c>
      <c r="BZ38" s="58" t="str">
        <f t="array" ref="BZ38">_xlfn.IFNA((INDEX('DMR 001C NEW'!$A$3:$O$9999,MATCH(('001-C DMR'!$BY$6&amp;'001-C DMR'!$BY$10&amp;'001-C DMR'!$B38),('DMR 001C NEW'!$E$3:$E$7246&amp;'DMR 001C NEW'!$B$3:$B$7246&amp;'DMR 001C NEW'!$A$3:$A$7246),0),MATCH('001-C DMR'!$BZ$11,'DMR 001C NEW'!$A$2:$O$2,0))),"")</f>
        <v/>
      </c>
      <c r="CA38" s="138" t="str">
        <f t="array" ref="CA38">_xlfn.IFNA(INDEX('DMR 001C NEW'!$A$3:$O$9999,MATCH(('001-C DMR'!$BY$6&amp;'001-C DMR'!$BY$10&amp;'001-C DMR'!$B38),('DMR 001C NEW'!$E$3:$E$7246&amp;'DMR 001C NEW'!$B$3:$B$7246&amp;'DMR 001C NEW'!$A$3:$A$7246),0),MATCH('001-C DMR'!$CA$11,'DMR 001C NEW'!$A$2:$O$2,0)),"")</f>
        <v/>
      </c>
      <c r="CB38" s="57" t="str">
        <f t="shared" si="11"/>
        <v/>
      </c>
      <c r="CC38" s="58" t="str">
        <f t="array" ref="CC38">_xlfn.IFNA((INDEX('DMR 001C NEW'!$A$3:$O$9999,MATCH(('001-C DMR'!$BY$6&amp;'001-C DMR'!$CB$10&amp;'001-C DMR'!$B38),('DMR 001C NEW'!$E$3:$E$7246&amp;'DMR 001C NEW'!$B$3:$B$7246&amp;'DMR 001C NEW'!$A$3:$A$7246),0),MATCH('001-C DMR'!$BZ$11,'DMR 001C NEW'!$A$2:$O$2,0))),"")</f>
        <v/>
      </c>
      <c r="CD38" s="138" t="str">
        <f t="array" ref="CD38">_xlfn.IFNA(INDEX('DMR 001C NEW'!$A$3:$O$9999,MATCH(('001-C DMR'!$BY$6&amp;'001-C DMR'!$CB$10&amp;'001-C DMR'!$B38),('DMR 001C NEW'!$E$3:$E$7246&amp;'DMR 001C NEW'!$B$3:$B$7246&amp;'DMR 001C NEW'!$A$3:$A$7246),0),MATCH('001-C DMR'!$CA$11,'DMR 001C NEW'!$A$2:$O$2,0)),"")</f>
        <v/>
      </c>
      <c r="CE38" s="138" t="str">
        <f t="array" ref="CE38">IFERROR((($CA38*$EI38)+($CD38*$EJ38))/($EK38),"")</f>
        <v/>
      </c>
      <c r="CF38" s="64" t="str">
        <f t="shared" si="33"/>
        <v/>
      </c>
      <c r="CG38" s="280" t="str">
        <f t="array" ref="CG38">_xlfn.IFNA(INDEX('DMR 001C NEW'!$A$3:$O$999,MATCH(('001-C DMR'!$BY$6&amp;'001-C DMR'!CG$10&amp;'001-C DMR'!$B38),('DMR 001C NEW'!$E$3:$E$1112&amp;'DMR 001C NEW'!$B$3:$B$1112&amp;'DMR 001C NEW'!$A$3:$A$1112),0),MATCH('001-C DMR'!$CA$11,'DMR 001C NEW'!$A$2:$O$2,0)),"")</f>
        <v/>
      </c>
      <c r="CH38" s="280" t="str">
        <f t="array" ref="CH38">_xlfn.IFNA(INDEX('DMR 001C NEW'!$A$3:$O$999,MATCH(('001-C DMR'!$BY$6&amp;'001-C DMR'!CH$10&amp;'001-C DMR'!$B38),('DMR 001C NEW'!$E$3:$E$1112&amp;'DMR 001C NEW'!$B$3:$B$1112&amp;'DMR 001C NEW'!$A$3:$A$1112),0),MATCH('001-C DMR'!$CA$11,'DMR 001C NEW'!$A$2:$O$2,0)),"")</f>
        <v/>
      </c>
      <c r="CI38" s="280" t="str">
        <f t="array" ref="CI38">_xlfn.IFNA(INDEX('DMR 001C NEW'!$A$3:$O$999,MATCH(('001-C DMR'!$BY$6&amp;'001-C DMR'!CI$10&amp;'001-C DMR'!$B38),('DMR 001C NEW'!$E$3:$E$1112&amp;'DMR 001C NEW'!$B$3:$B$1112&amp;'DMR 001C NEW'!$A$3:$A$1112),0),MATCH('001-C DMR'!$CA$11,'DMR 001C NEW'!$A$2:$O$2,0)),"")</f>
        <v/>
      </c>
      <c r="CJ38" s="280" t="str">
        <f t="array" ref="CJ38">_xlfn.IFNA(INDEX('DMR 001C NEW'!$A$3:$O$999,MATCH(('001-C DMR'!$BY$6&amp;'001-C DMR'!CJ$10&amp;'001-C DMR'!$B38),('DMR 001C NEW'!$E$3:$E$1112&amp;'DMR 001C NEW'!$B$3:$B$1112&amp;'DMR 001C NEW'!$A$3:$A$1112),0),MATCH('001-C DMR'!$CA$11,'DMR 001C NEW'!$A$2:$O$2,0)),"")</f>
        <v/>
      </c>
      <c r="CK38" s="280" t="str">
        <f t="array" ref="CK38">_xlfn.IFNA(INDEX('DMR 001C NEW'!$A$3:$O$999,MATCH(('001-C DMR'!$BY$6&amp;'001-C DMR'!CK$10&amp;'001-C DMR'!$B38),('DMR 001C NEW'!$E$3:$E$1112&amp;'DMR 001C NEW'!$B$3:$B$1112&amp;'DMR 001C NEW'!$A$3:$A$1112),0),MATCH('001-C DMR'!$CA$11,'DMR 001C NEW'!$A$2:$O$2,0)),"")</f>
        <v/>
      </c>
      <c r="CL38" s="280" t="str">
        <f t="array" ref="CL38">_xlfn.IFNA(INDEX('DMR 001C NEW'!$A$3:$O$999,MATCH(('001-C DMR'!$BY$6&amp;'001-C DMR'!CL$10&amp;'001-C DMR'!$B38),('DMR 001C NEW'!$E$3:$E$1112&amp;'DMR 001C NEW'!$B$3:$B$1112&amp;'DMR 001C NEW'!$A$3:$A$1112),0),MATCH('001-C DMR'!$CA$11,'DMR 001C NEW'!$A$2:$O$2,0)),"")</f>
        <v/>
      </c>
      <c r="CM38" s="61" t="str">
        <f t="shared" si="12"/>
        <v/>
      </c>
      <c r="CN38" s="138" t="str">
        <f t="array" ref="CN38">_xlfn.IFNA((INDEX('DMR 001C NEW'!$A$3:$O$9999,MATCH(('001-C DMR'!$CM$6&amp;'001-C DMR'!$CM$10&amp;'001-C DMR'!$B38),('DMR 001C NEW'!$E$3:$E$9018&amp;'DMR 001C NEW'!$B$3:$B$9018&amp;'DMR 001C NEW'!$A$3:$A$9018),0),MATCH('001-C DMR'!$CN$11,'DMR 001C NEW'!$A$2:$O$2,0))*1000),"")</f>
        <v/>
      </c>
      <c r="CO38" s="138" t="str">
        <f t="array" ref="CO38">_xlfn.IFNA(INDEX('DMR 001C NEW'!$A$3:$O$9999,MATCH(('001-C DMR'!$CM$6&amp;'001-C DMR'!$CM$10&amp;'001-C DMR'!$B38),('DMR 001C NEW'!$E$3:$E$9018&amp;'DMR 001C NEW'!$B$3:$B$9018&amp;'DMR 001C NEW'!$A$3:$A$9018),0),MATCH('001-C DMR'!$CO$11,'DMR 001C NEW'!$A$2:$O$2,0))*1000,"")</f>
        <v/>
      </c>
      <c r="CP38" s="138" t="str">
        <f t="shared" si="13"/>
        <v/>
      </c>
      <c r="CQ38" s="64" t="str">
        <f t="shared" si="34"/>
        <v/>
      </c>
      <c r="CR38" s="280" t="str">
        <f t="array" ref="CR38">_xlfn.IFNA(INDEX('DMR 001C NEW'!$A$3:$O$999,MATCH(('001-C DMR'!$CM$6&amp;'001-C DMR'!CR$10&amp;'001-C DMR'!$B38),('DMR 001C NEW'!$E$3:$E$1112&amp;'DMR 001C NEW'!$B$3:$B$1112&amp;'DMR 001C NEW'!$A$3:$A$1112),0),MATCH('001-C DMR'!$CO$11,'DMR 001C NEW'!$A$2:$O$2,0)),"")</f>
        <v/>
      </c>
      <c r="CS38" s="280" t="str">
        <f t="array" ref="CS38">_xlfn.IFNA(INDEX('DMR 001C NEW'!$A$3:$O$999,MATCH(('001-C DMR'!$CM$6&amp;'001-C DMR'!CS$10&amp;'001-C DMR'!$B38),('DMR 001C NEW'!$E$3:$E$1112&amp;'DMR 001C NEW'!$B$3:$B$1112&amp;'DMR 001C NEW'!$A$3:$A$1112),0),MATCH('001-C DMR'!$CO$11,'DMR 001C NEW'!$A$2:$O$2,0)),"")</f>
        <v/>
      </c>
      <c r="CT38" s="280" t="str">
        <f t="array" ref="CT38">_xlfn.IFNA(INDEX('DMR 001C NEW'!$A$3:$O$999,MATCH(('001-C DMR'!$CM$6&amp;'001-C DMR'!CT$10&amp;'001-C DMR'!$B38),('DMR 001C NEW'!$E$3:$E$1112&amp;'DMR 001C NEW'!$B$3:$B$1112&amp;'DMR 001C NEW'!$A$3:$A$1112),0),MATCH('001-C DMR'!$CO$11,'DMR 001C NEW'!$A$2:$O$2,0)),"")</f>
        <v/>
      </c>
      <c r="CU38" s="280" t="str">
        <f t="array" ref="CU38">_xlfn.IFNA(INDEX('DMR 001C NEW'!$A$3:$O$999,MATCH(('001-C DMR'!$CM$6&amp;'001-C DMR'!CU$10&amp;'001-C DMR'!$B38),('DMR 001C NEW'!$E$3:$E$1112&amp;'DMR 001C NEW'!$B$3:$B$1112&amp;'DMR 001C NEW'!$A$3:$A$1112),0),MATCH('001-C DMR'!$CO$11,'DMR 001C NEW'!$A$2:$O$2,0)),"")</f>
        <v/>
      </c>
      <c r="CV38" s="280" t="str">
        <f t="array" ref="CV38">_xlfn.IFNA(INDEX('DMR 001C NEW'!$A$3:$O$999,MATCH(('001-C DMR'!$CM$6&amp;'001-C DMR'!CV$10&amp;'001-C DMR'!$B38),('DMR 001C NEW'!$E$3:$E$1112&amp;'DMR 001C NEW'!$B$3:$B$1112&amp;'DMR 001C NEW'!$A$3:$A$1112),0),MATCH('001-C DMR'!$CO$11,'DMR 001C NEW'!$A$2:$O$2,0)),"")</f>
        <v/>
      </c>
      <c r="CW38" s="280" t="str">
        <f t="array" ref="CW38">_xlfn.IFNA(INDEX('DMR 001C NEW'!$A$3:$O$999,MATCH(('001-C DMR'!$CM$6&amp;'001-C DMR'!CW$10&amp;'001-C DMR'!$B38),('DMR 001C NEW'!$E$3:$E$1112&amp;'DMR 001C NEW'!$B$3:$B$1112&amp;'DMR 001C NEW'!$A$3:$A$1112),0),MATCH('001-C DMR'!$CO$11,'DMR 001C NEW'!$A$2:$O$2,0)),"")</f>
        <v/>
      </c>
      <c r="CX38" s="280" t="str">
        <f t="array" ref="CX38">_xlfn.IFNA(INDEX('DMR 001C NEW'!$A$3:$O$999,MATCH(('001-C DMR'!$CM$6&amp;'001-C DMR'!CX$10&amp;'001-C DMR'!$B38),('DMR 001C NEW'!$E$3:$E$1112&amp;'DMR 001C NEW'!$B$3:$B$1112&amp;'DMR 001C NEW'!$A$3:$A$1112),0),MATCH('001-C DMR'!$CO$11,'DMR 001C NEW'!$A$2:$O$2,0)),"")</f>
        <v/>
      </c>
      <c r="CY38" s="61" t="str">
        <f t="shared" si="14"/>
        <v/>
      </c>
      <c r="CZ38" s="138" t="str">
        <f t="array" ref="CZ38">_xlfn.IFNA((INDEX('DMR 001C NEW'!$A$3:$O$9999,MATCH(('001-C DMR'!$CY$6&amp;'001-C DMR'!$CY$10&amp;'001-C DMR'!$B38),('DMR 001C NEW'!$E$3:$E$9018&amp;'DMR 001C NEW'!$B$3:$B$9018&amp;'DMR 001C NEW'!$A$3:$A$9018),0),MATCH('001-C DMR'!$CZ$11,'DMR 001C NEW'!$A$2:$O$2,0))*1000),"")</f>
        <v/>
      </c>
      <c r="DA38" s="138" t="str">
        <f t="array" ref="DA38">_xlfn.IFNA(INDEX('DMR 001C NEW'!$A$3:$O$9999,MATCH(('001-C DMR'!$CY$6&amp;'001-C DMR'!$CY$10&amp;'001-C DMR'!$B38),('DMR 001C NEW'!$E$3:$E$9018&amp;'DMR 001C NEW'!$B$3:$B$9018&amp;'DMR 001C NEW'!$A$3:$A$9018),0),MATCH('001-C DMR'!$DA$11,'DMR 001C NEW'!$A$2:$O$2,0))*1000,"")</f>
        <v/>
      </c>
      <c r="DB38" s="138" t="str">
        <f t="shared" si="15"/>
        <v/>
      </c>
      <c r="DC38" s="64" t="str">
        <f t="shared" si="35"/>
        <v/>
      </c>
      <c r="DD38" s="280" t="str">
        <f t="array" ref="DD38">_xlfn.IFNA(INDEX('DMR 001C NEW'!$A$3:$O$999,MATCH(('001-C DMR'!$CY$6&amp;'001-C DMR'!DD$10&amp;'001-C DMR'!$B38),('DMR 001C NEW'!$E$3:$E$1112&amp;'DMR 001C NEW'!$B$3:$B$1112&amp;'DMR 001C NEW'!$A$3:$A$1112),0),MATCH('001-C DMR'!$DA$11,'DMR 001C NEW'!$A$2:$O$2,0)),"")</f>
        <v/>
      </c>
      <c r="DE38" s="280" t="str">
        <f t="array" ref="DE38">_xlfn.IFNA(INDEX('DMR 001C NEW'!$A$3:$O$999,MATCH(('001-C DMR'!$CY$6&amp;'001-C DMR'!DE$10&amp;'001-C DMR'!$B38),('DMR 001C NEW'!$E$3:$E$1112&amp;'DMR 001C NEW'!$B$3:$B$1112&amp;'DMR 001C NEW'!$A$3:$A$1112),0),MATCH('001-C DMR'!$DA$11,'DMR 001C NEW'!$A$2:$O$2,0)),"")</f>
        <v/>
      </c>
      <c r="DF38" s="280" t="str">
        <f t="array" ref="DF38">_xlfn.IFNA(INDEX('DMR 001C NEW'!$A$3:$O$999,MATCH(('001-C DMR'!$CY$6&amp;'001-C DMR'!DF$10&amp;'001-C DMR'!$B38),('DMR 001C NEW'!$E$3:$E$1112&amp;'DMR 001C NEW'!$B$3:$B$1112&amp;'DMR 001C NEW'!$A$3:$A$1112),0),MATCH('001-C DMR'!$DA$11,'DMR 001C NEW'!$A$2:$O$2,0)),"")</f>
        <v/>
      </c>
      <c r="DG38" s="280" t="str">
        <f t="array" ref="DG38">_xlfn.IFNA(INDEX('DMR 001C NEW'!$A$3:$O$999,MATCH(('001-C DMR'!$CY$6&amp;'001-C DMR'!DG$10&amp;'001-C DMR'!$B38),('DMR 001C NEW'!$E$3:$E$1112&amp;'DMR 001C NEW'!$B$3:$B$1112&amp;'DMR 001C NEW'!$A$3:$A$1112),0),MATCH('001-C DMR'!$DA$11,'DMR 001C NEW'!$A$2:$O$2,0)),"")</f>
        <v/>
      </c>
      <c r="DH38" s="280" t="str">
        <f t="array" ref="DH38">_xlfn.IFNA(INDEX('DMR 001C NEW'!$A$3:$O$999,MATCH(('001-C DMR'!$CY$6&amp;'001-C DMR'!DH$10&amp;'001-C DMR'!$B38),('DMR 001C NEW'!$E$3:$E$1112&amp;'DMR 001C NEW'!$B$3:$B$1112&amp;'DMR 001C NEW'!$A$3:$A$1112),0),MATCH('001-C DMR'!$DA$11,'DMR 001C NEW'!$A$2:$O$2,0)),"")</f>
        <v/>
      </c>
      <c r="DI38" s="280" t="str">
        <f t="array" ref="DI38">_xlfn.IFNA(INDEX('DMR 001C NEW'!$A$3:$O$999,MATCH(('001-C DMR'!$CY$6&amp;'001-C DMR'!DI$10&amp;'001-C DMR'!$B38),('DMR 001C NEW'!$E$3:$E$1112&amp;'DMR 001C NEW'!$B$3:$B$1112&amp;'DMR 001C NEW'!$A$3:$A$1112),0),MATCH('001-C DMR'!$DA$11,'DMR 001C NEW'!$A$2:$O$2,0)),"")</f>
        <v/>
      </c>
      <c r="DJ38" s="280" t="str">
        <f t="array" ref="DJ38">_xlfn.IFNA(INDEX('DMR 001C NEW'!$A$3:$O$999,MATCH(('001-C DMR'!$CY$6&amp;'001-C DMR'!DJ$10&amp;'001-C DMR'!$B38),('DMR 001C NEW'!$E$3:$E$1112&amp;'DMR 001C NEW'!$B$3:$B$1112&amp;'DMR 001C NEW'!$A$3:$A$1112),0),MATCH('001-C DMR'!$DA$11,'DMR 001C NEW'!$A$2:$O$2,0)),"")</f>
        <v/>
      </c>
      <c r="DK38" s="61" t="str">
        <f t="shared" si="16"/>
        <v/>
      </c>
      <c r="DL38" s="58" t="str">
        <f t="array" ref="DL38">_xlfn.IFNA((INDEX('DMR 001C NEW'!$A$3:$O$9999,MATCH(('001-C DMR'!$DK$6&amp;'001-C DMR'!$DK$10&amp;'001-C DMR'!$B38),('DMR 001C NEW'!$E$3:$E$9018&amp;'DMR 001C NEW'!$B$3:$B$9018&amp;'DMR 001C NEW'!$A$3:$A$9018),0),MATCH('001-C DMR'!$DL$11,'DMR 001C NEW'!$A$2:$O$2,0))),"")</f>
        <v/>
      </c>
      <c r="DM38" s="58" t="str">
        <f t="array" ref="DM38">_xlfn.IFNA(INDEX('DMR 001C NEW'!$A$3:$O$9999,MATCH(('001-C DMR'!$DK$6&amp;'001-C DMR'!$DK$10&amp;'001-C DMR'!$B38),('DMR 001C NEW'!$E$3:$E$9018&amp;'DMR 001C NEW'!$B$3:$B$9018&amp;'DMR 001C NEW'!$A$3:$A$9018),0),MATCH('001-C DMR'!$DM$11,'DMR 001C NEW'!$A$2:$O$2,0)),"")</f>
        <v/>
      </c>
      <c r="DN38" s="58" t="str">
        <f t="shared" si="17"/>
        <v/>
      </c>
      <c r="DO38" s="223"/>
      <c r="DP38" s="224"/>
      <c r="DQ38" s="64" t="str">
        <f t="shared" si="18"/>
        <v/>
      </c>
      <c r="DR38" s="280" t="str">
        <f t="array" ref="DR38">_xlfn.IFNA(INDEX('DMR 001C NEW'!$A$3:$O$999,MATCH(('001-C DMR'!$DK$6&amp;'001-C DMR'!DR$10&amp;'001-C DMR'!$B38),('DMR 001C NEW'!$E$3:$E$1112&amp;'DMR 001C NEW'!$B$3:$B$1112&amp;'DMR 001C NEW'!$A$3:$A$1112),0),MATCH('001-C DMR'!$DR$11,'DMR 001C NEW'!$A$2:$O$2,0)),"")</f>
        <v/>
      </c>
      <c r="DS38" s="280" t="str">
        <f t="array" ref="DS38">_xlfn.IFNA(INDEX('DMR 001C NEW'!$A$3:$O$999,MATCH(('001-C DMR'!$DK$6&amp;'001-C DMR'!DS$10&amp;'001-C DMR'!$B38),('DMR 001C NEW'!$E$3:$E$1112&amp;'DMR 001C NEW'!$B$3:$B$1112&amp;'DMR 001C NEW'!$A$3:$A$1112),0),MATCH('001-C DMR'!$DR$11,'DMR 001C NEW'!$A$2:$O$2,0)),"")</f>
        <v/>
      </c>
      <c r="DT38" s="280" t="str">
        <f t="array" ref="DT38">_xlfn.IFNA(INDEX('DMR 001C NEW'!$A$3:$O$999,MATCH(('001-C DMR'!$DK$6&amp;'001-C DMR'!DT$10&amp;'001-C DMR'!$B38),('DMR 001C NEW'!$E$3:$E$1112&amp;'DMR 001C NEW'!$B$3:$B$1112&amp;'DMR 001C NEW'!$A$3:$A$1112),0),MATCH('001-C DMR'!$DR$11,'DMR 001C NEW'!$A$2:$O$2,0)),"")</f>
        <v/>
      </c>
      <c r="DU38" s="280" t="str">
        <f t="array" ref="DU38">_xlfn.IFNA(INDEX('DMR 001C NEW'!$A$3:$O$999,MATCH(('001-C DMR'!$DK$6&amp;'001-C DMR'!DU$10&amp;'001-C DMR'!$B38),('DMR 001C NEW'!$E$3:$E$1112&amp;'DMR 001C NEW'!$B$3:$B$1112&amp;'DMR 001C NEW'!$A$3:$A$1112),0),MATCH('001-C DMR'!$DR$11,'DMR 001C NEW'!$A$2:$O$2,0)),"")</f>
        <v/>
      </c>
      <c r="DV38" s="280" t="str">
        <f t="array" ref="DV38">_xlfn.IFNA(INDEX('DMR 001C NEW'!$A$3:$O$999,MATCH(('001-C DMR'!$DK$6&amp;'001-C DMR'!DV$10&amp;'001-C DMR'!$B38),('DMR 001C NEW'!$E$3:$E$1112&amp;'DMR 001C NEW'!$B$3:$B$1112&amp;'DMR 001C NEW'!$A$3:$A$1112),0),MATCH('001-C DMR'!$DR$11,'DMR 001C NEW'!$A$2:$O$2,0)),"")</f>
        <v/>
      </c>
      <c r="DW38" s="280" t="str">
        <f t="array" ref="DW38">_xlfn.IFNA(INDEX('DMR 001C NEW'!$A$3:$O$999,MATCH(('001-C DMR'!$DK$6&amp;'001-C DMR'!DW$10&amp;'001-C DMR'!$B38),('DMR 001C NEW'!$E$3:$E$1112&amp;'DMR 001C NEW'!$B$3:$B$1112&amp;'DMR 001C NEW'!$A$3:$A$1112),0),MATCH('001-C DMR'!$DR$11,'DMR 001C NEW'!$A$2:$O$2,0)),"")</f>
        <v/>
      </c>
      <c r="DX38" s="280" t="str">
        <f t="array" ref="DX38">_xlfn.IFNA(INDEX('DMR 001C NEW'!$A$3:$O$999,MATCH(('001-C DMR'!$DK$6&amp;'001-C DMR'!DX$10&amp;'001-C DMR'!$B38),('DMR 001C NEW'!$E$3:$E$1112&amp;'DMR 001C NEW'!$B$3:$B$1112&amp;'DMR 001C NEW'!$A$3:$A$1112),0),MATCH('001-C DMR'!$DR$11,'DMR 001C NEW'!$A$2:$O$2,0)),"")</f>
        <v/>
      </c>
      <c r="DY38" s="61" t="str">
        <f t="shared" si="28"/>
        <v/>
      </c>
      <c r="DZ38" s="249" t="str">
        <f t="array" ref="DZ38">_xlfn.IFNA((INDEX('DMR 001C NEW'!$A$3:$O$9999,MATCH(('001-C DMR'!$DY$6&amp;'001-C DMR'!$DY$10&amp;'001-C DMR'!$B38),('DMR 001C NEW'!$E$3:$E$9018&amp;'DMR 001C NEW'!$B$3:$B$9018&amp;'DMR 001C NEW'!$A$3:$A$9018),0),MATCH('001-C DMR'!$DZ$11,'DMR 001C NEW'!$A$2:$O$2,0))),"")</f>
        <v/>
      </c>
      <c r="EA38" s="249" t="str">
        <f t="array" ref="EA38">_xlfn.IFNA((INDEX('DMR 001C NEW'!$A$3:$O$9999,MATCH(('001-C DMR'!$DY$6&amp;'001-C DMR'!$DY$10&amp;'001-C DMR'!$B38),('DMR 001C NEW'!$E$3:$E$9018&amp;'DMR 001C NEW'!$B$3:$B$9018&amp;'DMR 001C NEW'!$A$3:$A$9018),0),MATCH('001-C DMR'!$EA$11,'DMR 001C NEW'!$A$2:$O$2,0))),"")</f>
        <v/>
      </c>
      <c r="EB38" s="249" t="str">
        <f t="array" ref="EB38">IF(EA38="SCRATCHED","",IF(EA38&lt;DZ38,0,EA38))</f>
        <v/>
      </c>
      <c r="EC38" s="249" t="str">
        <f t="shared" si="29"/>
        <v/>
      </c>
      <c r="ED38" s="249" t="str">
        <f t="array" ref="ED38">_xlfn.IFNA((INDEX('DMR 001C NEW'!$A$3:$O$9999,MATCH(('001-C DMR'!$DY$6&amp;'001-C DMR'!$EC$10&amp;'001-C DMR'!$B38),('DMR 001C NEW'!$E$3:$E$9018&amp;'DMR 001C NEW'!$B$3:$B$9018&amp;'DMR 001C NEW'!$A$3:$A$9018),0),MATCH('001-C DMR'!$DZ$11,'DMR 001C NEW'!$A$2:$O$2,0))),"")</f>
        <v/>
      </c>
      <c r="EE38" s="249" t="str">
        <f t="array" ref="EE38">_xlfn.IFNA((INDEX('DMR 001C NEW'!$A$3:$O$9999,MATCH(('001-C DMR'!$DY$6&amp;'001-C DMR'!$EC$10&amp;'001-C DMR'!$B38),('DMR 001C NEW'!$E$3:$E$9018&amp;'DMR 001C NEW'!$B$3:$B$9018&amp;'DMR 001C NEW'!$A$3:$A$9018),0),MATCH('001-C DMR'!$EE$11,'DMR 001C NEW'!$A$2:$O$2,0))),"")</f>
        <v/>
      </c>
      <c r="EF38" s="249" t="str">
        <f t="array" ref="EF38">IF(EE38="SCRATCHED","",IF(EE38&lt;ED38,0,EE38))</f>
        <v/>
      </c>
      <c r="EG38" s="249"/>
      <c r="EH38" s="195"/>
      <c r="EI38" s="194">
        <f t="array" ref="EI38">_xlfn.IFNA(INDEX('DMR Flows-Effluent'!$A$3:$F$186,MATCH(($EI$10&amp;$B38),('DMR Flows-Effluent'!$B$3:$B$186&amp;'DMR Flows-Effluent'!$A$3:$A$186),0),MATCH($EI$8,'DMR Flows-Effluent'!$A$2:$F$2,0)),"")</f>
        <v>37.699800000000003</v>
      </c>
      <c r="EJ38" s="56">
        <f t="array" ref="EJ38">_xlfn.IFNA(INDEX('DMR Flows-Effluent'!$A$3:$F$186,MATCH(($EJ$10&amp;$B38),('DMR Flows-Effluent'!$B$3:$B$186&amp;'DMR Flows-Effluent'!$A$3:$A$186),0),MATCH($EI$8,'DMR Flows-Effluent'!$A$2:$F$2,0)),"")</f>
        <v>83.436000000000007</v>
      </c>
      <c r="EK38" s="168">
        <f t="shared" si="19"/>
        <v>121.13580000000002</v>
      </c>
      <c r="EL38" s="63"/>
      <c r="EM38" s="63"/>
      <c r="EN38" s="63"/>
      <c r="EO38" s="63"/>
      <c r="EP38" s="62"/>
      <c r="EQ38" s="157">
        <f>'E.Coli Calculations'!R32</f>
        <v>53.324460245018301</v>
      </c>
      <c r="ER38" s="56"/>
      <c r="ES38" s="64" t="str">
        <f t="shared" si="36"/>
        <v/>
      </c>
      <c r="ET38" s="61" t="str">
        <f t="shared" si="20"/>
        <v/>
      </c>
      <c r="EU38" s="58" t="str">
        <f t="array" ref="EU38">_xlfn.IFNA((INDEX('DMR 001C NEW'!$A$3:$O$9999,MATCH(('001-C DMR'!$ET$6&amp;'001-C DMR'!$ET$10&amp;'001-C DMR'!$B38),('DMR 001C NEW'!$E$3:$E$9018&amp;'DMR 001C NEW'!$B$3:$B$9018&amp;'DMR 001C NEW'!$A$3:$A$9018),0),MATCH('001-C DMR'!$EU$11,'DMR 001C NEW'!$A$2:$O$2,0))),"")</f>
        <v/>
      </c>
      <c r="EV38" s="58" t="str">
        <f t="array" ref="EV38">_xlfn.IFNA(INDEX('DMR 001C NEW'!$A$3:$O$9999,MATCH(('001-C DMR'!$ET$6&amp;'001-C DMR'!$ET$10&amp;'001-C DMR'!$B38),('DMR 001C NEW'!$E$3:$E$9018&amp;'DMR 001C NEW'!$B$3:$B$9018&amp;'DMR 001C NEW'!$A$3:$A$9018),0),MATCH('001-C DMR'!$EV$11,'DMR 001C NEW'!$A$2:$O$2,0)),"")</f>
        <v/>
      </c>
      <c r="EW38" s="56" t="str">
        <f t="shared" si="21"/>
        <v/>
      </c>
      <c r="EX38" s="64"/>
      <c r="EY38" s="279" t="str">
        <f t="array" ref="EY38">_xlfn.IFNA(INDEX('DMR 001C NEW'!$A$3:$O$999,MATCH(('001-C DMR'!$ET$6&amp;'001-C DMR'!EY$10&amp;'001-C DMR'!$B38),('DMR 001C NEW'!$E$3:$E$1112&amp;'DMR 001C NEW'!$B$3:$B$1112&amp;'DMR 001C NEW'!$A$3:$A$1112),0),MATCH('001-C DMR'!$EY$11,'DMR 001C NEW'!$A$2:$O$2,0)),"")</f>
        <v/>
      </c>
      <c r="EZ38" s="280" t="str">
        <f t="array" ref="EZ38">_xlfn.IFNA(INDEX('DMR 001C NEW'!$A$3:$O$999,MATCH(('001-C DMR'!$ET$6&amp;'001-C DMR'!EZ$10&amp;'001-C DMR'!$B38),('DMR 001C NEW'!$E$3:$E$1112&amp;'DMR 001C NEW'!$B$3:$B$1112&amp;'DMR 001C NEW'!$A$3:$A$1112),0),MATCH('001-C DMR'!$EY$11,'DMR 001C NEW'!$A$2:$O$2,0)),"")</f>
        <v/>
      </c>
      <c r="FA38" s="280" t="str">
        <f t="array" ref="FA38">_xlfn.IFNA(INDEX('DMR 001C NEW'!$A$3:$O$999,MATCH(('001-C DMR'!$ET$6&amp;'001-C DMR'!FA$10&amp;'001-C DMR'!$B38),('DMR 001C NEW'!$E$3:$E$1112&amp;'DMR 001C NEW'!$B$3:$B$1112&amp;'DMR 001C NEW'!$A$3:$A$1112),0),MATCH('001-C DMR'!$EY$11,'DMR 001C NEW'!$A$2:$O$2,0)),"")</f>
        <v/>
      </c>
      <c r="FB38" s="280" t="str">
        <f t="array" ref="FB38">_xlfn.IFNA(INDEX('DMR 001C NEW'!$A$3:$O$999,MATCH(('001-C DMR'!$ET$6&amp;'001-C DMR'!FB$10&amp;'001-C DMR'!$B38),('DMR 001C NEW'!$E$3:$E$1112&amp;'DMR 001C NEW'!$B$3:$B$1112&amp;'DMR 001C NEW'!$A$3:$A$1112),0),MATCH('001-C DMR'!$EY$11,'DMR 001C NEW'!$A$2:$O$2,0)),"")</f>
        <v/>
      </c>
      <c r="FC38" s="280" t="str">
        <f t="array" ref="FC38">_xlfn.IFNA(INDEX('DMR 001C NEW'!$A$3:$O$999,MATCH(('001-C DMR'!$ET$6&amp;'001-C DMR'!FC$10&amp;'001-C DMR'!$B38),('DMR 001C NEW'!$E$3:$E$1112&amp;'DMR 001C NEW'!$B$3:$B$1112&amp;'DMR 001C NEW'!$A$3:$A$1112),0),MATCH('001-C DMR'!$EY$11,'DMR 001C NEW'!$A$2:$O$2,0)),"")</f>
        <v/>
      </c>
      <c r="FD38" s="280" t="str">
        <f t="array" ref="FD38">_xlfn.IFNA(INDEX('DMR 001C NEW'!$A$3:$O$999,MATCH(('001-C DMR'!$ET$6&amp;'001-C DMR'!FD$10&amp;'001-C DMR'!$B38),('DMR 001C NEW'!$E$3:$E$1112&amp;'DMR 001C NEW'!$B$3:$B$1112&amp;'DMR 001C NEW'!$A$3:$A$1112),0),MATCH('001-C DMR'!$EY$11,'DMR 001C NEW'!$A$2:$O$2,0)),"")</f>
        <v/>
      </c>
      <c r="FE38" s="281" t="str">
        <f t="array" ref="FE38">_xlfn.IFNA(INDEX('DMR 001C NEW'!$A$3:$O$999,MATCH(('001-C DMR'!$ET$6&amp;'001-C DMR'!FE$10&amp;'001-C DMR'!$B38),('DMR 001C NEW'!$E$3:$E$1112&amp;'DMR 001C NEW'!$B$3:$B$1112&amp;'DMR 001C NEW'!$A$3:$A$1112),0),MATCH('001-C DMR'!$EY$11,'DMR 001C NEW'!$A$2:$O$2,0)),"")</f>
        <v/>
      </c>
      <c r="FF38" s="57" t="str">
        <f t="shared" si="22"/>
        <v/>
      </c>
      <c r="FG38" s="56">
        <f t="array" ref="FG38">_xlfn.IFNA(INDEX('DMR 001C NEW'!$A$3:$O$9999,MATCH(('001-C DMR'!$FF$6&amp;'001-C DMR'!$FF$10&amp;'001-C DMR'!$B38),('DMR 001C NEW'!$E$3:$E$7246&amp;'DMR 001C NEW'!$B$3:$B$7246&amp;'DMR 001C NEW'!$A$3:$A$7246),0),MATCH('001-C DMR'!$FG$11,'DMR 001C NEW'!$A$2:$O$2,0)),"")</f>
        <v>0</v>
      </c>
      <c r="FH38" s="56">
        <f t="array" ref="FH38">_xlfn.IFNA(INDEX('DMR 001C NEW'!$A$3:$O$9999,MATCH(('001-C DMR'!$FF$6&amp;'001-C DMR'!$FF$10&amp;'001-C DMR'!$B38),('DMR 001C NEW'!$E$3:$E$7246&amp;'DMR 001C NEW'!$B$3:$B$7246&amp;'DMR 001C NEW'!$A$3:$A$7246),0),MATCH('001-C DMR'!$FH$11,'DMR 001C NEW'!$A$2:$O$2,0)),"")</f>
        <v>4</v>
      </c>
      <c r="FI38" s="57" t="str">
        <f t="shared" si="23"/>
        <v/>
      </c>
      <c r="FJ38" s="56">
        <f t="array" ref="FJ38">_xlfn.IFNA(INDEX('DMR 001C NEW'!$A$3:$O$9999,MATCH(('001-C DMR'!$FF$6&amp;'001-C DMR'!$FI$10&amp;'001-C DMR'!$B38),('DMR 001C NEW'!$E$3:$E$7246&amp;'DMR 001C NEW'!$B$3:$B$7246&amp;'DMR 001C NEW'!$A$3:$A$7246),0),MATCH('001-C DMR'!$FG$11,'DMR 001C NEW'!$A$2:$O$2,0)),"")</f>
        <v>0</v>
      </c>
      <c r="FK38" s="56">
        <f t="array" ref="FK38">_xlfn.IFNA(INDEX('DMR 001C NEW'!$A$3:$O$9999,MATCH(('001-C DMR'!$FF$6&amp;'001-C DMR'!$FI$10&amp;'001-C DMR'!$B38),('DMR 001C NEW'!$E$3:$E$7246&amp;'DMR 001C NEW'!$B$3:$B$7246&amp;'DMR 001C NEW'!$A$3:$A$7246),0),MATCH('001-C DMR'!$FH$11,'DMR 001C NEW'!$A$2:$O$2,0)),"")</f>
        <v>4</v>
      </c>
      <c r="FL38" s="56">
        <f t="array" ref="FL38">IFERROR((($FH38*$EI38)+($FK38*$EJ38))/($EK38),"")</f>
        <v>4</v>
      </c>
      <c r="FM38" s="56" t="str">
        <f t="shared" si="43"/>
        <v/>
      </c>
      <c r="FN38" s="64" t="str">
        <f t="shared" si="37"/>
        <v/>
      </c>
      <c r="FO38" s="66"/>
      <c r="FP38" s="280" t="str">
        <f t="array" ref="FP38">_xlfn.IFNA(INDEX('DMR 001C NEW'!$A$3:$O$999,MATCH(('001-C DMR'!$FF$6&amp;'001-C DMR'!FP$10&amp;'001-C DMR'!$B38),('DMR 001C NEW'!$E$3:$E$1112&amp;'DMR 001C NEW'!$B$3:$B$1112&amp;'DMR 001C NEW'!$A$3:$A$1112),0),MATCH('001-C DMR'!$FH$11,'DMR 001C NEW'!$A$2:$O$2,0)),"")</f>
        <v/>
      </c>
      <c r="FQ38" s="280" t="str">
        <f t="array" ref="FQ38">_xlfn.IFNA(INDEX('DMR 001C NEW'!$A$3:$O$999,MATCH(('001-C DMR'!$FF$6&amp;'001-C DMR'!FQ$10&amp;'001-C DMR'!$B38),('DMR 001C NEW'!$E$3:$E$1112&amp;'DMR 001C NEW'!$B$3:$B$1112&amp;'DMR 001C NEW'!$A$3:$A$1112),0),MATCH('001-C DMR'!$FH$11,'DMR 001C NEW'!$A$2:$O$2,0)),"")</f>
        <v/>
      </c>
      <c r="FR38" s="280" t="str">
        <f t="array" ref="FR38">_xlfn.IFNA(INDEX('DMR 001C NEW'!$A$3:$O$999,MATCH(('001-C DMR'!$FF$6&amp;'001-C DMR'!FR$10&amp;'001-C DMR'!$B38),('DMR 001C NEW'!$E$3:$E$1112&amp;'DMR 001C NEW'!$B$3:$B$1112&amp;'DMR 001C NEW'!$A$3:$A$1112),0),MATCH('001-C DMR'!$FH$11,'DMR 001C NEW'!$A$2:$O$2,0)),"")</f>
        <v/>
      </c>
      <c r="FS38" s="280" t="str">
        <f t="array" ref="FS38">_xlfn.IFNA(INDEX('DMR 001C NEW'!$A$3:$O$999,MATCH(('001-C DMR'!$FF$6&amp;'001-C DMR'!FS$10&amp;'001-C DMR'!$B38),('DMR 001C NEW'!$E$3:$E$1112&amp;'DMR 001C NEW'!$B$3:$B$1112&amp;'DMR 001C NEW'!$A$3:$A$1112),0),MATCH('001-C DMR'!$FH$11,'DMR 001C NEW'!$A$2:$O$2,0)),"")</f>
        <v/>
      </c>
      <c r="FT38" s="280" t="str">
        <f t="array" ref="FT38">_xlfn.IFNA(INDEX('DMR 001C NEW'!$A$3:$O$999,MATCH(('001-C DMR'!$FF$6&amp;'001-C DMR'!FT$10&amp;'001-C DMR'!$B38),('DMR 001C NEW'!$E$3:$E$1112&amp;'DMR 001C NEW'!$B$3:$B$1112&amp;'DMR 001C NEW'!$A$3:$A$1112),0),MATCH('001-C DMR'!$FH$11,'DMR 001C NEW'!$A$2:$O$2,0)),"")</f>
        <v/>
      </c>
      <c r="FU38" s="280" t="str">
        <f t="array" ref="FU38">_xlfn.IFNA(INDEX('DMR 001C NEW'!$A$3:$O$999,MATCH(('001-C DMR'!$FF$6&amp;'001-C DMR'!FU$10&amp;'001-C DMR'!$B38),('DMR 001C NEW'!$E$3:$E$1112&amp;'DMR 001C NEW'!$B$3:$B$1112&amp;'DMR 001C NEW'!$A$3:$A$1112),0),MATCH('001-C DMR'!$FH$11,'DMR 001C NEW'!$A$2:$O$2,0)),"")</f>
        <v/>
      </c>
      <c r="FV38" s="66"/>
      <c r="FW38" s="61" t="str">
        <f t="shared" si="24"/>
        <v/>
      </c>
      <c r="FX38" s="58" t="str">
        <f t="array" ref="FX38">_xlfn.IFNA(INDEX('DMR 001C NEW'!$A$3:$O$9999,MATCH(('001-C DMR'!$FW$6&amp;'001-C DMR'!$FW$10&amp;'001-C DMR'!$B38),('DMR 001C NEW'!$E$3:$E$7246&amp;'DMR 001C NEW'!$B$3:$B$7246&amp;'DMR 001C NEW'!$A$3:$A$7246),0),MATCH('001-C DMR'!$FX$11,'DMR 001C NEW'!$A$2:$O$2,0)),"")</f>
        <v/>
      </c>
      <c r="FY38" s="58" t="str">
        <f t="array" ref="FY38">_xlfn.IFNA(INDEX('DMR 001C NEW'!$A$3:$O$9999,MATCH(('001-C DMR'!$FW$6&amp;'001-C DMR'!$FW$10&amp;'001-C DMR'!$B38),('DMR 001C NEW'!$E$3:$E$7246&amp;'DMR 001C NEW'!$B$3:$B$7246&amp;'DMR 001C NEW'!$A$3:$A$7246),0),MATCH('001-C DMR'!$FY$11,'DMR 001C NEW'!$A$2:$O$2,0)),"")</f>
        <v/>
      </c>
      <c r="FZ38" s="57" t="str">
        <f t="shared" si="25"/>
        <v/>
      </c>
      <c r="GA38" s="58" t="str">
        <f t="array" ref="GA38">_xlfn.IFNA(INDEX('DMR 001C NEW'!$A$3:$O$9999,MATCH(('001-C DMR'!$FW$6&amp;'001-C DMR'!$FZ$10&amp;'001-C DMR'!$B38),('DMR 001C NEW'!$E$3:$E$7246&amp;'DMR 001C NEW'!$B$3:$B$7246&amp;'DMR 001C NEW'!$A$3:$A$7246),0),MATCH('001-C DMR'!$FX$11,'DMR 001C NEW'!$A$2:$O$2,0)),"")</f>
        <v/>
      </c>
      <c r="GB38" s="58" t="str">
        <f t="array" ref="GB38">_xlfn.IFNA(INDEX('DMR 001C NEW'!$A$3:$O$9999,MATCH(('001-C DMR'!$FW$6&amp;'001-C DMR'!$FZ$10&amp;'001-C DMR'!$B38),('DMR 001C NEW'!$E$3:$E$7246&amp;'DMR 001C NEW'!$B$3:$B$7246&amp;'DMR 001C NEW'!$A$3:$A$7246),0),MATCH('001-C DMR'!$GB$11,'DMR 001C NEW'!$A$2:$O$2,0)),"")</f>
        <v/>
      </c>
      <c r="GC38" s="56" t="str">
        <f t="shared" si="4"/>
        <v/>
      </c>
      <c r="GD38" s="64" t="str">
        <f t="shared" si="38"/>
        <v/>
      </c>
      <c r="GE38" s="279" t="str">
        <f t="array" ref="GE38">_xlfn.IFNA(INDEX('DMR 001C NEW'!$A$3:$O$999,MATCH(('001-C DMR'!$FW$6&amp;'001-C DMR'!GE$10&amp;'001-C DMR'!$B38),('DMR 001C NEW'!$E$3:$E$1112&amp;'DMR 001C NEW'!$B$3:$B$1112&amp;'DMR 001C NEW'!$A$3:$A$1112),0),MATCH('001-C DMR'!$FY$11,'DMR 001C NEW'!$A$2:$O$2,0)),"")</f>
        <v/>
      </c>
      <c r="GF38" s="280" t="str">
        <f t="array" ref="GF38">_xlfn.IFNA(INDEX('DMR 001C NEW'!$A$3:$O$999,MATCH(('001-C DMR'!$FW$6&amp;'001-C DMR'!GF$10&amp;'001-C DMR'!$B38),('DMR 001C NEW'!$E$3:$E$1112&amp;'DMR 001C NEW'!$B$3:$B$1112&amp;'DMR 001C NEW'!$A$3:$A$1112),0),MATCH('001-C DMR'!$FY$11,'DMR 001C NEW'!$A$2:$O$2,0)),"")</f>
        <v/>
      </c>
      <c r="GG38" s="280" t="str">
        <f t="array" ref="GG38">_xlfn.IFNA(INDEX('DMR 001C NEW'!$A$3:$O$999,MATCH(('001-C DMR'!$FW$6&amp;'001-C DMR'!GG$10&amp;'001-C DMR'!$B38),('DMR 001C NEW'!$E$3:$E$1112&amp;'DMR 001C NEW'!$B$3:$B$1112&amp;'DMR 001C NEW'!$A$3:$A$1112),0),MATCH('001-C DMR'!$FY$11,'DMR 001C NEW'!$A$2:$O$2,0)),"")</f>
        <v/>
      </c>
      <c r="GH38" s="280" t="str">
        <f t="array" ref="GH38">_xlfn.IFNA(INDEX('DMR 001C NEW'!$A$3:$O$999,MATCH(('001-C DMR'!$FW$6&amp;'001-C DMR'!GH$10&amp;'001-C DMR'!$B38),('DMR 001C NEW'!$E$3:$E$1112&amp;'DMR 001C NEW'!$B$3:$B$1112&amp;'DMR 001C NEW'!$A$3:$A$1112),0),MATCH('001-C DMR'!$FY$11,'DMR 001C NEW'!$A$2:$O$2,0)),"")</f>
        <v/>
      </c>
      <c r="GI38" s="280" t="str">
        <f t="array" ref="GI38">_xlfn.IFNA(INDEX('DMR 001C NEW'!$A$3:$O$999,MATCH(('001-C DMR'!$FW$6&amp;'001-C DMR'!GI$10&amp;'001-C DMR'!$B38),('DMR 001C NEW'!$E$3:$E$1112&amp;'DMR 001C NEW'!$B$3:$B$1112&amp;'DMR 001C NEW'!$A$3:$A$1112),0),MATCH('001-C DMR'!$FY$11,'DMR 001C NEW'!$A$2:$O$2,0)),"")</f>
        <v/>
      </c>
      <c r="GJ38" s="281" t="str">
        <f t="array" ref="GJ38">_xlfn.IFNA(INDEX('DMR 001C NEW'!$A$3:$O$999,MATCH(('001-C DMR'!$FW$6&amp;'001-C DMR'!GJ$10&amp;'001-C DMR'!$B38),('DMR 001C NEW'!$E$3:$E$1112&amp;'DMR 001C NEW'!$B$3:$B$1112&amp;'DMR 001C NEW'!$A$3:$A$1112),0),MATCH('001-C DMR'!$FY$11,'DMR 001C NEW'!$A$2:$O$2,0)),"")</f>
        <v/>
      </c>
      <c r="GK38" s="58" t="str">
        <f t="array" ref="GK38">_xlfn.IFNA(INDEX('DMR 001C NEW'!$A$3:$O$9999,MATCH(('001-C DMR'!$GK$6&amp;'001-C DMR'!$GK$10&amp;'001-C DMR'!$B38),('DMR 001C NEW'!$E$3:$E$9018&amp;'DMR 001C NEW'!$B$3:$B$9018&amp;'DMR 001C NEW'!$A$3:$A$9018),0),MATCH('001-C DMR'!$GK$11,'DMR 001C NEW'!$A$2:$O$2,0)),"")</f>
        <v>n</v>
      </c>
      <c r="GL38" s="58" t="str">
        <f t="array" ref="GL38">_xlfn.IFNA(INDEX('DMR 001C NEW'!$A$3:$O$9999,MATCH(('001-C DMR'!$GK$6&amp;'001-C DMR'!$GL$10&amp;'001-C DMR'!$B38),('DMR 001C NEW'!$E$3:$E$9018&amp;'DMR 001C NEW'!$B$3:$B$9018&amp;'DMR 001C NEW'!$A$3:$A$9018),0),MATCH('001-C DMR'!$GK$11,'DMR 001C NEW'!$A$2:$O$2,0)),"")</f>
        <v>n</v>
      </c>
      <c r="GM38" s="134"/>
      <c r="GN38" s="64" t="str">
        <f t="shared" si="44"/>
        <v/>
      </c>
    </row>
    <row r="39" spans="1:196" s="51" customFormat="1" x14ac:dyDescent="0.25">
      <c r="A39" s="67" t="str">
        <f t="shared" si="5"/>
        <v>Sat</v>
      </c>
      <c r="B39" s="216">
        <f t="shared" si="26"/>
        <v>43701</v>
      </c>
      <c r="C39" s="93">
        <f t="array" ref="C39">INDEX('DMR 001C NEW'!$A$3:$N$10020,MATCH(('001-C DMR'!$C$6:$K$6&amp;'001-C DMR'!$C$10:$E$10&amp;'001-C DMR'!$B39),('DMR 001C NEW'!$E$3:$E$7246&amp;'DMR 001C NEW'!$B$3:$B$7246&amp;'DMR 001C NEW'!$A$3:$A$7246),0),MATCH('001-C DMR'!$C$11,'DMR 001C NEW'!$A$2:$O$2,0))</f>
        <v>6</v>
      </c>
      <c r="D39" s="56" t="str">
        <f t="array" ref="D39">INDEX('DMR 001C NEW'!$A$3:$N$11771,MATCH(('001-C DMR'!$C$6:$K$6&amp;'001-C DMR'!$C$10:$E$10&amp;'001-C DMR'!$B39),('DMR 001C NEW'!$E$3:$E$9018&amp;'DMR 001C NEW'!$B$3:$B$9018&amp;'DMR 001C NEW'!$A$3:$A$9018),0),MATCH('001-C DMR'!$D$11,'DMR 001C NEW'!$A$2:$O$2,0))</f>
        <v>AE70307</v>
      </c>
      <c r="E39" s="56">
        <f t="array" ref="E39">INDEX('DMR 001C NEW'!$A$3:$N$9999,MATCH(('001-C DMR'!$E$11&amp;'001-C DMR'!$C$10:$E$10&amp;'001-C DMR'!$B39&amp;$D39),('DMR 001C NEW'!$E$3:$E$7246&amp;'DMR 001C NEW'!$B$3:$B$7246&amp;'DMR 001C NEW'!$A$3:$A$7246&amp;'DMR 001C NEW'!$M$3:$M$7188),0),MATCH($C$11,'DMR 001C NEW'!$A$2:$O$2,0))</f>
        <v>37.07</v>
      </c>
      <c r="F39" s="56">
        <f t="array" ref="F39">INDEX('DMR 001C NEW'!$A$3:$N$9999,MATCH('001-C DMR'!$C$6:$K$6&amp;'001-C DMR'!$F$10&amp;'001-C DMR'!$B39,('DMR 001C NEW'!$E$3:$E$7246&amp;'DMR 001C NEW'!$B$3:$B$7246&amp;'DMR 001C NEW'!$A$3:$A$7246),0),MATCH('001-C DMR'!$C$11,'DMR 001C NEW'!$A$2:$O$2,0))</f>
        <v>6.5</v>
      </c>
      <c r="G39" s="56" t="str">
        <f t="array" ref="G39">INDEX('DMR 001C NEW'!$A$3:$N$3865,MATCH(('001-C DMR'!$C$6:$K$6&amp;'001-C DMR'!$F$10&amp;'001-C DMR'!$B39),('DMR 001C NEW'!$E$3:$E$1112&amp;'DMR 001C NEW'!$B$3:$B$1112&amp;'DMR 001C NEW'!$A$3:$A$1112),0),MATCH('001-C DMR'!$D$11,'DMR 001C NEW'!$A$2:$O$2,0))</f>
        <v>AE70308</v>
      </c>
      <c r="H39" s="56">
        <f t="array" ref="H39">INDEX('DMR 001C NEW'!$A$3:$N$9999,MATCH(('001-C DMR'!$E$11&amp;'001-C DMR'!$F$10&amp;'001-C DMR'!$B39&amp;$G39),('DMR 001C NEW'!$E$3:$E$7246&amp;'DMR 001C NEW'!$B$3:$B$7246&amp;'DMR 001C NEW'!$A$3:$A$7246&amp;'DMR 001C NEW'!$M$3:$M$7188),0),MATCH($C$11,'DMR 001C NEW'!$A$2:$O$2,0))</f>
        <v>53.9</v>
      </c>
      <c r="I39" s="56">
        <f t="shared" si="0"/>
        <v>6.296251511487303</v>
      </c>
      <c r="J39" s="58">
        <f t="shared" si="39"/>
        <v>6.2491006585844033</v>
      </c>
      <c r="K39" s="64">
        <f t="shared" si="40"/>
        <v>7</v>
      </c>
      <c r="L39" s="262" t="str">
        <f t="array" ref="L39">_xlfn.IFNA(INDEX('DMR 001C NEW'!$A$3:$N$3865,MATCH(('001-C DMR'!$C$6:$K$6&amp;'001-C DMR'!L$10&amp;'001-C DMR'!$B39),('DMR 001C NEW'!$E$3:$E$1112&amp;'DMR 001C NEW'!$B$3:$B$1112&amp;'DMR 001C NEW'!$A$3:$A$1112),0),MATCH('001-C DMR'!$C$11,'DMR 001C NEW'!$A$2:$O$2,0)),"")</f>
        <v/>
      </c>
      <c r="M39" s="262" t="str">
        <f t="array" ref="M39">_xlfn.IFNA(INDEX('DMR 001C NEW'!$A$3:$N$3865,MATCH(('001-C DMR'!$C$6:$K$6&amp;'001-C DMR'!M$10&amp;'001-C DMR'!$B39),('DMR 001C NEW'!$E$3:$E$1112&amp;'DMR 001C NEW'!$B$3:$B$1112&amp;'DMR 001C NEW'!$A$3:$A$1112),0),MATCH('001-C DMR'!$C$11,'DMR 001C NEW'!$A$2:$O$2,0)),"")</f>
        <v/>
      </c>
      <c r="N39" s="262" t="str">
        <f t="array" ref="N39">_xlfn.IFNA(INDEX('DMR 001C NEW'!$A$3:$N$3865,MATCH(('001-C DMR'!$C$6:$K$6&amp;'001-C DMR'!N$10&amp;'001-C DMR'!$B39),('DMR 001C NEW'!$E$3:$E$1112&amp;'DMR 001C NEW'!$B$3:$B$1112&amp;'DMR 001C NEW'!$A$3:$A$1112),0),MATCH('001-C DMR'!$C$11,'DMR 001C NEW'!$A$2:$O$2,0)),"")</f>
        <v/>
      </c>
      <c r="O39" s="262" t="str">
        <f t="array" ref="O39">_xlfn.IFNA(INDEX('DMR 001C NEW'!$A$3:$N$3865,MATCH(('001-C DMR'!$C$6:$K$6&amp;'001-C DMR'!O$10&amp;'001-C DMR'!$B39),('DMR 001C NEW'!$E$3:$E$1112&amp;'DMR 001C NEW'!$B$3:$B$1112&amp;'DMR 001C NEW'!$A$3:$A$1112),0),MATCH('001-C DMR'!$C$11,'DMR 001C NEW'!$A$2:$O$2,0)),"")</f>
        <v/>
      </c>
      <c r="P39" s="262" t="str">
        <f t="array" ref="P39">_xlfn.IFNA(INDEX('DMR 001C NEW'!$A$3:$N$3865,MATCH(('001-C DMR'!$C$6:$K$6&amp;'001-C DMR'!P$10&amp;'001-C DMR'!$B39),('DMR 001C NEW'!$E$3:$E$1112&amp;'DMR 001C NEW'!$B$3:$B$1112&amp;'DMR 001C NEW'!$A$3:$A$1112),0),MATCH('001-C DMR'!$C$11,'DMR 001C NEW'!$A$2:$O$2,0)),"")</f>
        <v/>
      </c>
      <c r="Q39" s="120" t="e">
        <f t="array" ref="Q39">INDEX('DMR 001C NEW'!$A$3:$N$3865,MATCH(('001-C DMR'!$C$6:$K$6&amp;'001-C DMR'!Q$10&amp;'001-C DMR'!$B39),('DMR 001C NEW'!$E$3:$E$1112&amp;'DMR 001C NEW'!$B$3:$B$1112&amp;'DMR 001C NEW'!$A$3:$A$1112),0),MATCH('001-C DMR'!$C$11,'DMR 001C NEW'!$A$2:$O$2,0))</f>
        <v>#N/A</v>
      </c>
      <c r="R39" s="61"/>
      <c r="S39" s="56">
        <f t="array" ref="S39">_xlfn.IFNA(INDEX('DMR 001C NEW'!$A$3:$N$11771,MATCH(('001-C DMR'!$R$6:$T$6&amp;'001-C DMR'!$R$10&amp;'001-C DMR'!$B39),('DMR 001C NEW'!$E$3:$E$9018&amp;'DMR 001C NEW'!$B$3:$B$9018&amp;'DMR 001C NEW'!$A$3:$A$9018),0),MATCH('001-C DMR'!$S$11,'DMR 001C NEW'!$A$2:$O$2,0)),"")</f>
        <v>7.1</v>
      </c>
      <c r="T39" s="64">
        <f t="shared" si="41"/>
        <v>7</v>
      </c>
      <c r="U39" s="262" t="str">
        <f t="array" ref="U39">_xlfn.IFNA(INDEX('DMR 001C NEW'!$A$3:$O$591,MATCH('001-C DMR'!$R$6:$T$6&amp;'001-C DMR'!U$10&amp;'001-C DMR'!$B39,('DMR 001C NEW'!$E$3:$E$704&amp;'DMR 001C NEW'!$B$3:$B$704&amp;'DMR 001C NEW'!$A$3:$A$704),0),MATCH('001-C DMR'!$U$11,'DMR 001C NEW'!$A$2:$O$2,0)),"")</f>
        <v/>
      </c>
      <c r="V39" s="262" t="str">
        <f t="array" ref="V39">_xlfn.IFNA(INDEX('DMR 001C NEW'!$A$3:$O$591,MATCH('001-C DMR'!$R$6:$T$6&amp;'001-C DMR'!V$10&amp;'001-C DMR'!$B39,('DMR 001C NEW'!$E$3:$E$704&amp;'DMR 001C NEW'!$B$3:$B$704&amp;'DMR 001C NEW'!$A$3:$A$704),0),MATCH('001-C DMR'!$U$11,'DMR 001C NEW'!$A$2:$O$2,0)),"")</f>
        <v/>
      </c>
      <c r="W39" s="262" t="str">
        <f t="array" ref="W39">_xlfn.IFNA(INDEX('DMR 001C NEW'!$A$3:$O$591,MATCH('001-C DMR'!$R$6:$T$6&amp;'001-C DMR'!W$10&amp;'001-C DMR'!$B39,('DMR 001C NEW'!$E$3:$E$704&amp;'DMR 001C NEW'!$B$3:$B$704&amp;'DMR 001C NEW'!$A$3:$A$704),0),MATCH('001-C DMR'!$U$11,'DMR 001C NEW'!$A$2:$O$2,0)),"")</f>
        <v/>
      </c>
      <c r="X39" s="262" t="str">
        <f t="array" ref="X39">_xlfn.IFNA(INDEX('DMR 001C NEW'!$A$3:$O$591,MATCH('001-C DMR'!$R$6:$T$6&amp;'001-C DMR'!X$10&amp;'001-C DMR'!$B39,('DMR 001C NEW'!$E$3:$E$704&amp;'DMR 001C NEW'!$B$3:$B$704&amp;'DMR 001C NEW'!$A$3:$A$704),0),MATCH('001-C DMR'!$U$11,'DMR 001C NEW'!$A$2:$O$2,0)),"")</f>
        <v/>
      </c>
      <c r="Y39" s="262" t="str">
        <f t="array" ref="Y39">_xlfn.IFNA(INDEX('DMR 001C NEW'!$A$3:$O$591,MATCH('001-C DMR'!$R$6:$T$6&amp;'001-C DMR'!Y$10&amp;'001-C DMR'!$B39,('DMR 001C NEW'!$E$3:$E$704&amp;'DMR 001C NEW'!$B$3:$B$704&amp;'DMR 001C NEW'!$A$3:$A$704),0),MATCH('001-C DMR'!$U$11,'DMR 001C NEW'!$A$2:$O$2,0)),"")</f>
        <v/>
      </c>
      <c r="Z39" s="262" t="str">
        <f t="array" ref="Z39">_xlfn.IFNA(INDEX('DMR 001C NEW'!$A$3:$O$591,MATCH('001-C DMR'!$R$6:$T$6&amp;'001-C DMR'!Z$10&amp;'001-C DMR'!$B39,('DMR 001C NEW'!$E$3:$E$704&amp;'DMR 001C NEW'!$B$3:$B$704&amp;'DMR 001C NEW'!$A$3:$A$704),0),MATCH('001-C DMR'!$U$11,'DMR 001C NEW'!$A$2:$O$2,0)),"")</f>
        <v/>
      </c>
      <c r="AA39" s="262" t="str">
        <f t="array" ref="AA39">_xlfn.IFNA(INDEX('DMR 001C NEW'!$A$3:$O$591,MATCH('001-C DMR'!$R$6:$T$6&amp;'001-C DMR'!AA$10&amp;'001-C DMR'!$B39,('DMR 001C NEW'!$E$3:$E$704&amp;'DMR 001C NEW'!$B$3:$B$704&amp;'DMR 001C NEW'!$A$3:$A$704),0),MATCH('001-C DMR'!$U$11,'DMR 001C NEW'!$A$2:$O$2,0)),"")</f>
        <v/>
      </c>
      <c r="AB39" s="61" t="str">
        <f t="array" ref="AB39">IF(AD39&lt;AC39,"&lt;","")</f>
        <v/>
      </c>
      <c r="AC39" s="56">
        <f t="array" ref="AC39">_xlfn.IFNA(INDEX('DMR 001C NEW'!$A$3:$O$9999,MATCH(('001-C DMR'!$AB$6:$AJ$6&amp;'001-C DMR'!$AB$10:$AD$10&amp;'001-C DMR'!$B39),('DMR 001C NEW'!$E$3:$E$7246&amp;'DMR 001C NEW'!$B$3:$B$7246&amp;'DMR 001C NEW'!$A$3:$A$7246),0),MATCH('001-C DMR'!$AC$11,'DMR 001C NEW'!$A$2:$O$2,0)),"")</f>
        <v>3</v>
      </c>
      <c r="AD39" s="56">
        <f t="array" ref="AD39">_xlfn.IFNA(INDEX('DMR 001C NEW'!$A$3:$O$9999,MATCH(('001-C DMR'!$AB$6:$AJ$6&amp;'001-C DMR'!$AB$10:$AD$10&amp;'001-C DMR'!$B39),('DMR 001C NEW'!$E$3:$E$7246&amp;'DMR 001C NEW'!$B$3:$B$7246&amp;'DMR 001C NEW'!$A$3:$A$7246),0),MATCH('001-C DMR'!$AD$11,'DMR 001C NEW'!$A$2:$O$2,0)),"")</f>
        <v>13</v>
      </c>
      <c r="AE39" s="57" t="str">
        <f t="array" ref="AE39">IF(AG39&lt;AF39,"&lt;","")</f>
        <v/>
      </c>
      <c r="AF39" s="56">
        <f t="array" ref="AF39">_xlfn.IFNA(INDEX('DMR 001C NEW'!$A$3:$O$9999,MATCH(('001-C DMR'!$AB$6:$AJ$6&amp;'001-C DMR'!$AE$10&amp;'001-C DMR'!$B39),('DMR 001C NEW'!$E$3:$E$9018&amp;'DMR 001C NEW'!$B$3:$B$9018&amp;'DMR 001C NEW'!$A$3:$A$9018),0),MATCH('001-C DMR'!$AF$11,'DMR 001C NEW'!$A$2:$O$2,0)),"")</f>
        <v>3</v>
      </c>
      <c r="AG39" s="56">
        <f t="array" ref="AG39">_xlfn.IFNA(INDEX('DMR 001C NEW'!$A$3:$O$9999,MATCH(('001-C DMR'!$AB$6:$AJ$6&amp;'001-C DMR'!$AE$10&amp;'001-C DMR'!$B39),('DMR 001C NEW'!$E$3:$E$9018&amp;'DMR 001C NEW'!$B$3:$B$9018&amp;'DMR 001C NEW'!$A$3:$A$9018),0),MATCH('001-C DMR'!$AG$11,'DMR 001C NEW'!$A$2:$O$2,0)),"")</f>
        <v>15</v>
      </c>
      <c r="AH39" s="56">
        <f t="array" ref="AH39">IFERROR((($AD39*$EI39)+($AG39*$EJ39))/($EK39),"")</f>
        <v>14.338460792627075</v>
      </c>
      <c r="AI39" s="56">
        <f t="shared" si="42"/>
        <v>14.784938907394094</v>
      </c>
      <c r="AJ39" s="64">
        <f t="shared" si="30"/>
        <v>7</v>
      </c>
      <c r="AK39" s="262" t="str">
        <f t="array" ref="AK39">_xlfn.IFNA(INDEX('DMR 001C NEW'!$A$3:$O$999,MATCH(('001-C DMR'!$AB$6:$AJ$6&amp;'001-C DMR'!AK$10&amp;'001-C DMR'!$B39),('DMR 001C NEW'!$E$3:$E$1112&amp;'DMR 001C NEW'!$B$3:$B$1112&amp;'DMR 001C NEW'!$A$3:$A$1112),0),MATCH('001-C DMR'!$AD$11,'DMR 001C NEW'!$A$2:$O$2,0)),"")</f>
        <v/>
      </c>
      <c r="AL39" s="262" t="str">
        <f t="array" ref="AL39">_xlfn.IFNA(INDEX('DMR 001C NEW'!$A$3:$O$999,MATCH(('001-C DMR'!$AB$6:$AJ$6&amp;'001-C DMR'!AL$10&amp;'001-C DMR'!$B39),('DMR 001C NEW'!$E$3:$E$1112&amp;'DMR 001C NEW'!$B$3:$B$1112&amp;'DMR 001C NEW'!$A$3:$A$1112),0),MATCH('001-C DMR'!$AD$11,'DMR 001C NEW'!$A$2:$O$2,0)),"")</f>
        <v/>
      </c>
      <c r="AM39" s="262" t="str">
        <f t="array" ref="AM39">_xlfn.IFNA(INDEX('DMR 001C NEW'!$A$3:$O$999,MATCH(('001-C DMR'!$AB$6:$AJ$6&amp;'001-C DMR'!AM$10&amp;'001-C DMR'!$B39),('DMR 001C NEW'!$E$3:$E$1112&amp;'DMR 001C NEW'!$B$3:$B$1112&amp;'DMR 001C NEW'!$A$3:$A$1112),0),MATCH('001-C DMR'!$AD$11,'DMR 001C NEW'!$A$2:$O$2,0)),"")</f>
        <v/>
      </c>
      <c r="AN39" s="262" t="str">
        <f t="array" ref="AN39">_xlfn.IFNA(INDEX('DMR 001C NEW'!$A$3:$O$999,MATCH(('001-C DMR'!$AB$6:$AJ$6&amp;'001-C DMR'!AN$10&amp;'001-C DMR'!$B39),('DMR 001C NEW'!$E$3:$E$1112&amp;'DMR 001C NEW'!$B$3:$B$1112&amp;'DMR 001C NEW'!$A$3:$A$1112),0),MATCH('001-C DMR'!$AD$11,'DMR 001C NEW'!$A$2:$O$2,0)),"")</f>
        <v/>
      </c>
      <c r="AO39" s="262" t="str">
        <f t="array" ref="AO39">_xlfn.IFNA(INDEX('DMR 001C NEW'!$A$3:$O$999,MATCH(('001-C DMR'!$AB$6:$AJ$6&amp;'001-C DMR'!AO$10&amp;'001-C DMR'!$B39),('DMR 001C NEW'!$E$3:$E$1112&amp;'DMR 001C NEW'!$B$3:$B$1112&amp;'DMR 001C NEW'!$A$3:$A$1112),0),MATCH('001-C DMR'!$AD$11,'DMR 001C NEW'!$A$2:$O$2,0)),"")</f>
        <v/>
      </c>
      <c r="AP39" s="262" t="str">
        <f t="array" ref="AP39">_xlfn.IFNA(INDEX('DMR 001C NEW'!$A$3:$O$999,MATCH(('001-C DMR'!$AB$6:$AJ$6&amp;'001-C DMR'!AP$10&amp;'001-C DMR'!$B39),('DMR 001C NEW'!$E$3:$E$1112&amp;'DMR 001C NEW'!$B$3:$B$1112&amp;'DMR 001C NEW'!$A$3:$A$1112),0),MATCH('001-C DMR'!$AD$11,'DMR 001C NEW'!$A$2:$O$2,0)),"")</f>
        <v/>
      </c>
      <c r="AQ39" s="61" t="str">
        <f t="array" ref="AQ39">IF(AS39&lt;AR39,"&lt;","")</f>
        <v/>
      </c>
      <c r="AR39" s="58" t="str">
        <f t="array" ref="AR39">_xlfn.IFNA((INDEX('DMR 001C NEW'!$A$3:$O$9999,MATCH(('001-C DMR'!$AQ$6:$AZ$6&amp;'001-C DMR'!$AQ$10:$AS$10&amp;'001-C DMR'!$B39),('DMR 001C NEW'!$E$3:$E$7246&amp;'DMR 001C NEW'!$B$3:$B$7246&amp;'DMR 001C NEW'!$A$3:$A$7246),0),MATCH('001-C DMR'!$AR$11,'DMR 001C NEW'!$A$2:$O$2,0))),"")</f>
        <v/>
      </c>
      <c r="AS39" s="58" t="str">
        <f t="array" ref="AS39">_xlfn.IFNA(INDEX('DMR 001C NEW'!$A$3:$O$9999,MATCH(('001-C DMR'!$AQ$6:$AZ$6&amp;'001-C DMR'!$AQ$10:$AS$10&amp;'001-C DMR'!$B39),('DMR 001C NEW'!$E$3:$E$7246&amp;'DMR 001C NEW'!$B$3:$B$7246&amp;'DMR 001C NEW'!$A$3:$A$7246),0),MATCH('001-C DMR'!$AS$11,'DMR 001C NEW'!$A$2:$O$2,0)),"")</f>
        <v/>
      </c>
      <c r="AT39" s="58" t="str">
        <f t="shared" si="27"/>
        <v/>
      </c>
      <c r="AU39" s="57" t="str">
        <f t="array" ref="AU39">IF(AW39&lt;AV39,"&lt;","")</f>
        <v/>
      </c>
      <c r="AV39" s="58" t="str">
        <f t="array" ref="AV39">_xlfn.IFNA((INDEX('DMR 001C NEW'!$A$3:$O$9999,MATCH(('001-C DMR'!$AQ$6:$AZ$6&amp;'001-C DMR'!$AU$10&amp;'001-C DMR'!$B39),('DMR 001C NEW'!$E$3:$E$7246&amp;'DMR 001C NEW'!$B$3:$B$7246&amp;'DMR 001C NEW'!$A$3:$A$7246),0),MATCH('001-C DMR'!$AR$11,'DMR 001C NEW'!$A$2:$O$2,0))),"")</f>
        <v/>
      </c>
      <c r="AW39" s="58" t="str">
        <f t="array" ref="AW39">_xlfn.IFNA(INDEX('DMR 001C NEW'!$A$3:$O$9999,MATCH(('001-C DMR'!$AQ$6:$AZ$6&amp;'001-C DMR'!$AU$10&amp;'001-C DMR'!$B39),('DMR 001C NEW'!$E$3:$E$7246&amp;'DMR 001C NEW'!$B$3:$B$7246&amp;'DMR 001C NEW'!$A$3:$A$7246),0),MATCH('001-C DMR'!$AW$11,'DMR 001C NEW'!$A$2:$O$2,0)),"")</f>
        <v/>
      </c>
      <c r="AX39" s="58" t="str">
        <f t="shared" si="6"/>
        <v/>
      </c>
      <c r="AY39" s="56" t="str">
        <f t="array" ref="AY39">IFERROR((($AT39*$EI39)+($AX39*$EJ39))/($EK39),"")</f>
        <v/>
      </c>
      <c r="AZ39" s="64">
        <f t="shared" si="31"/>
        <v>3</v>
      </c>
      <c r="BA39" s="279" t="str">
        <f t="array" ref="BA39">_xlfn.IFNA(INDEX('DMR 001C NEW'!$A$3:$O$9999,MATCH(('001-C DMR'!$AQ$6:$AZ$6&amp;'001-C DMR'!BA$10&amp;'001-C DMR'!$B39),('DMR 001C NEW'!$E$3:$E$1112&amp;'DMR 001C NEW'!$B$3:$B$1112&amp;'DMR 001C NEW'!$A$3:$A$1112),0),MATCH('001-C DMR'!$BA$11,'DMR 001C NEW'!$A$2:$O$2,0)),"")</f>
        <v/>
      </c>
      <c r="BB39" s="280" t="str">
        <f t="array" ref="BB39">_xlfn.IFNA(INDEX('DMR 001C NEW'!$A$3:$O$9999,MATCH(('001-C DMR'!$AQ$6:$AZ$6&amp;'001-C DMR'!BB$10&amp;'001-C DMR'!$B39),('DMR 001C NEW'!$E$3:$E$1112&amp;'DMR 001C NEW'!$B$3:$B$1112&amp;'DMR 001C NEW'!$A$3:$A$1112),0),MATCH('001-C DMR'!$BA$11,'DMR 001C NEW'!$A$2:$O$2,0)),"")</f>
        <v/>
      </c>
      <c r="BC39" s="280" t="str">
        <f t="array" ref="BC39">_xlfn.IFNA(INDEX('DMR 001C NEW'!$A$3:$O$9999,MATCH(('001-C DMR'!$AQ$6:$AZ$6&amp;'001-C DMR'!BC$10&amp;'001-C DMR'!$B39),('DMR 001C NEW'!$E$3:$E$1112&amp;'DMR 001C NEW'!$B$3:$B$1112&amp;'DMR 001C NEW'!$A$3:$A$1112),0),MATCH('001-C DMR'!$BA$11,'DMR 001C NEW'!$A$2:$O$2,0)),"")</f>
        <v/>
      </c>
      <c r="BD39" s="280" t="str">
        <f t="array" ref="BD39">_xlfn.IFNA(INDEX('DMR 001C NEW'!$A$3:$O$9999,MATCH(('001-C DMR'!$AQ$6:$AZ$6&amp;'001-C DMR'!BD$10&amp;'001-C DMR'!$B39),('DMR 001C NEW'!$E$3:$E$1112&amp;'DMR 001C NEW'!$B$3:$B$1112&amp;'DMR 001C NEW'!$A$3:$A$1112),0),MATCH('001-C DMR'!$BA$11,'DMR 001C NEW'!$A$2:$O$2,0)),"")</f>
        <v/>
      </c>
      <c r="BE39" s="280" t="str">
        <f t="array" ref="BE39">_xlfn.IFNA(INDEX('DMR 001C NEW'!$A$3:$O$9999,MATCH(('001-C DMR'!$AQ$6:$AZ$6&amp;'001-C DMR'!BE$10&amp;'001-C DMR'!$B39),('DMR 001C NEW'!$E$3:$E$1112&amp;'DMR 001C NEW'!$B$3:$B$1112&amp;'DMR 001C NEW'!$A$3:$A$1112),0),MATCH('001-C DMR'!$BA$11,'DMR 001C NEW'!$A$2:$O$2,0)),"")</f>
        <v/>
      </c>
      <c r="BF39" s="281" t="str">
        <f t="array" ref="BF39">_xlfn.IFNA(INDEX('DMR 001C NEW'!$A$3:$O$9999,MATCH(('001-C DMR'!$AQ$6:$AZ$6&amp;'001-C DMR'!BF$10&amp;'001-C DMR'!$B39),('DMR 001C NEW'!$E$3:$E$1112&amp;'DMR 001C NEW'!$B$3:$B$1112&amp;'DMR 001C NEW'!$A$3:$A$1112),0),MATCH('001-C DMR'!$BA$11,'DMR 001C NEW'!$A$2:$O$2,0)),"")</f>
        <v/>
      </c>
      <c r="BG39" s="57"/>
      <c r="BH39" s="58" t="str">
        <f t="array" ref="BH39">_xlfn.IFNA((INDEX('DMR 001C NEW'!$A$3:$O$9999,MATCH(('001-C DMR'!$BG$6&amp;'001-C DMR'!$BG$10&amp;'001-C DMR'!$B39),('DMR 001C NEW'!$E$3:$E$7246&amp;'DMR 001C NEW'!$B$3:$B$7246&amp;'DMR 001C NEW'!$A$3:$A$7246),0),MATCH('001-C DMR'!$BH$11,'DMR 001C NEW'!$A$2:$O$2,0))),"")</f>
        <v/>
      </c>
      <c r="BI39" s="58" t="str">
        <f t="array" ref="BI39">_xlfn.IFNA(INDEX('DMR 001C NEW'!$A$3:$O$9999,MATCH(('001-C DMR'!$BG$6&amp;'001-C DMR'!$BG$10&amp;'001-C DMR'!$B39),('DMR 001C NEW'!$E$3:$E$7246&amp;'DMR 001C NEW'!$B$3:$B$7246&amp;'DMR 001C NEW'!$A$3:$A$7246),0),MATCH('001-C DMR'!$BI$11,'DMR 001C NEW'!$A$2:$O$2,0)),"")</f>
        <v/>
      </c>
      <c r="BJ39" s="58" t="str">
        <f t="shared" si="7"/>
        <v/>
      </c>
      <c r="BK39" s="57" t="str">
        <f t="shared" si="8"/>
        <v/>
      </c>
      <c r="BL39" s="58" t="str">
        <f t="array" ref="BL39">_xlfn.IFNA((INDEX('DMR 001C NEW'!$A$3:$O$9999,MATCH(('001-C DMR'!$BG$6&amp;'001-C DMR'!$BK$10&amp;'001-C DMR'!$B39),('DMR 001C NEW'!$E$3:$E$7246&amp;'DMR 001C NEW'!$B$3:$B$7246&amp;'DMR 001C NEW'!$A$3:$A$7246),0),MATCH('001-C DMR'!$BH$11,'DMR 001C NEW'!$A$2:$O$2,0))),"")</f>
        <v/>
      </c>
      <c r="BM39" s="58" t="str">
        <f t="array" ref="BM39">_xlfn.IFNA(INDEX('DMR 001C NEW'!$A$3:$O$9999,MATCH(('001-C DMR'!$BG$6&amp;'001-C DMR'!$BK$10&amp;'001-C DMR'!$B39),('DMR 001C NEW'!$E$3:$E$7246&amp;'DMR 001C NEW'!$B$3:$B$7246&amp;'DMR 001C NEW'!$A$3:$A$7246),0),MATCH('001-C DMR'!$BI$11,'DMR 001C NEW'!$A$2:$O$2,0)),"")</f>
        <v/>
      </c>
      <c r="BN39" s="58" t="str">
        <f t="shared" si="9"/>
        <v/>
      </c>
      <c r="BO39" s="56" t="str">
        <f t="array" ref="BO39">IFERROR((($BJ39*$EI39)+($BN39*$EJ39))/($EK39),"")</f>
        <v/>
      </c>
      <c r="BP39" s="64">
        <f t="shared" si="32"/>
        <v>3</v>
      </c>
      <c r="BQ39" s="280" t="str">
        <f t="array" ref="BQ39">_xlfn.IFNA(INDEX('DMR 001C NEW'!$A$3:$O$999,MATCH(('001-C DMR'!$BG$6&amp;'001-C DMR'!BQ$10&amp;'001-C DMR'!$B39),('DMR 001C NEW'!$E$3:$E$1112&amp;'DMR 001C NEW'!$B$3:$B$1112&amp;'DMR 001C NEW'!$A$3:$A$1112),0),MATCH('001-C DMR'!$BQ$11,'DMR 001C NEW'!$A$2:$O$2,0)),"")</f>
        <v/>
      </c>
      <c r="BR39" s="280" t="str">
        <f t="array" ref="BR39">_xlfn.IFNA(INDEX('DMR 001C NEW'!$A$3:$O$999,MATCH(('001-C DMR'!$BG$6&amp;'001-C DMR'!BR$10&amp;'001-C DMR'!$B39),('DMR 001C NEW'!$E$3:$E$1112&amp;'DMR 001C NEW'!$B$3:$B$1112&amp;'DMR 001C NEW'!$A$3:$A$1112),0),MATCH('001-C DMR'!$BQ$11,'DMR 001C NEW'!$A$2:$O$2,0)),"")</f>
        <v/>
      </c>
      <c r="BS39" s="280" t="str">
        <f t="array" ref="BS39">_xlfn.IFNA(INDEX('DMR 001C NEW'!$A$3:$O$999,MATCH(('001-C DMR'!$BG$6&amp;'001-C DMR'!BS$10&amp;'001-C DMR'!$B39),('DMR 001C NEW'!$E$3:$E$1112&amp;'DMR 001C NEW'!$B$3:$B$1112&amp;'DMR 001C NEW'!$A$3:$A$1112),0),MATCH('001-C DMR'!$BQ$11,'DMR 001C NEW'!$A$2:$O$2,0)),"")</f>
        <v/>
      </c>
      <c r="BT39" s="280" t="str">
        <f t="array" ref="BT39">_xlfn.IFNA(INDEX('DMR 001C NEW'!$A$3:$O$999,MATCH(('001-C DMR'!$BG$6&amp;'001-C DMR'!BT$10&amp;'001-C DMR'!$B39),('DMR 001C NEW'!$E$3:$E$1112&amp;'DMR 001C NEW'!$B$3:$B$1112&amp;'DMR 001C NEW'!$A$3:$A$1112),0),MATCH('001-C DMR'!$BQ$11,'DMR 001C NEW'!$A$2:$O$2,0)),"")</f>
        <v/>
      </c>
      <c r="BU39" s="280" t="str">
        <f t="array" ref="BU39">_xlfn.IFNA(INDEX('DMR 001C NEW'!$A$3:$O$999,MATCH(('001-C DMR'!$BG$6&amp;'001-C DMR'!BU$10&amp;'001-C DMR'!$B39),('DMR 001C NEW'!$E$3:$E$1112&amp;'DMR 001C NEW'!$B$3:$B$1112&amp;'DMR 001C NEW'!$A$3:$A$1112),0),MATCH('001-C DMR'!$BQ$11,'DMR 001C NEW'!$A$2:$O$2,0)),"")</f>
        <v/>
      </c>
      <c r="BV39" s="280" t="str">
        <f t="array" ref="BV39">_xlfn.IFNA(INDEX('DMR 001C NEW'!$A$3:$O$999,MATCH(('001-C DMR'!$BG$6&amp;'001-C DMR'!BV$10&amp;'001-C DMR'!$B39),('DMR 001C NEW'!$E$3:$E$1112&amp;'DMR 001C NEW'!$B$3:$B$1112&amp;'DMR 001C NEW'!$A$3:$A$1112),0),MATCH('001-C DMR'!$BQ$11,'DMR 001C NEW'!$A$2:$O$2,0)),"")</f>
        <v/>
      </c>
      <c r="BW39" s="65"/>
      <c r="BX39" s="65"/>
      <c r="BY39" s="57" t="str">
        <f t="shared" si="10"/>
        <v/>
      </c>
      <c r="BZ39" s="58" t="str">
        <f t="array" ref="BZ39">_xlfn.IFNA((INDEX('DMR 001C NEW'!$A$3:$O$9999,MATCH(('001-C DMR'!$BY$6&amp;'001-C DMR'!$BY$10&amp;'001-C DMR'!$B39),('DMR 001C NEW'!$E$3:$E$7246&amp;'DMR 001C NEW'!$B$3:$B$7246&amp;'DMR 001C NEW'!$A$3:$A$7246),0),MATCH('001-C DMR'!$BZ$11,'DMR 001C NEW'!$A$2:$O$2,0))),"")</f>
        <v/>
      </c>
      <c r="CA39" s="138" t="str">
        <f t="array" ref="CA39">_xlfn.IFNA(INDEX('DMR 001C NEW'!$A$3:$O$9999,MATCH(('001-C DMR'!$BY$6&amp;'001-C DMR'!$BY$10&amp;'001-C DMR'!$B39),('DMR 001C NEW'!$E$3:$E$7246&amp;'DMR 001C NEW'!$B$3:$B$7246&amp;'DMR 001C NEW'!$A$3:$A$7246),0),MATCH('001-C DMR'!$CA$11,'DMR 001C NEW'!$A$2:$O$2,0)),"")</f>
        <v/>
      </c>
      <c r="CB39" s="57" t="str">
        <f t="shared" si="11"/>
        <v/>
      </c>
      <c r="CC39" s="58" t="str">
        <f t="array" ref="CC39">_xlfn.IFNA((INDEX('DMR 001C NEW'!$A$3:$O$9999,MATCH(('001-C DMR'!$BY$6&amp;'001-C DMR'!$CB$10&amp;'001-C DMR'!$B39),('DMR 001C NEW'!$E$3:$E$7246&amp;'DMR 001C NEW'!$B$3:$B$7246&amp;'DMR 001C NEW'!$A$3:$A$7246),0),MATCH('001-C DMR'!$BZ$11,'DMR 001C NEW'!$A$2:$O$2,0))),"")</f>
        <v/>
      </c>
      <c r="CD39" s="138" t="str">
        <f t="array" ref="CD39">_xlfn.IFNA(INDEX('DMR 001C NEW'!$A$3:$O$9999,MATCH(('001-C DMR'!$BY$6&amp;'001-C DMR'!$CB$10&amp;'001-C DMR'!$B39),('DMR 001C NEW'!$E$3:$E$7246&amp;'DMR 001C NEW'!$B$3:$B$7246&amp;'DMR 001C NEW'!$A$3:$A$7246),0),MATCH('001-C DMR'!$CA$11,'DMR 001C NEW'!$A$2:$O$2,0)),"")</f>
        <v/>
      </c>
      <c r="CE39" s="138" t="str">
        <f t="array" ref="CE39">IFERROR((($CA39*$EI39)+($CD39*$EJ39))/($EK39),"")</f>
        <v/>
      </c>
      <c r="CF39" s="64">
        <f t="shared" si="33"/>
        <v>1</v>
      </c>
      <c r="CG39" s="280" t="str">
        <f t="array" ref="CG39">_xlfn.IFNA(INDEX('DMR 001C NEW'!$A$3:$O$999,MATCH(('001-C DMR'!$BY$6&amp;'001-C DMR'!CG$10&amp;'001-C DMR'!$B39),('DMR 001C NEW'!$E$3:$E$1112&amp;'DMR 001C NEW'!$B$3:$B$1112&amp;'DMR 001C NEW'!$A$3:$A$1112),0),MATCH('001-C DMR'!$CA$11,'DMR 001C NEW'!$A$2:$O$2,0)),"")</f>
        <v/>
      </c>
      <c r="CH39" s="280" t="str">
        <f t="array" ref="CH39">_xlfn.IFNA(INDEX('DMR 001C NEW'!$A$3:$O$999,MATCH(('001-C DMR'!$BY$6&amp;'001-C DMR'!CH$10&amp;'001-C DMR'!$B39),('DMR 001C NEW'!$E$3:$E$1112&amp;'DMR 001C NEW'!$B$3:$B$1112&amp;'DMR 001C NEW'!$A$3:$A$1112),0),MATCH('001-C DMR'!$CA$11,'DMR 001C NEW'!$A$2:$O$2,0)),"")</f>
        <v/>
      </c>
      <c r="CI39" s="280" t="str">
        <f t="array" ref="CI39">_xlfn.IFNA(INDEX('DMR 001C NEW'!$A$3:$O$999,MATCH(('001-C DMR'!$BY$6&amp;'001-C DMR'!CI$10&amp;'001-C DMR'!$B39),('DMR 001C NEW'!$E$3:$E$1112&amp;'DMR 001C NEW'!$B$3:$B$1112&amp;'DMR 001C NEW'!$A$3:$A$1112),0),MATCH('001-C DMR'!$CA$11,'DMR 001C NEW'!$A$2:$O$2,0)),"")</f>
        <v/>
      </c>
      <c r="CJ39" s="280" t="str">
        <f t="array" ref="CJ39">_xlfn.IFNA(INDEX('DMR 001C NEW'!$A$3:$O$999,MATCH(('001-C DMR'!$BY$6&amp;'001-C DMR'!CJ$10&amp;'001-C DMR'!$B39),('DMR 001C NEW'!$E$3:$E$1112&amp;'DMR 001C NEW'!$B$3:$B$1112&amp;'DMR 001C NEW'!$A$3:$A$1112),0),MATCH('001-C DMR'!$CA$11,'DMR 001C NEW'!$A$2:$O$2,0)),"")</f>
        <v/>
      </c>
      <c r="CK39" s="280" t="str">
        <f t="array" ref="CK39">_xlfn.IFNA(INDEX('DMR 001C NEW'!$A$3:$O$999,MATCH(('001-C DMR'!$BY$6&amp;'001-C DMR'!CK$10&amp;'001-C DMR'!$B39),('DMR 001C NEW'!$E$3:$E$1112&amp;'DMR 001C NEW'!$B$3:$B$1112&amp;'DMR 001C NEW'!$A$3:$A$1112),0),MATCH('001-C DMR'!$CA$11,'DMR 001C NEW'!$A$2:$O$2,0)),"")</f>
        <v/>
      </c>
      <c r="CL39" s="280" t="str">
        <f t="array" ref="CL39">_xlfn.IFNA(INDEX('DMR 001C NEW'!$A$3:$O$999,MATCH(('001-C DMR'!$BY$6&amp;'001-C DMR'!CL$10&amp;'001-C DMR'!$B39),('DMR 001C NEW'!$E$3:$E$1112&amp;'DMR 001C NEW'!$B$3:$B$1112&amp;'DMR 001C NEW'!$A$3:$A$1112),0),MATCH('001-C DMR'!$CA$11,'DMR 001C NEW'!$A$2:$O$2,0)),"")</f>
        <v/>
      </c>
      <c r="CM39" s="61" t="str">
        <f t="shared" si="12"/>
        <v/>
      </c>
      <c r="CN39" s="138" t="str">
        <f t="array" ref="CN39">_xlfn.IFNA((INDEX('DMR 001C NEW'!$A$3:$O$9999,MATCH(('001-C DMR'!$CM$6&amp;'001-C DMR'!$CM$10&amp;'001-C DMR'!$B39),('DMR 001C NEW'!$E$3:$E$9018&amp;'DMR 001C NEW'!$B$3:$B$9018&amp;'DMR 001C NEW'!$A$3:$A$9018),0),MATCH('001-C DMR'!$CN$11,'DMR 001C NEW'!$A$2:$O$2,0))*1000),"")</f>
        <v/>
      </c>
      <c r="CO39" s="138" t="str">
        <f t="array" ref="CO39">_xlfn.IFNA(INDEX('DMR 001C NEW'!$A$3:$O$9999,MATCH(('001-C DMR'!$CM$6&amp;'001-C DMR'!$CM$10&amp;'001-C DMR'!$B39),('DMR 001C NEW'!$E$3:$E$9018&amp;'DMR 001C NEW'!$B$3:$B$9018&amp;'DMR 001C NEW'!$A$3:$A$9018),0),MATCH('001-C DMR'!$CO$11,'DMR 001C NEW'!$A$2:$O$2,0))*1000,"")</f>
        <v/>
      </c>
      <c r="CP39" s="138" t="str">
        <f t="shared" si="13"/>
        <v/>
      </c>
      <c r="CQ39" s="64">
        <f t="shared" si="34"/>
        <v>1</v>
      </c>
      <c r="CR39" s="280" t="str">
        <f t="array" ref="CR39">_xlfn.IFNA(INDEX('DMR 001C NEW'!$A$3:$O$999,MATCH(('001-C DMR'!$CM$6&amp;'001-C DMR'!CR$10&amp;'001-C DMR'!$B39),('DMR 001C NEW'!$E$3:$E$1112&amp;'DMR 001C NEW'!$B$3:$B$1112&amp;'DMR 001C NEW'!$A$3:$A$1112),0),MATCH('001-C DMR'!$CO$11,'DMR 001C NEW'!$A$2:$O$2,0)),"")</f>
        <v/>
      </c>
      <c r="CS39" s="280" t="str">
        <f t="array" ref="CS39">_xlfn.IFNA(INDEX('DMR 001C NEW'!$A$3:$O$999,MATCH(('001-C DMR'!$CM$6&amp;'001-C DMR'!CS$10&amp;'001-C DMR'!$B39),('DMR 001C NEW'!$E$3:$E$1112&amp;'DMR 001C NEW'!$B$3:$B$1112&amp;'DMR 001C NEW'!$A$3:$A$1112),0),MATCH('001-C DMR'!$CO$11,'DMR 001C NEW'!$A$2:$O$2,0)),"")</f>
        <v/>
      </c>
      <c r="CT39" s="280" t="str">
        <f t="array" ref="CT39">_xlfn.IFNA(INDEX('DMR 001C NEW'!$A$3:$O$999,MATCH(('001-C DMR'!$CM$6&amp;'001-C DMR'!CT$10&amp;'001-C DMR'!$B39),('DMR 001C NEW'!$E$3:$E$1112&amp;'DMR 001C NEW'!$B$3:$B$1112&amp;'DMR 001C NEW'!$A$3:$A$1112),0),MATCH('001-C DMR'!$CO$11,'DMR 001C NEW'!$A$2:$O$2,0)),"")</f>
        <v/>
      </c>
      <c r="CU39" s="280" t="str">
        <f t="array" ref="CU39">_xlfn.IFNA(INDEX('DMR 001C NEW'!$A$3:$O$999,MATCH(('001-C DMR'!$CM$6&amp;'001-C DMR'!CU$10&amp;'001-C DMR'!$B39),('DMR 001C NEW'!$E$3:$E$1112&amp;'DMR 001C NEW'!$B$3:$B$1112&amp;'DMR 001C NEW'!$A$3:$A$1112),0),MATCH('001-C DMR'!$CO$11,'DMR 001C NEW'!$A$2:$O$2,0)),"")</f>
        <v/>
      </c>
      <c r="CV39" s="280" t="str">
        <f t="array" ref="CV39">_xlfn.IFNA(INDEX('DMR 001C NEW'!$A$3:$O$999,MATCH(('001-C DMR'!$CM$6&amp;'001-C DMR'!CV$10&amp;'001-C DMR'!$B39),('DMR 001C NEW'!$E$3:$E$1112&amp;'DMR 001C NEW'!$B$3:$B$1112&amp;'DMR 001C NEW'!$A$3:$A$1112),0),MATCH('001-C DMR'!$CO$11,'DMR 001C NEW'!$A$2:$O$2,0)),"")</f>
        <v/>
      </c>
      <c r="CW39" s="280" t="str">
        <f t="array" ref="CW39">_xlfn.IFNA(INDEX('DMR 001C NEW'!$A$3:$O$999,MATCH(('001-C DMR'!$CM$6&amp;'001-C DMR'!CW$10&amp;'001-C DMR'!$B39),('DMR 001C NEW'!$E$3:$E$1112&amp;'DMR 001C NEW'!$B$3:$B$1112&amp;'DMR 001C NEW'!$A$3:$A$1112),0),MATCH('001-C DMR'!$CO$11,'DMR 001C NEW'!$A$2:$O$2,0)),"")</f>
        <v/>
      </c>
      <c r="CX39" s="280" t="str">
        <f t="array" ref="CX39">_xlfn.IFNA(INDEX('DMR 001C NEW'!$A$3:$O$999,MATCH(('001-C DMR'!$CM$6&amp;'001-C DMR'!CX$10&amp;'001-C DMR'!$B39),('DMR 001C NEW'!$E$3:$E$1112&amp;'DMR 001C NEW'!$B$3:$B$1112&amp;'DMR 001C NEW'!$A$3:$A$1112),0),MATCH('001-C DMR'!$CO$11,'DMR 001C NEW'!$A$2:$O$2,0)),"")</f>
        <v/>
      </c>
      <c r="CY39" s="61" t="str">
        <f t="shared" si="14"/>
        <v/>
      </c>
      <c r="CZ39" s="138" t="str">
        <f t="array" ref="CZ39">_xlfn.IFNA((INDEX('DMR 001C NEW'!$A$3:$O$9999,MATCH(('001-C DMR'!$CY$6&amp;'001-C DMR'!$CY$10&amp;'001-C DMR'!$B39),('DMR 001C NEW'!$E$3:$E$9018&amp;'DMR 001C NEW'!$B$3:$B$9018&amp;'DMR 001C NEW'!$A$3:$A$9018),0),MATCH('001-C DMR'!$CZ$11,'DMR 001C NEW'!$A$2:$O$2,0))*1000),"")</f>
        <v/>
      </c>
      <c r="DA39" s="138" t="str">
        <f t="array" ref="DA39">_xlfn.IFNA(INDEX('DMR 001C NEW'!$A$3:$O$9999,MATCH(('001-C DMR'!$CY$6&amp;'001-C DMR'!$CY$10&amp;'001-C DMR'!$B39),('DMR 001C NEW'!$E$3:$E$9018&amp;'DMR 001C NEW'!$B$3:$B$9018&amp;'DMR 001C NEW'!$A$3:$A$9018),0),MATCH('001-C DMR'!$DA$11,'DMR 001C NEW'!$A$2:$O$2,0))*1000,"")</f>
        <v/>
      </c>
      <c r="DB39" s="138" t="str">
        <f t="shared" si="15"/>
        <v/>
      </c>
      <c r="DC39" s="64">
        <f t="shared" si="35"/>
        <v>1</v>
      </c>
      <c r="DD39" s="280" t="str">
        <f t="array" ref="DD39">_xlfn.IFNA(INDEX('DMR 001C NEW'!$A$3:$O$999,MATCH(('001-C DMR'!$CY$6&amp;'001-C DMR'!DD$10&amp;'001-C DMR'!$B39),('DMR 001C NEW'!$E$3:$E$1112&amp;'DMR 001C NEW'!$B$3:$B$1112&amp;'DMR 001C NEW'!$A$3:$A$1112),0),MATCH('001-C DMR'!$DA$11,'DMR 001C NEW'!$A$2:$O$2,0)),"")</f>
        <v/>
      </c>
      <c r="DE39" s="280" t="str">
        <f t="array" ref="DE39">_xlfn.IFNA(INDEX('DMR 001C NEW'!$A$3:$O$999,MATCH(('001-C DMR'!$CY$6&amp;'001-C DMR'!DE$10&amp;'001-C DMR'!$B39),('DMR 001C NEW'!$E$3:$E$1112&amp;'DMR 001C NEW'!$B$3:$B$1112&amp;'DMR 001C NEW'!$A$3:$A$1112),0),MATCH('001-C DMR'!$DA$11,'DMR 001C NEW'!$A$2:$O$2,0)),"")</f>
        <v/>
      </c>
      <c r="DF39" s="280" t="str">
        <f t="array" ref="DF39">_xlfn.IFNA(INDEX('DMR 001C NEW'!$A$3:$O$999,MATCH(('001-C DMR'!$CY$6&amp;'001-C DMR'!DF$10&amp;'001-C DMR'!$B39),('DMR 001C NEW'!$E$3:$E$1112&amp;'DMR 001C NEW'!$B$3:$B$1112&amp;'DMR 001C NEW'!$A$3:$A$1112),0),MATCH('001-C DMR'!$DA$11,'DMR 001C NEW'!$A$2:$O$2,0)),"")</f>
        <v/>
      </c>
      <c r="DG39" s="280" t="str">
        <f t="array" ref="DG39">_xlfn.IFNA(INDEX('DMR 001C NEW'!$A$3:$O$999,MATCH(('001-C DMR'!$CY$6&amp;'001-C DMR'!DG$10&amp;'001-C DMR'!$B39),('DMR 001C NEW'!$E$3:$E$1112&amp;'DMR 001C NEW'!$B$3:$B$1112&amp;'DMR 001C NEW'!$A$3:$A$1112),0),MATCH('001-C DMR'!$DA$11,'DMR 001C NEW'!$A$2:$O$2,0)),"")</f>
        <v/>
      </c>
      <c r="DH39" s="280" t="str">
        <f t="array" ref="DH39">_xlfn.IFNA(INDEX('DMR 001C NEW'!$A$3:$O$999,MATCH(('001-C DMR'!$CY$6&amp;'001-C DMR'!DH$10&amp;'001-C DMR'!$B39),('DMR 001C NEW'!$E$3:$E$1112&amp;'DMR 001C NEW'!$B$3:$B$1112&amp;'DMR 001C NEW'!$A$3:$A$1112),0),MATCH('001-C DMR'!$DA$11,'DMR 001C NEW'!$A$2:$O$2,0)),"")</f>
        <v/>
      </c>
      <c r="DI39" s="280" t="str">
        <f t="array" ref="DI39">_xlfn.IFNA(INDEX('DMR 001C NEW'!$A$3:$O$999,MATCH(('001-C DMR'!$CY$6&amp;'001-C DMR'!DI$10&amp;'001-C DMR'!$B39),('DMR 001C NEW'!$E$3:$E$1112&amp;'DMR 001C NEW'!$B$3:$B$1112&amp;'DMR 001C NEW'!$A$3:$A$1112),0),MATCH('001-C DMR'!$DA$11,'DMR 001C NEW'!$A$2:$O$2,0)),"")</f>
        <v/>
      </c>
      <c r="DJ39" s="280" t="str">
        <f t="array" ref="DJ39">_xlfn.IFNA(INDEX('DMR 001C NEW'!$A$3:$O$999,MATCH(('001-C DMR'!$CY$6&amp;'001-C DMR'!DJ$10&amp;'001-C DMR'!$B39),('DMR 001C NEW'!$E$3:$E$1112&amp;'DMR 001C NEW'!$B$3:$B$1112&amp;'DMR 001C NEW'!$A$3:$A$1112),0),MATCH('001-C DMR'!$DA$11,'DMR 001C NEW'!$A$2:$O$2,0)),"")</f>
        <v/>
      </c>
      <c r="DK39" s="61" t="str">
        <f t="shared" si="16"/>
        <v/>
      </c>
      <c r="DL39" s="58" t="str">
        <f t="array" ref="DL39">_xlfn.IFNA((INDEX('DMR 001C NEW'!$A$3:$O$9999,MATCH(('001-C DMR'!$DK$6&amp;'001-C DMR'!$DK$10&amp;'001-C DMR'!$B39),('DMR 001C NEW'!$E$3:$E$9018&amp;'DMR 001C NEW'!$B$3:$B$9018&amp;'DMR 001C NEW'!$A$3:$A$9018),0),MATCH('001-C DMR'!$DL$11,'DMR 001C NEW'!$A$2:$O$2,0))),"")</f>
        <v/>
      </c>
      <c r="DM39" s="58" t="str">
        <f t="array" ref="DM39">_xlfn.IFNA(INDEX('DMR 001C NEW'!$A$3:$O$9999,MATCH(('001-C DMR'!$DK$6&amp;'001-C DMR'!$DK$10&amp;'001-C DMR'!$B39),('DMR 001C NEW'!$E$3:$E$9018&amp;'DMR 001C NEW'!$B$3:$B$9018&amp;'DMR 001C NEW'!$A$3:$A$9018),0),MATCH('001-C DMR'!$DM$11,'DMR 001C NEW'!$A$2:$O$2,0)),"")</f>
        <v/>
      </c>
      <c r="DN39" s="58" t="str">
        <f t="shared" si="17"/>
        <v/>
      </c>
      <c r="DO39" s="223"/>
      <c r="DP39" s="224"/>
      <c r="DQ39" s="64">
        <f t="shared" si="18"/>
        <v>1</v>
      </c>
      <c r="DR39" s="280" t="str">
        <f t="array" ref="DR39">_xlfn.IFNA(INDEX('DMR 001C NEW'!$A$3:$O$999,MATCH(('001-C DMR'!$DK$6&amp;'001-C DMR'!DR$10&amp;'001-C DMR'!$B39),('DMR 001C NEW'!$E$3:$E$1112&amp;'DMR 001C NEW'!$B$3:$B$1112&amp;'DMR 001C NEW'!$A$3:$A$1112),0),MATCH('001-C DMR'!$DR$11,'DMR 001C NEW'!$A$2:$O$2,0)),"")</f>
        <v/>
      </c>
      <c r="DS39" s="280" t="str">
        <f t="array" ref="DS39">_xlfn.IFNA(INDEX('DMR 001C NEW'!$A$3:$O$999,MATCH(('001-C DMR'!$DK$6&amp;'001-C DMR'!DS$10&amp;'001-C DMR'!$B39),('DMR 001C NEW'!$E$3:$E$1112&amp;'DMR 001C NEW'!$B$3:$B$1112&amp;'DMR 001C NEW'!$A$3:$A$1112),0),MATCH('001-C DMR'!$DR$11,'DMR 001C NEW'!$A$2:$O$2,0)),"")</f>
        <v/>
      </c>
      <c r="DT39" s="280" t="str">
        <f t="array" ref="DT39">_xlfn.IFNA(INDEX('DMR 001C NEW'!$A$3:$O$999,MATCH(('001-C DMR'!$DK$6&amp;'001-C DMR'!DT$10&amp;'001-C DMR'!$B39),('DMR 001C NEW'!$E$3:$E$1112&amp;'DMR 001C NEW'!$B$3:$B$1112&amp;'DMR 001C NEW'!$A$3:$A$1112),0),MATCH('001-C DMR'!$DR$11,'DMR 001C NEW'!$A$2:$O$2,0)),"")</f>
        <v/>
      </c>
      <c r="DU39" s="280" t="str">
        <f t="array" ref="DU39">_xlfn.IFNA(INDEX('DMR 001C NEW'!$A$3:$O$999,MATCH(('001-C DMR'!$DK$6&amp;'001-C DMR'!DU$10&amp;'001-C DMR'!$B39),('DMR 001C NEW'!$E$3:$E$1112&amp;'DMR 001C NEW'!$B$3:$B$1112&amp;'DMR 001C NEW'!$A$3:$A$1112),0),MATCH('001-C DMR'!$DR$11,'DMR 001C NEW'!$A$2:$O$2,0)),"")</f>
        <v/>
      </c>
      <c r="DV39" s="280" t="str">
        <f t="array" ref="DV39">_xlfn.IFNA(INDEX('DMR 001C NEW'!$A$3:$O$999,MATCH(('001-C DMR'!$DK$6&amp;'001-C DMR'!DV$10&amp;'001-C DMR'!$B39),('DMR 001C NEW'!$E$3:$E$1112&amp;'DMR 001C NEW'!$B$3:$B$1112&amp;'DMR 001C NEW'!$A$3:$A$1112),0),MATCH('001-C DMR'!$DR$11,'DMR 001C NEW'!$A$2:$O$2,0)),"")</f>
        <v/>
      </c>
      <c r="DW39" s="280" t="str">
        <f t="array" ref="DW39">_xlfn.IFNA(INDEX('DMR 001C NEW'!$A$3:$O$999,MATCH(('001-C DMR'!$DK$6&amp;'001-C DMR'!DW$10&amp;'001-C DMR'!$B39),('DMR 001C NEW'!$E$3:$E$1112&amp;'DMR 001C NEW'!$B$3:$B$1112&amp;'DMR 001C NEW'!$A$3:$A$1112),0),MATCH('001-C DMR'!$DR$11,'DMR 001C NEW'!$A$2:$O$2,0)),"")</f>
        <v/>
      </c>
      <c r="DX39" s="280" t="str">
        <f t="array" ref="DX39">_xlfn.IFNA(INDEX('DMR 001C NEW'!$A$3:$O$999,MATCH(('001-C DMR'!$DK$6&amp;'001-C DMR'!DX$10&amp;'001-C DMR'!$B39),('DMR 001C NEW'!$E$3:$E$1112&amp;'DMR 001C NEW'!$B$3:$B$1112&amp;'DMR 001C NEW'!$A$3:$A$1112),0),MATCH('001-C DMR'!$DR$11,'DMR 001C NEW'!$A$2:$O$2,0)),"")</f>
        <v/>
      </c>
      <c r="DY39" s="61" t="str">
        <f t="shared" si="28"/>
        <v/>
      </c>
      <c r="DZ39" s="249" t="str">
        <f t="array" ref="DZ39">_xlfn.IFNA((INDEX('DMR 001C NEW'!$A$3:$O$9999,MATCH(('001-C DMR'!$DY$6&amp;'001-C DMR'!$DY$10&amp;'001-C DMR'!$B39),('DMR 001C NEW'!$E$3:$E$9018&amp;'DMR 001C NEW'!$B$3:$B$9018&amp;'DMR 001C NEW'!$A$3:$A$9018),0),MATCH('001-C DMR'!$DZ$11,'DMR 001C NEW'!$A$2:$O$2,0))),"")</f>
        <v/>
      </c>
      <c r="EA39" s="249" t="str">
        <f t="array" ref="EA39">_xlfn.IFNA((INDEX('DMR 001C NEW'!$A$3:$O$9999,MATCH(('001-C DMR'!$DY$6&amp;'001-C DMR'!$DY$10&amp;'001-C DMR'!$B39),('DMR 001C NEW'!$E$3:$E$9018&amp;'DMR 001C NEW'!$B$3:$B$9018&amp;'DMR 001C NEW'!$A$3:$A$9018),0),MATCH('001-C DMR'!$EA$11,'DMR 001C NEW'!$A$2:$O$2,0))),"")</f>
        <v/>
      </c>
      <c r="EB39" s="249" t="str">
        <f t="array" ref="EB39">IF(EA39="SCRATCHED","",IF(EA39&lt;DZ39,0,EA39))</f>
        <v/>
      </c>
      <c r="EC39" s="249" t="str">
        <f t="shared" si="29"/>
        <v/>
      </c>
      <c r="ED39" s="249" t="str">
        <f t="array" ref="ED39">_xlfn.IFNA((INDEX('DMR 001C NEW'!$A$3:$O$9999,MATCH(('001-C DMR'!$DY$6&amp;'001-C DMR'!$EC$10&amp;'001-C DMR'!$B39),('DMR 001C NEW'!$E$3:$E$9018&amp;'DMR 001C NEW'!$B$3:$B$9018&amp;'DMR 001C NEW'!$A$3:$A$9018),0),MATCH('001-C DMR'!$DZ$11,'DMR 001C NEW'!$A$2:$O$2,0))),"")</f>
        <v/>
      </c>
      <c r="EE39" s="249" t="str">
        <f t="array" ref="EE39">_xlfn.IFNA((INDEX('DMR 001C NEW'!$A$3:$O$9999,MATCH(('001-C DMR'!$DY$6&amp;'001-C DMR'!$EC$10&amp;'001-C DMR'!$B39),('DMR 001C NEW'!$E$3:$E$9018&amp;'DMR 001C NEW'!$B$3:$B$9018&amp;'DMR 001C NEW'!$A$3:$A$9018),0),MATCH('001-C DMR'!$EE$11,'DMR 001C NEW'!$A$2:$O$2,0))),"")</f>
        <v/>
      </c>
      <c r="EF39" s="249" t="str">
        <f t="array" ref="EF39">IF(EE39="SCRATCHED","",IF(EE39&lt;ED39,0,EE39))</f>
        <v/>
      </c>
      <c r="EG39" s="249"/>
      <c r="EH39" s="195"/>
      <c r="EI39" s="194">
        <f t="array" ref="EI39">_xlfn.IFNA(INDEX('DMR Flows-Effluent'!$A$3:$F$186,MATCH(($EI$10&amp;$B39),('DMR Flows-Effluent'!$B$3:$B$186&amp;'DMR Flows-Effluent'!$A$3:$A$186),0),MATCH($EI$8,'DMR Flows-Effluent'!$A$2:$F$2,0)),"")</f>
        <v>38.890599999999999</v>
      </c>
      <c r="EJ39" s="56">
        <f t="array" ref="EJ39">_xlfn.IFNA(INDEX('DMR Flows-Effluent'!$A$3:$F$186,MATCH(($EJ$10&amp;$B39),('DMR Flows-Effluent'!$B$3:$B$186&amp;'DMR Flows-Effluent'!$A$3:$A$186),0),MATCH($EI$8,'DMR Flows-Effluent'!$A$2:$F$2,0)),"")</f>
        <v>78.685500000000005</v>
      </c>
      <c r="EK39" s="168">
        <f t="shared" si="19"/>
        <v>117.5761</v>
      </c>
      <c r="EL39" s="63"/>
      <c r="EM39" s="63"/>
      <c r="EN39" s="63"/>
      <c r="EO39" s="63"/>
      <c r="EP39" s="62"/>
      <c r="EQ39" s="157">
        <f>'E.Coli Calculations'!R33</f>
        <v>66.158908867105893</v>
      </c>
      <c r="ER39" s="56">
        <f>'E.Coli Calculations'!S33</f>
        <v>80.245927991162361</v>
      </c>
      <c r="ES39" s="64">
        <f t="shared" si="36"/>
        <v>7</v>
      </c>
      <c r="ET39" s="61" t="str">
        <f t="shared" si="20"/>
        <v/>
      </c>
      <c r="EU39" s="58" t="str">
        <f t="array" ref="EU39">_xlfn.IFNA((INDEX('DMR 001C NEW'!$A$3:$O$9999,MATCH(('001-C DMR'!$ET$6&amp;'001-C DMR'!$ET$10&amp;'001-C DMR'!$B39),('DMR 001C NEW'!$E$3:$E$9018&amp;'DMR 001C NEW'!$B$3:$B$9018&amp;'DMR 001C NEW'!$A$3:$A$9018),0),MATCH('001-C DMR'!$EU$11,'DMR 001C NEW'!$A$2:$O$2,0))),"")</f>
        <v/>
      </c>
      <c r="EV39" s="58" t="str">
        <f t="array" ref="EV39">_xlfn.IFNA(INDEX('DMR 001C NEW'!$A$3:$O$9999,MATCH(('001-C DMR'!$ET$6&amp;'001-C DMR'!$ET$10&amp;'001-C DMR'!$B39),('DMR 001C NEW'!$E$3:$E$9018&amp;'DMR 001C NEW'!$B$3:$B$9018&amp;'DMR 001C NEW'!$A$3:$A$9018),0),MATCH('001-C DMR'!$EV$11,'DMR 001C NEW'!$A$2:$O$2,0)),"")</f>
        <v/>
      </c>
      <c r="EW39" s="56" t="str">
        <f t="shared" si="21"/>
        <v/>
      </c>
      <c r="EX39" s="64"/>
      <c r="EY39" s="279" t="str">
        <f t="array" ref="EY39">_xlfn.IFNA(INDEX('DMR 001C NEW'!$A$3:$O$999,MATCH(('001-C DMR'!$ET$6&amp;'001-C DMR'!EY$10&amp;'001-C DMR'!$B39),('DMR 001C NEW'!$E$3:$E$1112&amp;'DMR 001C NEW'!$B$3:$B$1112&amp;'DMR 001C NEW'!$A$3:$A$1112),0),MATCH('001-C DMR'!$EY$11,'DMR 001C NEW'!$A$2:$O$2,0)),"")</f>
        <v/>
      </c>
      <c r="EZ39" s="280" t="str">
        <f t="array" ref="EZ39">_xlfn.IFNA(INDEX('DMR 001C NEW'!$A$3:$O$999,MATCH(('001-C DMR'!$ET$6&amp;'001-C DMR'!EZ$10&amp;'001-C DMR'!$B39),('DMR 001C NEW'!$E$3:$E$1112&amp;'DMR 001C NEW'!$B$3:$B$1112&amp;'DMR 001C NEW'!$A$3:$A$1112),0),MATCH('001-C DMR'!$EY$11,'DMR 001C NEW'!$A$2:$O$2,0)),"")</f>
        <v/>
      </c>
      <c r="FA39" s="280" t="str">
        <f t="array" ref="FA39">_xlfn.IFNA(INDEX('DMR 001C NEW'!$A$3:$O$999,MATCH(('001-C DMR'!$ET$6&amp;'001-C DMR'!FA$10&amp;'001-C DMR'!$B39),('DMR 001C NEW'!$E$3:$E$1112&amp;'DMR 001C NEW'!$B$3:$B$1112&amp;'DMR 001C NEW'!$A$3:$A$1112),0),MATCH('001-C DMR'!$EY$11,'DMR 001C NEW'!$A$2:$O$2,0)),"")</f>
        <v/>
      </c>
      <c r="FB39" s="280" t="str">
        <f t="array" ref="FB39">_xlfn.IFNA(INDEX('DMR 001C NEW'!$A$3:$O$999,MATCH(('001-C DMR'!$ET$6&amp;'001-C DMR'!FB$10&amp;'001-C DMR'!$B39),('DMR 001C NEW'!$E$3:$E$1112&amp;'DMR 001C NEW'!$B$3:$B$1112&amp;'DMR 001C NEW'!$A$3:$A$1112),0),MATCH('001-C DMR'!$EY$11,'DMR 001C NEW'!$A$2:$O$2,0)),"")</f>
        <v/>
      </c>
      <c r="FC39" s="280" t="str">
        <f t="array" ref="FC39">_xlfn.IFNA(INDEX('DMR 001C NEW'!$A$3:$O$999,MATCH(('001-C DMR'!$ET$6&amp;'001-C DMR'!FC$10&amp;'001-C DMR'!$B39),('DMR 001C NEW'!$E$3:$E$1112&amp;'DMR 001C NEW'!$B$3:$B$1112&amp;'DMR 001C NEW'!$A$3:$A$1112),0),MATCH('001-C DMR'!$EY$11,'DMR 001C NEW'!$A$2:$O$2,0)),"")</f>
        <v/>
      </c>
      <c r="FD39" s="280" t="str">
        <f t="array" ref="FD39">_xlfn.IFNA(INDEX('DMR 001C NEW'!$A$3:$O$999,MATCH(('001-C DMR'!$ET$6&amp;'001-C DMR'!FD$10&amp;'001-C DMR'!$B39),('DMR 001C NEW'!$E$3:$E$1112&amp;'DMR 001C NEW'!$B$3:$B$1112&amp;'DMR 001C NEW'!$A$3:$A$1112),0),MATCH('001-C DMR'!$EY$11,'DMR 001C NEW'!$A$2:$O$2,0)),"")</f>
        <v/>
      </c>
      <c r="FE39" s="281" t="str">
        <f t="array" ref="FE39">_xlfn.IFNA(INDEX('DMR 001C NEW'!$A$3:$O$999,MATCH(('001-C DMR'!$ET$6&amp;'001-C DMR'!FE$10&amp;'001-C DMR'!$B39),('DMR 001C NEW'!$E$3:$E$1112&amp;'DMR 001C NEW'!$B$3:$B$1112&amp;'DMR 001C NEW'!$A$3:$A$1112),0),MATCH('001-C DMR'!$EY$11,'DMR 001C NEW'!$A$2:$O$2,0)),"")</f>
        <v/>
      </c>
      <c r="FF39" s="57" t="str">
        <f t="shared" si="22"/>
        <v/>
      </c>
      <c r="FG39" s="56">
        <f t="array" ref="FG39">_xlfn.IFNA(INDEX('DMR 001C NEW'!$A$3:$O$9999,MATCH(('001-C DMR'!$FF$6&amp;'001-C DMR'!$FF$10&amp;'001-C DMR'!$B39),('DMR 001C NEW'!$E$3:$E$7246&amp;'DMR 001C NEW'!$B$3:$B$7246&amp;'DMR 001C NEW'!$A$3:$A$7246),0),MATCH('001-C DMR'!$FG$11,'DMR 001C NEW'!$A$2:$O$2,0)),"")</f>
        <v>0</v>
      </c>
      <c r="FH39" s="56">
        <f t="array" ref="FH39">_xlfn.IFNA(INDEX('DMR 001C NEW'!$A$3:$O$9999,MATCH(('001-C DMR'!$FF$6&amp;'001-C DMR'!$FF$10&amp;'001-C DMR'!$B39),('DMR 001C NEW'!$E$3:$E$7246&amp;'DMR 001C NEW'!$B$3:$B$7246&amp;'DMR 001C NEW'!$A$3:$A$7246),0),MATCH('001-C DMR'!$FH$11,'DMR 001C NEW'!$A$2:$O$2,0)),"")</f>
        <v>4</v>
      </c>
      <c r="FI39" s="57" t="str">
        <f t="shared" si="23"/>
        <v/>
      </c>
      <c r="FJ39" s="56">
        <f t="array" ref="FJ39">_xlfn.IFNA(INDEX('DMR 001C NEW'!$A$3:$O$9999,MATCH(('001-C DMR'!$FF$6&amp;'001-C DMR'!$FI$10&amp;'001-C DMR'!$B39),('DMR 001C NEW'!$E$3:$E$7246&amp;'DMR 001C NEW'!$B$3:$B$7246&amp;'DMR 001C NEW'!$A$3:$A$7246),0),MATCH('001-C DMR'!$FG$11,'DMR 001C NEW'!$A$2:$O$2,0)),"")</f>
        <v>0</v>
      </c>
      <c r="FK39" s="56">
        <f t="array" ref="FK39">_xlfn.IFNA(INDEX('DMR 001C NEW'!$A$3:$O$9999,MATCH(('001-C DMR'!$FF$6&amp;'001-C DMR'!$FI$10&amp;'001-C DMR'!$B39),('DMR 001C NEW'!$E$3:$E$7246&amp;'DMR 001C NEW'!$B$3:$B$7246&amp;'DMR 001C NEW'!$A$3:$A$7246),0),MATCH('001-C DMR'!$FH$11,'DMR 001C NEW'!$A$2:$O$2,0)),"")</f>
        <v>4</v>
      </c>
      <c r="FL39" s="56">
        <f t="array" ref="FL39">IFERROR((($FH39*$EI39)+($FK39*$EJ39))/($EK39),"")</f>
        <v>4</v>
      </c>
      <c r="FM39" s="56">
        <f t="shared" si="43"/>
        <v>4.4090903040676945</v>
      </c>
      <c r="FN39" s="64">
        <f t="shared" si="37"/>
        <v>7</v>
      </c>
      <c r="FO39" s="66"/>
      <c r="FP39" s="280" t="str">
        <f t="array" ref="FP39">_xlfn.IFNA(INDEX('DMR 001C NEW'!$A$3:$O$999,MATCH(('001-C DMR'!$FF$6&amp;'001-C DMR'!FP$10&amp;'001-C DMR'!$B39),('DMR 001C NEW'!$E$3:$E$1112&amp;'DMR 001C NEW'!$B$3:$B$1112&amp;'DMR 001C NEW'!$A$3:$A$1112),0),MATCH('001-C DMR'!$FH$11,'DMR 001C NEW'!$A$2:$O$2,0)),"")</f>
        <v/>
      </c>
      <c r="FQ39" s="280" t="str">
        <f t="array" ref="FQ39">_xlfn.IFNA(INDEX('DMR 001C NEW'!$A$3:$O$999,MATCH(('001-C DMR'!$FF$6&amp;'001-C DMR'!FQ$10&amp;'001-C DMR'!$B39),('DMR 001C NEW'!$E$3:$E$1112&amp;'DMR 001C NEW'!$B$3:$B$1112&amp;'DMR 001C NEW'!$A$3:$A$1112),0),MATCH('001-C DMR'!$FH$11,'DMR 001C NEW'!$A$2:$O$2,0)),"")</f>
        <v/>
      </c>
      <c r="FR39" s="280" t="str">
        <f t="array" ref="FR39">_xlfn.IFNA(INDEX('DMR 001C NEW'!$A$3:$O$999,MATCH(('001-C DMR'!$FF$6&amp;'001-C DMR'!FR$10&amp;'001-C DMR'!$B39),('DMR 001C NEW'!$E$3:$E$1112&amp;'DMR 001C NEW'!$B$3:$B$1112&amp;'DMR 001C NEW'!$A$3:$A$1112),0),MATCH('001-C DMR'!$FH$11,'DMR 001C NEW'!$A$2:$O$2,0)),"")</f>
        <v/>
      </c>
      <c r="FS39" s="280" t="str">
        <f t="array" ref="FS39">_xlfn.IFNA(INDEX('DMR 001C NEW'!$A$3:$O$999,MATCH(('001-C DMR'!$FF$6&amp;'001-C DMR'!FS$10&amp;'001-C DMR'!$B39),('DMR 001C NEW'!$E$3:$E$1112&amp;'DMR 001C NEW'!$B$3:$B$1112&amp;'DMR 001C NEW'!$A$3:$A$1112),0),MATCH('001-C DMR'!$FH$11,'DMR 001C NEW'!$A$2:$O$2,0)),"")</f>
        <v/>
      </c>
      <c r="FT39" s="280" t="str">
        <f t="array" ref="FT39">_xlfn.IFNA(INDEX('DMR 001C NEW'!$A$3:$O$999,MATCH(('001-C DMR'!$FF$6&amp;'001-C DMR'!FT$10&amp;'001-C DMR'!$B39),('DMR 001C NEW'!$E$3:$E$1112&amp;'DMR 001C NEW'!$B$3:$B$1112&amp;'DMR 001C NEW'!$A$3:$A$1112),0),MATCH('001-C DMR'!$FH$11,'DMR 001C NEW'!$A$2:$O$2,0)),"")</f>
        <v/>
      </c>
      <c r="FU39" s="280" t="str">
        <f t="array" ref="FU39">_xlfn.IFNA(INDEX('DMR 001C NEW'!$A$3:$O$999,MATCH(('001-C DMR'!$FF$6&amp;'001-C DMR'!FU$10&amp;'001-C DMR'!$B39),('DMR 001C NEW'!$E$3:$E$1112&amp;'DMR 001C NEW'!$B$3:$B$1112&amp;'DMR 001C NEW'!$A$3:$A$1112),0),MATCH('001-C DMR'!$FH$11,'DMR 001C NEW'!$A$2:$O$2,0)),"")</f>
        <v/>
      </c>
      <c r="FV39" s="66"/>
      <c r="FW39" s="61" t="str">
        <f t="shared" si="24"/>
        <v/>
      </c>
      <c r="FX39" s="58" t="str">
        <f t="array" ref="FX39">_xlfn.IFNA(INDEX('DMR 001C NEW'!$A$3:$O$9999,MATCH(('001-C DMR'!$FW$6&amp;'001-C DMR'!$FW$10&amp;'001-C DMR'!$B39),('DMR 001C NEW'!$E$3:$E$7246&amp;'DMR 001C NEW'!$B$3:$B$7246&amp;'DMR 001C NEW'!$A$3:$A$7246),0),MATCH('001-C DMR'!$FX$11,'DMR 001C NEW'!$A$2:$O$2,0)),"")</f>
        <v/>
      </c>
      <c r="FY39" s="58" t="str">
        <f t="array" ref="FY39">_xlfn.IFNA(INDEX('DMR 001C NEW'!$A$3:$O$9999,MATCH(('001-C DMR'!$FW$6&amp;'001-C DMR'!$FW$10&amp;'001-C DMR'!$B39),('DMR 001C NEW'!$E$3:$E$7246&amp;'DMR 001C NEW'!$B$3:$B$7246&amp;'DMR 001C NEW'!$A$3:$A$7246),0),MATCH('001-C DMR'!$FY$11,'DMR 001C NEW'!$A$2:$O$2,0)),"")</f>
        <v/>
      </c>
      <c r="FZ39" s="57" t="str">
        <f t="shared" si="25"/>
        <v/>
      </c>
      <c r="GA39" s="58" t="str">
        <f t="array" ref="GA39">_xlfn.IFNA(INDEX('DMR 001C NEW'!$A$3:$O$9999,MATCH(('001-C DMR'!$FW$6&amp;'001-C DMR'!$FZ$10&amp;'001-C DMR'!$B39),('DMR 001C NEW'!$E$3:$E$7246&amp;'DMR 001C NEW'!$B$3:$B$7246&amp;'DMR 001C NEW'!$A$3:$A$7246),0),MATCH('001-C DMR'!$FX$11,'DMR 001C NEW'!$A$2:$O$2,0)),"")</f>
        <v/>
      </c>
      <c r="GB39" s="58" t="str">
        <f t="array" ref="GB39">_xlfn.IFNA(INDEX('DMR 001C NEW'!$A$3:$O$9999,MATCH(('001-C DMR'!$FW$6&amp;'001-C DMR'!$FZ$10&amp;'001-C DMR'!$B39),('DMR 001C NEW'!$E$3:$E$7246&amp;'DMR 001C NEW'!$B$3:$B$7246&amp;'DMR 001C NEW'!$A$3:$A$7246),0),MATCH('001-C DMR'!$GB$11,'DMR 001C NEW'!$A$2:$O$2,0)),"")</f>
        <v/>
      </c>
      <c r="GC39" s="56" t="str">
        <f t="shared" si="4"/>
        <v/>
      </c>
      <c r="GD39" s="64">
        <f t="shared" si="38"/>
        <v>1</v>
      </c>
      <c r="GE39" s="279" t="str">
        <f t="array" ref="GE39">_xlfn.IFNA(INDEX('DMR 001C NEW'!$A$3:$O$999,MATCH(('001-C DMR'!$FW$6&amp;'001-C DMR'!GE$10&amp;'001-C DMR'!$B39),('DMR 001C NEW'!$E$3:$E$1112&amp;'DMR 001C NEW'!$B$3:$B$1112&amp;'DMR 001C NEW'!$A$3:$A$1112),0),MATCH('001-C DMR'!$FY$11,'DMR 001C NEW'!$A$2:$O$2,0)),"")</f>
        <v/>
      </c>
      <c r="GF39" s="280" t="str">
        <f t="array" ref="GF39">_xlfn.IFNA(INDEX('DMR 001C NEW'!$A$3:$O$999,MATCH(('001-C DMR'!$FW$6&amp;'001-C DMR'!GF$10&amp;'001-C DMR'!$B39),('DMR 001C NEW'!$E$3:$E$1112&amp;'DMR 001C NEW'!$B$3:$B$1112&amp;'DMR 001C NEW'!$A$3:$A$1112),0),MATCH('001-C DMR'!$FY$11,'DMR 001C NEW'!$A$2:$O$2,0)),"")</f>
        <v/>
      </c>
      <c r="GG39" s="280" t="str">
        <f t="array" ref="GG39">_xlfn.IFNA(INDEX('DMR 001C NEW'!$A$3:$O$999,MATCH(('001-C DMR'!$FW$6&amp;'001-C DMR'!GG$10&amp;'001-C DMR'!$B39),('DMR 001C NEW'!$E$3:$E$1112&amp;'DMR 001C NEW'!$B$3:$B$1112&amp;'DMR 001C NEW'!$A$3:$A$1112),0),MATCH('001-C DMR'!$FY$11,'DMR 001C NEW'!$A$2:$O$2,0)),"")</f>
        <v/>
      </c>
      <c r="GH39" s="280" t="str">
        <f t="array" ref="GH39">_xlfn.IFNA(INDEX('DMR 001C NEW'!$A$3:$O$999,MATCH(('001-C DMR'!$FW$6&amp;'001-C DMR'!GH$10&amp;'001-C DMR'!$B39),('DMR 001C NEW'!$E$3:$E$1112&amp;'DMR 001C NEW'!$B$3:$B$1112&amp;'DMR 001C NEW'!$A$3:$A$1112),0),MATCH('001-C DMR'!$FY$11,'DMR 001C NEW'!$A$2:$O$2,0)),"")</f>
        <v/>
      </c>
      <c r="GI39" s="280" t="str">
        <f t="array" ref="GI39">_xlfn.IFNA(INDEX('DMR 001C NEW'!$A$3:$O$999,MATCH(('001-C DMR'!$FW$6&amp;'001-C DMR'!GI$10&amp;'001-C DMR'!$B39),('DMR 001C NEW'!$E$3:$E$1112&amp;'DMR 001C NEW'!$B$3:$B$1112&amp;'DMR 001C NEW'!$A$3:$A$1112),0),MATCH('001-C DMR'!$FY$11,'DMR 001C NEW'!$A$2:$O$2,0)),"")</f>
        <v/>
      </c>
      <c r="GJ39" s="281" t="str">
        <f t="array" ref="GJ39">_xlfn.IFNA(INDEX('DMR 001C NEW'!$A$3:$O$999,MATCH(('001-C DMR'!$FW$6&amp;'001-C DMR'!GJ$10&amp;'001-C DMR'!$B39),('DMR 001C NEW'!$E$3:$E$1112&amp;'DMR 001C NEW'!$B$3:$B$1112&amp;'DMR 001C NEW'!$A$3:$A$1112),0),MATCH('001-C DMR'!$FY$11,'DMR 001C NEW'!$A$2:$O$2,0)),"")</f>
        <v/>
      </c>
      <c r="GK39" s="58" t="str">
        <f t="array" ref="GK39">_xlfn.IFNA(INDEX('DMR 001C NEW'!$A$3:$O$9999,MATCH(('001-C DMR'!$GK$6&amp;'001-C DMR'!$GK$10&amp;'001-C DMR'!$B39),('DMR 001C NEW'!$E$3:$E$9018&amp;'DMR 001C NEW'!$B$3:$B$9018&amp;'DMR 001C NEW'!$A$3:$A$9018),0),MATCH('001-C DMR'!$GK$11,'DMR 001C NEW'!$A$2:$O$2,0)),"")</f>
        <v>n</v>
      </c>
      <c r="GL39" s="58" t="str">
        <f t="array" ref="GL39">_xlfn.IFNA(INDEX('DMR 001C NEW'!$A$3:$O$9999,MATCH(('001-C DMR'!$GK$6&amp;'001-C DMR'!$GL$10&amp;'001-C DMR'!$B39),('DMR 001C NEW'!$E$3:$E$9018&amp;'DMR 001C NEW'!$B$3:$B$9018&amp;'DMR 001C NEW'!$A$3:$A$9018),0),MATCH('001-C DMR'!$GK$11,'DMR 001C NEW'!$A$2:$O$2,0)),"")</f>
        <v>n</v>
      </c>
      <c r="GM39" s="134"/>
      <c r="GN39" s="64">
        <f t="shared" si="44"/>
        <v>7</v>
      </c>
    </row>
    <row r="40" spans="1:196" s="51" customFormat="1" x14ac:dyDescent="0.25">
      <c r="A40" s="67" t="str">
        <f t="shared" si="5"/>
        <v>Sun</v>
      </c>
      <c r="B40" s="216">
        <f t="shared" si="26"/>
        <v>43702</v>
      </c>
      <c r="C40" s="93">
        <f t="array" ref="C40">INDEX('DMR 001C NEW'!$A$3:$N$10020,MATCH(('001-C DMR'!$C$6:$K$6&amp;'001-C DMR'!$C$10:$E$10&amp;'001-C DMR'!$B40),('DMR 001C NEW'!$E$3:$E$7246&amp;'DMR 001C NEW'!$B$3:$B$7246&amp;'DMR 001C NEW'!$A$3:$A$7246),0),MATCH('001-C DMR'!$C$11,'DMR 001C NEW'!$A$2:$O$2,0))</f>
        <v>5.9</v>
      </c>
      <c r="D40" s="56" t="str">
        <f t="array" ref="D40">INDEX('DMR 001C NEW'!$A$3:$N$11771,MATCH(('001-C DMR'!$C$6:$K$6&amp;'001-C DMR'!$C$10:$E$10&amp;'001-C DMR'!$B40),('DMR 001C NEW'!$E$3:$E$9018&amp;'DMR 001C NEW'!$B$3:$B$9018&amp;'DMR 001C NEW'!$A$3:$A$9018),0),MATCH('001-C DMR'!$D$11,'DMR 001C NEW'!$A$2:$O$2,0))</f>
        <v>AE70382</v>
      </c>
      <c r="E40" s="56">
        <f t="array" ref="E40">INDEX('DMR 001C NEW'!$A$3:$N$9999,MATCH(('001-C DMR'!$E$11&amp;'001-C DMR'!$C$10:$E$10&amp;'001-C DMR'!$B40&amp;$D40),('DMR 001C NEW'!$E$3:$E$7246&amp;'DMR 001C NEW'!$B$3:$B$7246&amp;'DMR 001C NEW'!$A$3:$A$7246&amp;'DMR 001C NEW'!$M$3:$M$7188),0),MATCH($C$11,'DMR 001C NEW'!$A$2:$O$2,0))</f>
        <v>25.23</v>
      </c>
      <c r="F40" s="56">
        <f t="array" ref="F40">INDEX('DMR 001C NEW'!$A$3:$N$9999,MATCH('001-C DMR'!$C$6:$K$6&amp;'001-C DMR'!$F$10&amp;'001-C DMR'!$B40,('DMR 001C NEW'!$E$3:$E$7246&amp;'DMR 001C NEW'!$B$3:$B$7246&amp;'DMR 001C NEW'!$A$3:$A$7246),0),MATCH('001-C DMR'!$C$11,'DMR 001C NEW'!$A$2:$O$2,0))</f>
        <v>6.6</v>
      </c>
      <c r="G40" s="56" t="str">
        <f t="array" ref="G40">INDEX('DMR 001C NEW'!$A$3:$N$3865,MATCH(('001-C DMR'!$C$6:$K$6&amp;'001-C DMR'!$F$10&amp;'001-C DMR'!$B40),('DMR 001C NEW'!$E$3:$E$1112&amp;'DMR 001C NEW'!$B$3:$B$1112&amp;'DMR 001C NEW'!$A$3:$A$1112),0),MATCH('001-C DMR'!$D$11,'DMR 001C NEW'!$A$2:$O$2,0))</f>
        <v>AE70383</v>
      </c>
      <c r="H40" s="56">
        <f t="array" ref="H40">INDEX('DMR 001C NEW'!$A$3:$N$9999,MATCH(('001-C DMR'!$E$11&amp;'001-C DMR'!$F$10&amp;'001-C DMR'!$B40&amp;$G40),('DMR 001C NEW'!$E$3:$E$7246&amp;'DMR 001C NEW'!$B$3:$B$7246&amp;'DMR 001C NEW'!$A$3:$A$7246&amp;'DMR 001C NEW'!$M$3:$M$7188),0),MATCH($C$11,'DMR 001C NEW'!$A$2:$O$2,0))</f>
        <v>57.23</v>
      </c>
      <c r="I40" s="56">
        <f t="shared" si="0"/>
        <v>6.3858234295415954</v>
      </c>
      <c r="J40" s="58" t="str">
        <f t="shared" si="39"/>
        <v/>
      </c>
      <c r="K40" s="64" t="str">
        <f t="shared" si="40"/>
        <v/>
      </c>
      <c r="L40" s="262" t="str">
        <f t="array" ref="L40">_xlfn.IFNA(INDEX('DMR 001C NEW'!$A$3:$N$3865,MATCH(('001-C DMR'!$C$6:$K$6&amp;'001-C DMR'!L$10&amp;'001-C DMR'!$B40),('DMR 001C NEW'!$E$3:$E$1112&amp;'DMR 001C NEW'!$B$3:$B$1112&amp;'DMR 001C NEW'!$A$3:$A$1112),0),MATCH('001-C DMR'!$C$11,'DMR 001C NEW'!$A$2:$O$2,0)),"")</f>
        <v/>
      </c>
      <c r="M40" s="262" t="str">
        <f t="array" ref="M40">_xlfn.IFNA(INDEX('DMR 001C NEW'!$A$3:$N$3865,MATCH(('001-C DMR'!$C$6:$K$6&amp;'001-C DMR'!M$10&amp;'001-C DMR'!$B40),('DMR 001C NEW'!$E$3:$E$1112&amp;'DMR 001C NEW'!$B$3:$B$1112&amp;'DMR 001C NEW'!$A$3:$A$1112),0),MATCH('001-C DMR'!$C$11,'DMR 001C NEW'!$A$2:$O$2,0)),"")</f>
        <v/>
      </c>
      <c r="N40" s="262" t="str">
        <f t="array" ref="N40">_xlfn.IFNA(INDEX('DMR 001C NEW'!$A$3:$N$3865,MATCH(('001-C DMR'!$C$6:$K$6&amp;'001-C DMR'!N$10&amp;'001-C DMR'!$B40),('DMR 001C NEW'!$E$3:$E$1112&amp;'DMR 001C NEW'!$B$3:$B$1112&amp;'DMR 001C NEW'!$A$3:$A$1112),0),MATCH('001-C DMR'!$C$11,'DMR 001C NEW'!$A$2:$O$2,0)),"")</f>
        <v/>
      </c>
      <c r="O40" s="262" t="str">
        <f t="array" ref="O40">_xlfn.IFNA(INDEX('DMR 001C NEW'!$A$3:$N$3865,MATCH(('001-C DMR'!$C$6:$K$6&amp;'001-C DMR'!O$10&amp;'001-C DMR'!$B40),('DMR 001C NEW'!$E$3:$E$1112&amp;'DMR 001C NEW'!$B$3:$B$1112&amp;'DMR 001C NEW'!$A$3:$A$1112),0),MATCH('001-C DMR'!$C$11,'DMR 001C NEW'!$A$2:$O$2,0)),"")</f>
        <v/>
      </c>
      <c r="P40" s="262" t="str">
        <f t="array" ref="P40">_xlfn.IFNA(INDEX('DMR 001C NEW'!$A$3:$N$3865,MATCH(('001-C DMR'!$C$6:$K$6&amp;'001-C DMR'!P$10&amp;'001-C DMR'!$B40),('DMR 001C NEW'!$E$3:$E$1112&amp;'DMR 001C NEW'!$B$3:$B$1112&amp;'DMR 001C NEW'!$A$3:$A$1112),0),MATCH('001-C DMR'!$C$11,'DMR 001C NEW'!$A$2:$O$2,0)),"")</f>
        <v/>
      </c>
      <c r="Q40" s="120" t="e">
        <f t="array" ref="Q40">INDEX('DMR 001C NEW'!$A$3:$N$3865,MATCH(('001-C DMR'!$C$6:$K$6&amp;'001-C DMR'!Q$10&amp;'001-C DMR'!$B40),('DMR 001C NEW'!$E$3:$E$1112&amp;'DMR 001C NEW'!$B$3:$B$1112&amp;'DMR 001C NEW'!$A$3:$A$1112),0),MATCH('001-C DMR'!$C$11,'DMR 001C NEW'!$A$2:$O$2,0))</f>
        <v>#N/A</v>
      </c>
      <c r="R40" s="61"/>
      <c r="S40" s="56">
        <f t="array" ref="S40">_xlfn.IFNA(INDEX('DMR 001C NEW'!$A$3:$N$11771,MATCH(('001-C DMR'!$R$6:$T$6&amp;'001-C DMR'!$R$10&amp;'001-C DMR'!$B40),('DMR 001C NEW'!$E$3:$E$9018&amp;'DMR 001C NEW'!$B$3:$B$9018&amp;'DMR 001C NEW'!$A$3:$A$9018),0),MATCH('001-C DMR'!$S$11,'DMR 001C NEW'!$A$2:$O$2,0)),"")</f>
        <v>7.1</v>
      </c>
      <c r="T40" s="64" t="str">
        <f t="shared" si="41"/>
        <v/>
      </c>
      <c r="U40" s="262" t="str">
        <f t="array" ref="U40">_xlfn.IFNA(INDEX('DMR 001C NEW'!$A$3:$O$591,MATCH('001-C DMR'!$R$6:$T$6&amp;'001-C DMR'!U$10&amp;'001-C DMR'!$B40,('DMR 001C NEW'!$E$3:$E$704&amp;'DMR 001C NEW'!$B$3:$B$704&amp;'DMR 001C NEW'!$A$3:$A$704),0),MATCH('001-C DMR'!$U$11,'DMR 001C NEW'!$A$2:$O$2,0)),"")</f>
        <v/>
      </c>
      <c r="V40" s="262" t="str">
        <f t="array" ref="V40">_xlfn.IFNA(INDEX('DMR 001C NEW'!$A$3:$O$591,MATCH('001-C DMR'!$R$6:$T$6&amp;'001-C DMR'!V$10&amp;'001-C DMR'!$B40,('DMR 001C NEW'!$E$3:$E$704&amp;'DMR 001C NEW'!$B$3:$B$704&amp;'DMR 001C NEW'!$A$3:$A$704),0),MATCH('001-C DMR'!$U$11,'DMR 001C NEW'!$A$2:$O$2,0)),"")</f>
        <v/>
      </c>
      <c r="W40" s="262" t="str">
        <f t="array" ref="W40">_xlfn.IFNA(INDEX('DMR 001C NEW'!$A$3:$O$591,MATCH('001-C DMR'!$R$6:$T$6&amp;'001-C DMR'!W$10&amp;'001-C DMR'!$B40,('DMR 001C NEW'!$E$3:$E$704&amp;'DMR 001C NEW'!$B$3:$B$704&amp;'DMR 001C NEW'!$A$3:$A$704),0),MATCH('001-C DMR'!$U$11,'DMR 001C NEW'!$A$2:$O$2,0)),"")</f>
        <v/>
      </c>
      <c r="X40" s="262" t="str">
        <f t="array" ref="X40">_xlfn.IFNA(INDEX('DMR 001C NEW'!$A$3:$O$591,MATCH('001-C DMR'!$R$6:$T$6&amp;'001-C DMR'!X$10&amp;'001-C DMR'!$B40,('DMR 001C NEW'!$E$3:$E$704&amp;'DMR 001C NEW'!$B$3:$B$704&amp;'DMR 001C NEW'!$A$3:$A$704),0),MATCH('001-C DMR'!$U$11,'DMR 001C NEW'!$A$2:$O$2,0)),"")</f>
        <v/>
      </c>
      <c r="Y40" s="262" t="str">
        <f t="array" ref="Y40">_xlfn.IFNA(INDEX('DMR 001C NEW'!$A$3:$O$591,MATCH('001-C DMR'!$R$6:$T$6&amp;'001-C DMR'!Y$10&amp;'001-C DMR'!$B40,('DMR 001C NEW'!$E$3:$E$704&amp;'DMR 001C NEW'!$B$3:$B$704&amp;'DMR 001C NEW'!$A$3:$A$704),0),MATCH('001-C DMR'!$U$11,'DMR 001C NEW'!$A$2:$O$2,0)),"")</f>
        <v/>
      </c>
      <c r="Z40" s="262" t="str">
        <f t="array" ref="Z40">_xlfn.IFNA(INDEX('DMR 001C NEW'!$A$3:$O$591,MATCH('001-C DMR'!$R$6:$T$6&amp;'001-C DMR'!Z$10&amp;'001-C DMR'!$B40,('DMR 001C NEW'!$E$3:$E$704&amp;'DMR 001C NEW'!$B$3:$B$704&amp;'DMR 001C NEW'!$A$3:$A$704),0),MATCH('001-C DMR'!$U$11,'DMR 001C NEW'!$A$2:$O$2,0)),"")</f>
        <v/>
      </c>
      <c r="AA40" s="262" t="str">
        <f t="array" ref="AA40">_xlfn.IFNA(INDEX('DMR 001C NEW'!$A$3:$O$591,MATCH('001-C DMR'!$R$6:$T$6&amp;'001-C DMR'!AA$10&amp;'001-C DMR'!$B40,('DMR 001C NEW'!$E$3:$E$704&amp;'DMR 001C NEW'!$B$3:$B$704&amp;'DMR 001C NEW'!$A$3:$A$704),0),MATCH('001-C DMR'!$U$11,'DMR 001C NEW'!$A$2:$O$2,0)),"")</f>
        <v/>
      </c>
      <c r="AB40" s="61" t="str">
        <f t="array" ref="AB40">IF(AD40&lt;AC40,"&lt;","")</f>
        <v/>
      </c>
      <c r="AC40" s="56">
        <f t="array" ref="AC40">_xlfn.IFNA(INDEX('DMR 001C NEW'!$A$3:$O$9999,MATCH(('001-C DMR'!$AB$6:$AJ$6&amp;'001-C DMR'!$AB$10:$AD$10&amp;'001-C DMR'!$B40),('DMR 001C NEW'!$E$3:$E$7246&amp;'DMR 001C NEW'!$B$3:$B$7246&amp;'DMR 001C NEW'!$A$3:$A$7246),0),MATCH('001-C DMR'!$AC$11,'DMR 001C NEW'!$A$2:$O$2,0)),"")</f>
        <v>3</v>
      </c>
      <c r="AD40" s="56">
        <f t="array" ref="AD40">_xlfn.IFNA(INDEX('DMR 001C NEW'!$A$3:$O$9999,MATCH(('001-C DMR'!$AB$6:$AJ$6&amp;'001-C DMR'!$AB$10:$AD$10&amp;'001-C DMR'!$B40),('DMR 001C NEW'!$E$3:$E$7246&amp;'DMR 001C NEW'!$B$3:$B$7246&amp;'DMR 001C NEW'!$A$3:$A$7246),0),MATCH('001-C DMR'!$AD$11,'DMR 001C NEW'!$A$2:$O$2,0)),"")</f>
        <v>13</v>
      </c>
      <c r="AE40" s="57" t="str">
        <f t="array" ref="AE40">IF(AG40&lt;AF40,"&lt;","")</f>
        <v/>
      </c>
      <c r="AF40" s="56">
        <f t="array" ref="AF40">_xlfn.IFNA(INDEX('DMR 001C NEW'!$A$3:$O$9999,MATCH(('001-C DMR'!$AB$6:$AJ$6&amp;'001-C DMR'!$AE$10&amp;'001-C DMR'!$B40),('DMR 001C NEW'!$E$3:$E$9018&amp;'DMR 001C NEW'!$B$3:$B$9018&amp;'DMR 001C NEW'!$A$3:$A$9018),0),MATCH('001-C DMR'!$AF$11,'DMR 001C NEW'!$A$2:$O$2,0)),"")</f>
        <v>3</v>
      </c>
      <c r="AG40" s="56">
        <f t="array" ref="AG40">_xlfn.IFNA(INDEX('DMR 001C NEW'!$A$3:$O$9999,MATCH(('001-C DMR'!$AB$6:$AJ$6&amp;'001-C DMR'!$AE$10&amp;'001-C DMR'!$B40),('DMR 001C NEW'!$E$3:$E$9018&amp;'DMR 001C NEW'!$B$3:$B$9018&amp;'DMR 001C NEW'!$A$3:$A$9018),0),MATCH('001-C DMR'!$AG$11,'DMR 001C NEW'!$A$2:$O$2,0)),"")</f>
        <v>16</v>
      </c>
      <c r="AH40" s="56">
        <f t="array" ref="AH40">IFERROR((($AD40*$EI40)+($AG40*$EJ40))/($EK40),"")</f>
        <v>14.990630023418824</v>
      </c>
      <c r="AI40" s="56" t="str">
        <f t="shared" si="42"/>
        <v/>
      </c>
      <c r="AJ40" s="64" t="str">
        <f t="shared" si="30"/>
        <v/>
      </c>
      <c r="AK40" s="262" t="str">
        <f t="array" ref="AK40">_xlfn.IFNA(INDEX('DMR 001C NEW'!$A$3:$O$999,MATCH(('001-C DMR'!$AB$6:$AJ$6&amp;'001-C DMR'!AK$10&amp;'001-C DMR'!$B40),('DMR 001C NEW'!$E$3:$E$1112&amp;'DMR 001C NEW'!$B$3:$B$1112&amp;'DMR 001C NEW'!$A$3:$A$1112),0),MATCH('001-C DMR'!$AD$11,'DMR 001C NEW'!$A$2:$O$2,0)),"")</f>
        <v/>
      </c>
      <c r="AL40" s="262" t="str">
        <f t="array" ref="AL40">_xlfn.IFNA(INDEX('DMR 001C NEW'!$A$3:$O$999,MATCH(('001-C DMR'!$AB$6:$AJ$6&amp;'001-C DMR'!AL$10&amp;'001-C DMR'!$B40),('DMR 001C NEW'!$E$3:$E$1112&amp;'DMR 001C NEW'!$B$3:$B$1112&amp;'DMR 001C NEW'!$A$3:$A$1112),0),MATCH('001-C DMR'!$AD$11,'DMR 001C NEW'!$A$2:$O$2,0)),"")</f>
        <v/>
      </c>
      <c r="AM40" s="262" t="str">
        <f t="array" ref="AM40">_xlfn.IFNA(INDEX('DMR 001C NEW'!$A$3:$O$999,MATCH(('001-C DMR'!$AB$6:$AJ$6&amp;'001-C DMR'!AM$10&amp;'001-C DMR'!$B40),('DMR 001C NEW'!$E$3:$E$1112&amp;'DMR 001C NEW'!$B$3:$B$1112&amp;'DMR 001C NEW'!$A$3:$A$1112),0),MATCH('001-C DMR'!$AD$11,'DMR 001C NEW'!$A$2:$O$2,0)),"")</f>
        <v/>
      </c>
      <c r="AN40" s="262" t="str">
        <f t="array" ref="AN40">_xlfn.IFNA(INDEX('DMR 001C NEW'!$A$3:$O$999,MATCH(('001-C DMR'!$AB$6:$AJ$6&amp;'001-C DMR'!AN$10&amp;'001-C DMR'!$B40),('DMR 001C NEW'!$E$3:$E$1112&amp;'DMR 001C NEW'!$B$3:$B$1112&amp;'DMR 001C NEW'!$A$3:$A$1112),0),MATCH('001-C DMR'!$AD$11,'DMR 001C NEW'!$A$2:$O$2,0)),"")</f>
        <v/>
      </c>
      <c r="AO40" s="262" t="str">
        <f t="array" ref="AO40">_xlfn.IFNA(INDEX('DMR 001C NEW'!$A$3:$O$999,MATCH(('001-C DMR'!$AB$6:$AJ$6&amp;'001-C DMR'!AO$10&amp;'001-C DMR'!$B40),('DMR 001C NEW'!$E$3:$E$1112&amp;'DMR 001C NEW'!$B$3:$B$1112&amp;'DMR 001C NEW'!$A$3:$A$1112),0),MATCH('001-C DMR'!$AD$11,'DMR 001C NEW'!$A$2:$O$2,0)),"")</f>
        <v/>
      </c>
      <c r="AP40" s="262" t="str">
        <f t="array" ref="AP40">_xlfn.IFNA(INDEX('DMR 001C NEW'!$A$3:$O$999,MATCH(('001-C DMR'!$AB$6:$AJ$6&amp;'001-C DMR'!AP$10&amp;'001-C DMR'!$B40),('DMR 001C NEW'!$E$3:$E$1112&amp;'DMR 001C NEW'!$B$3:$B$1112&amp;'DMR 001C NEW'!$A$3:$A$1112),0),MATCH('001-C DMR'!$AD$11,'DMR 001C NEW'!$A$2:$O$2,0)),"")</f>
        <v/>
      </c>
      <c r="AQ40" s="61" t="str">
        <f t="array" ref="AQ40">IF(AS40&lt;AR40,"&lt;","")</f>
        <v/>
      </c>
      <c r="AR40" s="58">
        <f t="array" ref="AR40">_xlfn.IFNA((INDEX('DMR 001C NEW'!$A$3:$O$9999,MATCH(('001-C DMR'!$AQ$6:$AZ$6&amp;'001-C DMR'!$AQ$10:$AS$10&amp;'001-C DMR'!$B40),('DMR 001C NEW'!$E$3:$E$7246&amp;'DMR 001C NEW'!$B$3:$B$7246&amp;'DMR 001C NEW'!$A$3:$A$7246),0),MATCH('001-C DMR'!$AR$11,'DMR 001C NEW'!$A$2:$O$2,0))),"")</f>
        <v>0.15</v>
      </c>
      <c r="AS40" s="58">
        <f t="array" ref="AS40">_xlfn.IFNA(INDEX('DMR 001C NEW'!$A$3:$O$9999,MATCH(('001-C DMR'!$AQ$6:$AZ$6&amp;'001-C DMR'!$AQ$10:$AS$10&amp;'001-C DMR'!$B40),('DMR 001C NEW'!$E$3:$E$7246&amp;'DMR 001C NEW'!$B$3:$B$7246&amp;'DMR 001C NEW'!$A$3:$A$7246),0),MATCH('001-C DMR'!$AS$11,'DMR 001C NEW'!$A$2:$O$2,0)),"")</f>
        <v>0.96</v>
      </c>
      <c r="AT40" s="58">
        <f t="shared" si="27"/>
        <v>0.96</v>
      </c>
      <c r="AU40" s="57" t="str">
        <f t="array" ref="AU40">IF(AW40&lt;AV40,"&lt;","")</f>
        <v/>
      </c>
      <c r="AV40" s="58">
        <f t="array" ref="AV40">_xlfn.IFNA((INDEX('DMR 001C NEW'!$A$3:$O$9999,MATCH(('001-C DMR'!$AQ$6:$AZ$6&amp;'001-C DMR'!$AU$10&amp;'001-C DMR'!$B40),('DMR 001C NEW'!$E$3:$E$7246&amp;'DMR 001C NEW'!$B$3:$B$7246&amp;'DMR 001C NEW'!$A$3:$A$7246),0),MATCH('001-C DMR'!$AR$11,'DMR 001C NEW'!$A$2:$O$2,0))),"")</f>
        <v>0.15</v>
      </c>
      <c r="AW40" s="58">
        <f t="array" ref="AW40">_xlfn.IFNA(INDEX('DMR 001C NEW'!$A$3:$O$9999,MATCH(('001-C DMR'!$AQ$6:$AZ$6&amp;'001-C DMR'!$AU$10&amp;'001-C DMR'!$B40),('DMR 001C NEW'!$E$3:$E$7246&amp;'DMR 001C NEW'!$B$3:$B$7246&amp;'DMR 001C NEW'!$A$3:$A$7246),0),MATCH('001-C DMR'!$AW$11,'DMR 001C NEW'!$A$2:$O$2,0)),"")</f>
        <v>1.65</v>
      </c>
      <c r="AX40" s="58">
        <f t="shared" si="6"/>
        <v>1.65</v>
      </c>
      <c r="AY40" s="56">
        <f t="array" ref="AY40">IFERROR((($AT40*$EI40)+($AX40*$EJ40))/($EK40),"")</f>
        <v>1.4178449053863291</v>
      </c>
      <c r="AZ40" s="64" t="str">
        <f t="shared" si="31"/>
        <v/>
      </c>
      <c r="BA40" s="279" t="str">
        <f t="array" ref="BA40">_xlfn.IFNA(INDEX('DMR 001C NEW'!$A$3:$O$9999,MATCH(('001-C DMR'!$AQ$6:$AZ$6&amp;'001-C DMR'!BA$10&amp;'001-C DMR'!$B40),('DMR 001C NEW'!$E$3:$E$1112&amp;'DMR 001C NEW'!$B$3:$B$1112&amp;'DMR 001C NEW'!$A$3:$A$1112),0),MATCH('001-C DMR'!$BA$11,'DMR 001C NEW'!$A$2:$O$2,0)),"")</f>
        <v/>
      </c>
      <c r="BB40" s="280" t="str">
        <f t="array" ref="BB40">_xlfn.IFNA(INDEX('DMR 001C NEW'!$A$3:$O$9999,MATCH(('001-C DMR'!$AQ$6:$AZ$6&amp;'001-C DMR'!BB$10&amp;'001-C DMR'!$B40),('DMR 001C NEW'!$E$3:$E$1112&amp;'DMR 001C NEW'!$B$3:$B$1112&amp;'DMR 001C NEW'!$A$3:$A$1112),0),MATCH('001-C DMR'!$BA$11,'DMR 001C NEW'!$A$2:$O$2,0)),"")</f>
        <v/>
      </c>
      <c r="BC40" s="280" t="str">
        <f t="array" ref="BC40">_xlfn.IFNA(INDEX('DMR 001C NEW'!$A$3:$O$9999,MATCH(('001-C DMR'!$AQ$6:$AZ$6&amp;'001-C DMR'!BC$10&amp;'001-C DMR'!$B40),('DMR 001C NEW'!$E$3:$E$1112&amp;'DMR 001C NEW'!$B$3:$B$1112&amp;'DMR 001C NEW'!$A$3:$A$1112),0),MATCH('001-C DMR'!$BA$11,'DMR 001C NEW'!$A$2:$O$2,0)),"")</f>
        <v/>
      </c>
      <c r="BD40" s="280" t="str">
        <f t="array" ref="BD40">_xlfn.IFNA(INDEX('DMR 001C NEW'!$A$3:$O$9999,MATCH(('001-C DMR'!$AQ$6:$AZ$6&amp;'001-C DMR'!BD$10&amp;'001-C DMR'!$B40),('DMR 001C NEW'!$E$3:$E$1112&amp;'DMR 001C NEW'!$B$3:$B$1112&amp;'DMR 001C NEW'!$A$3:$A$1112),0),MATCH('001-C DMR'!$BA$11,'DMR 001C NEW'!$A$2:$O$2,0)),"")</f>
        <v/>
      </c>
      <c r="BE40" s="280" t="str">
        <f t="array" ref="BE40">_xlfn.IFNA(INDEX('DMR 001C NEW'!$A$3:$O$9999,MATCH(('001-C DMR'!$AQ$6:$AZ$6&amp;'001-C DMR'!BE$10&amp;'001-C DMR'!$B40),('DMR 001C NEW'!$E$3:$E$1112&amp;'DMR 001C NEW'!$B$3:$B$1112&amp;'DMR 001C NEW'!$A$3:$A$1112),0),MATCH('001-C DMR'!$BA$11,'DMR 001C NEW'!$A$2:$O$2,0)),"")</f>
        <v/>
      </c>
      <c r="BF40" s="281" t="str">
        <f t="array" ref="BF40">_xlfn.IFNA(INDEX('DMR 001C NEW'!$A$3:$O$9999,MATCH(('001-C DMR'!$AQ$6:$AZ$6&amp;'001-C DMR'!BF$10&amp;'001-C DMR'!$B40),('DMR 001C NEW'!$E$3:$E$1112&amp;'DMR 001C NEW'!$B$3:$B$1112&amp;'DMR 001C NEW'!$A$3:$A$1112),0),MATCH('001-C DMR'!$BA$11,'DMR 001C NEW'!$A$2:$O$2,0)),"")</f>
        <v/>
      </c>
      <c r="BG40" s="57"/>
      <c r="BH40" s="58">
        <f t="array" ref="BH40">_xlfn.IFNA((INDEX('DMR 001C NEW'!$A$3:$O$9999,MATCH(('001-C DMR'!$BG$6&amp;'001-C DMR'!$BG$10&amp;'001-C DMR'!$B40),('DMR 001C NEW'!$E$3:$E$7246&amp;'DMR 001C NEW'!$B$3:$B$7246&amp;'DMR 001C NEW'!$A$3:$A$7246),0),MATCH('001-C DMR'!$BH$11,'DMR 001C NEW'!$A$2:$O$2,0))),"")</f>
        <v>0.06</v>
      </c>
      <c r="BI40" s="58">
        <f t="array" ref="BI40">_xlfn.IFNA(INDEX('DMR 001C NEW'!$A$3:$O$9999,MATCH(('001-C DMR'!$BG$6&amp;'001-C DMR'!$BG$10&amp;'001-C DMR'!$B40),('DMR 001C NEW'!$E$3:$E$7246&amp;'DMR 001C NEW'!$B$3:$B$7246&amp;'DMR 001C NEW'!$A$3:$A$7246),0),MATCH('001-C DMR'!$BI$11,'DMR 001C NEW'!$A$2:$O$2,0)),"")</f>
        <v>5.46</v>
      </c>
      <c r="BJ40" s="58">
        <f t="shared" si="7"/>
        <v>5.46</v>
      </c>
      <c r="BK40" s="57" t="str">
        <f t="shared" si="8"/>
        <v/>
      </c>
      <c r="BL40" s="58">
        <f t="array" ref="BL40">_xlfn.IFNA((INDEX('DMR 001C NEW'!$A$3:$O$9999,MATCH(('001-C DMR'!$BG$6&amp;'001-C DMR'!$BK$10&amp;'001-C DMR'!$B40),('DMR 001C NEW'!$E$3:$E$7246&amp;'DMR 001C NEW'!$B$3:$B$7246&amp;'DMR 001C NEW'!$A$3:$A$7246),0),MATCH('001-C DMR'!$BH$11,'DMR 001C NEW'!$A$2:$O$2,0))),"")</f>
        <v>0.06</v>
      </c>
      <c r="BM40" s="58">
        <f t="array" ref="BM40">_xlfn.IFNA(INDEX('DMR 001C NEW'!$A$3:$O$9999,MATCH(('001-C DMR'!$BG$6&amp;'001-C DMR'!$BK$10&amp;'001-C DMR'!$B40),('DMR 001C NEW'!$E$3:$E$7246&amp;'DMR 001C NEW'!$B$3:$B$7246&amp;'DMR 001C NEW'!$A$3:$A$7246),0),MATCH('001-C DMR'!$BI$11,'DMR 001C NEW'!$A$2:$O$2,0)),"")</f>
        <v>6.05</v>
      </c>
      <c r="BN40" s="58">
        <f t="shared" si="9"/>
        <v>6.05</v>
      </c>
      <c r="BO40" s="56">
        <f t="array" ref="BO40">IFERROR((($BJ40*$EI40)+($BN40*$EJ40))/($EK40),"")</f>
        <v>5.8514905712723682</v>
      </c>
      <c r="BP40" s="64" t="str">
        <f t="shared" si="32"/>
        <v/>
      </c>
      <c r="BQ40" s="280" t="str">
        <f t="array" ref="BQ40">_xlfn.IFNA(INDEX('DMR 001C NEW'!$A$3:$O$999,MATCH(('001-C DMR'!$BG$6&amp;'001-C DMR'!BQ$10&amp;'001-C DMR'!$B40),('DMR 001C NEW'!$E$3:$E$1112&amp;'DMR 001C NEW'!$B$3:$B$1112&amp;'DMR 001C NEW'!$A$3:$A$1112),0),MATCH('001-C DMR'!$BQ$11,'DMR 001C NEW'!$A$2:$O$2,0)),"")</f>
        <v/>
      </c>
      <c r="BR40" s="280" t="str">
        <f t="array" ref="BR40">_xlfn.IFNA(INDEX('DMR 001C NEW'!$A$3:$O$999,MATCH(('001-C DMR'!$BG$6&amp;'001-C DMR'!BR$10&amp;'001-C DMR'!$B40),('DMR 001C NEW'!$E$3:$E$1112&amp;'DMR 001C NEW'!$B$3:$B$1112&amp;'DMR 001C NEW'!$A$3:$A$1112),0),MATCH('001-C DMR'!$BQ$11,'DMR 001C NEW'!$A$2:$O$2,0)),"")</f>
        <v/>
      </c>
      <c r="BS40" s="280" t="str">
        <f t="array" ref="BS40">_xlfn.IFNA(INDEX('DMR 001C NEW'!$A$3:$O$999,MATCH(('001-C DMR'!$BG$6&amp;'001-C DMR'!BS$10&amp;'001-C DMR'!$B40),('DMR 001C NEW'!$E$3:$E$1112&amp;'DMR 001C NEW'!$B$3:$B$1112&amp;'DMR 001C NEW'!$A$3:$A$1112),0),MATCH('001-C DMR'!$BQ$11,'DMR 001C NEW'!$A$2:$O$2,0)),"")</f>
        <v/>
      </c>
      <c r="BT40" s="280" t="str">
        <f t="array" ref="BT40">_xlfn.IFNA(INDEX('DMR 001C NEW'!$A$3:$O$999,MATCH(('001-C DMR'!$BG$6&amp;'001-C DMR'!BT$10&amp;'001-C DMR'!$B40),('DMR 001C NEW'!$E$3:$E$1112&amp;'DMR 001C NEW'!$B$3:$B$1112&amp;'DMR 001C NEW'!$A$3:$A$1112),0),MATCH('001-C DMR'!$BQ$11,'DMR 001C NEW'!$A$2:$O$2,0)),"")</f>
        <v/>
      </c>
      <c r="BU40" s="280" t="str">
        <f t="array" ref="BU40">_xlfn.IFNA(INDEX('DMR 001C NEW'!$A$3:$O$999,MATCH(('001-C DMR'!$BG$6&amp;'001-C DMR'!BU$10&amp;'001-C DMR'!$B40),('DMR 001C NEW'!$E$3:$E$1112&amp;'DMR 001C NEW'!$B$3:$B$1112&amp;'DMR 001C NEW'!$A$3:$A$1112),0),MATCH('001-C DMR'!$BQ$11,'DMR 001C NEW'!$A$2:$O$2,0)),"")</f>
        <v/>
      </c>
      <c r="BV40" s="280" t="str">
        <f t="array" ref="BV40">_xlfn.IFNA(INDEX('DMR 001C NEW'!$A$3:$O$999,MATCH(('001-C DMR'!$BG$6&amp;'001-C DMR'!BV$10&amp;'001-C DMR'!$B40),('DMR 001C NEW'!$E$3:$E$1112&amp;'DMR 001C NEW'!$B$3:$B$1112&amp;'DMR 001C NEW'!$A$3:$A$1112),0),MATCH('001-C DMR'!$BQ$11,'DMR 001C NEW'!$A$2:$O$2,0)),"")</f>
        <v/>
      </c>
      <c r="BW40" s="65"/>
      <c r="BX40" s="65"/>
      <c r="BY40" s="57" t="str">
        <f t="shared" si="10"/>
        <v/>
      </c>
      <c r="BZ40" s="58" t="str">
        <f t="array" ref="BZ40">_xlfn.IFNA((INDEX('DMR 001C NEW'!$A$3:$O$9999,MATCH(('001-C DMR'!$BY$6&amp;'001-C DMR'!$BY$10&amp;'001-C DMR'!$B40),('DMR 001C NEW'!$E$3:$E$7246&amp;'DMR 001C NEW'!$B$3:$B$7246&amp;'DMR 001C NEW'!$A$3:$A$7246),0),MATCH('001-C DMR'!$BZ$11,'DMR 001C NEW'!$A$2:$O$2,0))),"")</f>
        <v/>
      </c>
      <c r="CA40" s="138" t="str">
        <f t="array" ref="CA40">_xlfn.IFNA(INDEX('DMR 001C NEW'!$A$3:$O$9999,MATCH(('001-C DMR'!$BY$6&amp;'001-C DMR'!$BY$10&amp;'001-C DMR'!$B40),('DMR 001C NEW'!$E$3:$E$7246&amp;'DMR 001C NEW'!$B$3:$B$7246&amp;'DMR 001C NEW'!$A$3:$A$7246),0),MATCH('001-C DMR'!$CA$11,'DMR 001C NEW'!$A$2:$O$2,0)),"")</f>
        <v/>
      </c>
      <c r="CB40" s="57" t="str">
        <f t="shared" si="11"/>
        <v/>
      </c>
      <c r="CC40" s="58" t="str">
        <f t="array" ref="CC40">_xlfn.IFNA((INDEX('DMR 001C NEW'!$A$3:$O$9999,MATCH(('001-C DMR'!$BY$6&amp;'001-C DMR'!$CB$10&amp;'001-C DMR'!$B40),('DMR 001C NEW'!$E$3:$E$7246&amp;'DMR 001C NEW'!$B$3:$B$7246&amp;'DMR 001C NEW'!$A$3:$A$7246),0),MATCH('001-C DMR'!$BZ$11,'DMR 001C NEW'!$A$2:$O$2,0))),"")</f>
        <v/>
      </c>
      <c r="CD40" s="138" t="str">
        <f t="array" ref="CD40">_xlfn.IFNA(INDEX('DMR 001C NEW'!$A$3:$O$9999,MATCH(('001-C DMR'!$BY$6&amp;'001-C DMR'!$CB$10&amp;'001-C DMR'!$B40),('DMR 001C NEW'!$E$3:$E$7246&amp;'DMR 001C NEW'!$B$3:$B$7246&amp;'DMR 001C NEW'!$A$3:$A$7246),0),MATCH('001-C DMR'!$CA$11,'DMR 001C NEW'!$A$2:$O$2,0)),"")</f>
        <v/>
      </c>
      <c r="CE40" s="138" t="str">
        <f t="array" ref="CE40">IFERROR((($CA40*$EI40)+($CD40*$EJ40))/($EK40),"")</f>
        <v/>
      </c>
      <c r="CF40" s="64" t="str">
        <f t="shared" si="33"/>
        <v/>
      </c>
      <c r="CG40" s="280" t="str">
        <f t="array" ref="CG40">_xlfn.IFNA(INDEX('DMR 001C NEW'!$A$3:$O$999,MATCH(('001-C DMR'!$BY$6&amp;'001-C DMR'!CG$10&amp;'001-C DMR'!$B40),('DMR 001C NEW'!$E$3:$E$1112&amp;'DMR 001C NEW'!$B$3:$B$1112&amp;'DMR 001C NEW'!$A$3:$A$1112),0),MATCH('001-C DMR'!$CA$11,'DMR 001C NEW'!$A$2:$O$2,0)),"")</f>
        <v/>
      </c>
      <c r="CH40" s="280" t="str">
        <f t="array" ref="CH40">_xlfn.IFNA(INDEX('DMR 001C NEW'!$A$3:$O$999,MATCH(('001-C DMR'!$BY$6&amp;'001-C DMR'!CH$10&amp;'001-C DMR'!$B40),('DMR 001C NEW'!$E$3:$E$1112&amp;'DMR 001C NEW'!$B$3:$B$1112&amp;'DMR 001C NEW'!$A$3:$A$1112),0),MATCH('001-C DMR'!$CA$11,'DMR 001C NEW'!$A$2:$O$2,0)),"")</f>
        <v/>
      </c>
      <c r="CI40" s="280" t="str">
        <f t="array" ref="CI40">_xlfn.IFNA(INDEX('DMR 001C NEW'!$A$3:$O$999,MATCH(('001-C DMR'!$BY$6&amp;'001-C DMR'!CI$10&amp;'001-C DMR'!$B40),('DMR 001C NEW'!$E$3:$E$1112&amp;'DMR 001C NEW'!$B$3:$B$1112&amp;'DMR 001C NEW'!$A$3:$A$1112),0),MATCH('001-C DMR'!$CA$11,'DMR 001C NEW'!$A$2:$O$2,0)),"")</f>
        <v/>
      </c>
      <c r="CJ40" s="280" t="str">
        <f t="array" ref="CJ40">_xlfn.IFNA(INDEX('DMR 001C NEW'!$A$3:$O$999,MATCH(('001-C DMR'!$BY$6&amp;'001-C DMR'!CJ$10&amp;'001-C DMR'!$B40),('DMR 001C NEW'!$E$3:$E$1112&amp;'DMR 001C NEW'!$B$3:$B$1112&amp;'DMR 001C NEW'!$A$3:$A$1112),0),MATCH('001-C DMR'!$CA$11,'DMR 001C NEW'!$A$2:$O$2,0)),"")</f>
        <v/>
      </c>
      <c r="CK40" s="280" t="str">
        <f t="array" ref="CK40">_xlfn.IFNA(INDEX('DMR 001C NEW'!$A$3:$O$999,MATCH(('001-C DMR'!$BY$6&amp;'001-C DMR'!CK$10&amp;'001-C DMR'!$B40),('DMR 001C NEW'!$E$3:$E$1112&amp;'DMR 001C NEW'!$B$3:$B$1112&amp;'DMR 001C NEW'!$A$3:$A$1112),0),MATCH('001-C DMR'!$CA$11,'DMR 001C NEW'!$A$2:$O$2,0)),"")</f>
        <v/>
      </c>
      <c r="CL40" s="280" t="str">
        <f t="array" ref="CL40">_xlfn.IFNA(INDEX('DMR 001C NEW'!$A$3:$O$999,MATCH(('001-C DMR'!$BY$6&amp;'001-C DMR'!CL$10&amp;'001-C DMR'!$B40),('DMR 001C NEW'!$E$3:$E$1112&amp;'DMR 001C NEW'!$B$3:$B$1112&amp;'DMR 001C NEW'!$A$3:$A$1112),0),MATCH('001-C DMR'!$CA$11,'DMR 001C NEW'!$A$2:$O$2,0)),"")</f>
        <v/>
      </c>
      <c r="CM40" s="61" t="str">
        <f t="shared" si="12"/>
        <v/>
      </c>
      <c r="CN40" s="138" t="str">
        <f t="array" ref="CN40">_xlfn.IFNA((INDEX('DMR 001C NEW'!$A$3:$O$9999,MATCH(('001-C DMR'!$CM$6&amp;'001-C DMR'!$CM$10&amp;'001-C DMR'!$B40),('DMR 001C NEW'!$E$3:$E$9018&amp;'DMR 001C NEW'!$B$3:$B$9018&amp;'DMR 001C NEW'!$A$3:$A$9018),0),MATCH('001-C DMR'!$CN$11,'DMR 001C NEW'!$A$2:$O$2,0))*1000),"")</f>
        <v/>
      </c>
      <c r="CO40" s="138" t="str">
        <f t="array" ref="CO40">_xlfn.IFNA(INDEX('DMR 001C NEW'!$A$3:$O$9999,MATCH(('001-C DMR'!$CM$6&amp;'001-C DMR'!$CM$10&amp;'001-C DMR'!$B40),('DMR 001C NEW'!$E$3:$E$9018&amp;'DMR 001C NEW'!$B$3:$B$9018&amp;'DMR 001C NEW'!$A$3:$A$9018),0),MATCH('001-C DMR'!$CO$11,'DMR 001C NEW'!$A$2:$O$2,0))*1000,"")</f>
        <v/>
      </c>
      <c r="CP40" s="138" t="str">
        <f t="shared" si="13"/>
        <v/>
      </c>
      <c r="CQ40" s="64" t="str">
        <f t="shared" si="34"/>
        <v/>
      </c>
      <c r="CR40" s="280" t="str">
        <f t="array" ref="CR40">_xlfn.IFNA(INDEX('DMR 001C NEW'!$A$3:$O$999,MATCH(('001-C DMR'!$CM$6&amp;'001-C DMR'!CR$10&amp;'001-C DMR'!$B40),('DMR 001C NEW'!$E$3:$E$1112&amp;'DMR 001C NEW'!$B$3:$B$1112&amp;'DMR 001C NEW'!$A$3:$A$1112),0),MATCH('001-C DMR'!$CO$11,'DMR 001C NEW'!$A$2:$O$2,0)),"")</f>
        <v/>
      </c>
      <c r="CS40" s="280" t="str">
        <f t="array" ref="CS40">_xlfn.IFNA(INDEX('DMR 001C NEW'!$A$3:$O$999,MATCH(('001-C DMR'!$CM$6&amp;'001-C DMR'!CS$10&amp;'001-C DMR'!$B40),('DMR 001C NEW'!$E$3:$E$1112&amp;'DMR 001C NEW'!$B$3:$B$1112&amp;'DMR 001C NEW'!$A$3:$A$1112),0),MATCH('001-C DMR'!$CO$11,'DMR 001C NEW'!$A$2:$O$2,0)),"")</f>
        <v/>
      </c>
      <c r="CT40" s="280" t="str">
        <f t="array" ref="CT40">_xlfn.IFNA(INDEX('DMR 001C NEW'!$A$3:$O$999,MATCH(('001-C DMR'!$CM$6&amp;'001-C DMR'!CT$10&amp;'001-C DMR'!$B40),('DMR 001C NEW'!$E$3:$E$1112&amp;'DMR 001C NEW'!$B$3:$B$1112&amp;'DMR 001C NEW'!$A$3:$A$1112),0),MATCH('001-C DMR'!$CO$11,'DMR 001C NEW'!$A$2:$O$2,0)),"")</f>
        <v/>
      </c>
      <c r="CU40" s="280" t="str">
        <f t="array" ref="CU40">_xlfn.IFNA(INDEX('DMR 001C NEW'!$A$3:$O$999,MATCH(('001-C DMR'!$CM$6&amp;'001-C DMR'!CU$10&amp;'001-C DMR'!$B40),('DMR 001C NEW'!$E$3:$E$1112&amp;'DMR 001C NEW'!$B$3:$B$1112&amp;'DMR 001C NEW'!$A$3:$A$1112),0),MATCH('001-C DMR'!$CO$11,'DMR 001C NEW'!$A$2:$O$2,0)),"")</f>
        <v/>
      </c>
      <c r="CV40" s="280" t="str">
        <f t="array" ref="CV40">_xlfn.IFNA(INDEX('DMR 001C NEW'!$A$3:$O$999,MATCH(('001-C DMR'!$CM$6&amp;'001-C DMR'!CV$10&amp;'001-C DMR'!$B40),('DMR 001C NEW'!$E$3:$E$1112&amp;'DMR 001C NEW'!$B$3:$B$1112&amp;'DMR 001C NEW'!$A$3:$A$1112),0),MATCH('001-C DMR'!$CO$11,'DMR 001C NEW'!$A$2:$O$2,0)),"")</f>
        <v/>
      </c>
      <c r="CW40" s="280" t="str">
        <f t="array" ref="CW40">_xlfn.IFNA(INDEX('DMR 001C NEW'!$A$3:$O$999,MATCH(('001-C DMR'!$CM$6&amp;'001-C DMR'!CW$10&amp;'001-C DMR'!$B40),('DMR 001C NEW'!$E$3:$E$1112&amp;'DMR 001C NEW'!$B$3:$B$1112&amp;'DMR 001C NEW'!$A$3:$A$1112),0),MATCH('001-C DMR'!$CO$11,'DMR 001C NEW'!$A$2:$O$2,0)),"")</f>
        <v/>
      </c>
      <c r="CX40" s="280" t="str">
        <f t="array" ref="CX40">_xlfn.IFNA(INDEX('DMR 001C NEW'!$A$3:$O$999,MATCH(('001-C DMR'!$CM$6&amp;'001-C DMR'!CX$10&amp;'001-C DMR'!$B40),('DMR 001C NEW'!$E$3:$E$1112&amp;'DMR 001C NEW'!$B$3:$B$1112&amp;'DMR 001C NEW'!$A$3:$A$1112),0),MATCH('001-C DMR'!$CO$11,'DMR 001C NEW'!$A$2:$O$2,0)),"")</f>
        <v/>
      </c>
      <c r="CY40" s="61" t="str">
        <f t="shared" si="14"/>
        <v/>
      </c>
      <c r="CZ40" s="138" t="str">
        <f t="array" ref="CZ40">_xlfn.IFNA((INDEX('DMR 001C NEW'!$A$3:$O$9999,MATCH(('001-C DMR'!$CY$6&amp;'001-C DMR'!$CY$10&amp;'001-C DMR'!$B40),('DMR 001C NEW'!$E$3:$E$9018&amp;'DMR 001C NEW'!$B$3:$B$9018&amp;'DMR 001C NEW'!$A$3:$A$9018),0),MATCH('001-C DMR'!$CZ$11,'DMR 001C NEW'!$A$2:$O$2,0))*1000),"")</f>
        <v/>
      </c>
      <c r="DA40" s="138" t="str">
        <f t="array" ref="DA40">_xlfn.IFNA(INDEX('DMR 001C NEW'!$A$3:$O$9999,MATCH(('001-C DMR'!$CY$6&amp;'001-C DMR'!$CY$10&amp;'001-C DMR'!$B40),('DMR 001C NEW'!$E$3:$E$9018&amp;'DMR 001C NEW'!$B$3:$B$9018&amp;'DMR 001C NEW'!$A$3:$A$9018),0),MATCH('001-C DMR'!$DA$11,'DMR 001C NEW'!$A$2:$O$2,0))*1000,"")</f>
        <v/>
      </c>
      <c r="DB40" s="138" t="str">
        <f t="shared" si="15"/>
        <v/>
      </c>
      <c r="DC40" s="64" t="str">
        <f t="shared" si="35"/>
        <v/>
      </c>
      <c r="DD40" s="280" t="str">
        <f t="array" ref="DD40">_xlfn.IFNA(INDEX('DMR 001C NEW'!$A$3:$O$999,MATCH(('001-C DMR'!$CY$6&amp;'001-C DMR'!DD$10&amp;'001-C DMR'!$B40),('DMR 001C NEW'!$E$3:$E$1112&amp;'DMR 001C NEW'!$B$3:$B$1112&amp;'DMR 001C NEW'!$A$3:$A$1112),0),MATCH('001-C DMR'!$DA$11,'DMR 001C NEW'!$A$2:$O$2,0)),"")</f>
        <v/>
      </c>
      <c r="DE40" s="280" t="str">
        <f t="array" ref="DE40">_xlfn.IFNA(INDEX('DMR 001C NEW'!$A$3:$O$999,MATCH(('001-C DMR'!$CY$6&amp;'001-C DMR'!DE$10&amp;'001-C DMR'!$B40),('DMR 001C NEW'!$E$3:$E$1112&amp;'DMR 001C NEW'!$B$3:$B$1112&amp;'DMR 001C NEW'!$A$3:$A$1112),0),MATCH('001-C DMR'!$DA$11,'DMR 001C NEW'!$A$2:$O$2,0)),"")</f>
        <v/>
      </c>
      <c r="DF40" s="280" t="str">
        <f t="array" ref="DF40">_xlfn.IFNA(INDEX('DMR 001C NEW'!$A$3:$O$999,MATCH(('001-C DMR'!$CY$6&amp;'001-C DMR'!DF$10&amp;'001-C DMR'!$B40),('DMR 001C NEW'!$E$3:$E$1112&amp;'DMR 001C NEW'!$B$3:$B$1112&amp;'DMR 001C NEW'!$A$3:$A$1112),0),MATCH('001-C DMR'!$DA$11,'DMR 001C NEW'!$A$2:$O$2,0)),"")</f>
        <v/>
      </c>
      <c r="DG40" s="280" t="str">
        <f t="array" ref="DG40">_xlfn.IFNA(INDEX('DMR 001C NEW'!$A$3:$O$999,MATCH(('001-C DMR'!$CY$6&amp;'001-C DMR'!DG$10&amp;'001-C DMR'!$B40),('DMR 001C NEW'!$E$3:$E$1112&amp;'DMR 001C NEW'!$B$3:$B$1112&amp;'DMR 001C NEW'!$A$3:$A$1112),0),MATCH('001-C DMR'!$DA$11,'DMR 001C NEW'!$A$2:$O$2,0)),"")</f>
        <v/>
      </c>
      <c r="DH40" s="280" t="str">
        <f t="array" ref="DH40">_xlfn.IFNA(INDEX('DMR 001C NEW'!$A$3:$O$999,MATCH(('001-C DMR'!$CY$6&amp;'001-C DMR'!DH$10&amp;'001-C DMR'!$B40),('DMR 001C NEW'!$E$3:$E$1112&amp;'DMR 001C NEW'!$B$3:$B$1112&amp;'DMR 001C NEW'!$A$3:$A$1112),0),MATCH('001-C DMR'!$DA$11,'DMR 001C NEW'!$A$2:$O$2,0)),"")</f>
        <v/>
      </c>
      <c r="DI40" s="280" t="str">
        <f t="array" ref="DI40">_xlfn.IFNA(INDEX('DMR 001C NEW'!$A$3:$O$999,MATCH(('001-C DMR'!$CY$6&amp;'001-C DMR'!DI$10&amp;'001-C DMR'!$B40),('DMR 001C NEW'!$E$3:$E$1112&amp;'DMR 001C NEW'!$B$3:$B$1112&amp;'DMR 001C NEW'!$A$3:$A$1112),0),MATCH('001-C DMR'!$DA$11,'DMR 001C NEW'!$A$2:$O$2,0)),"")</f>
        <v/>
      </c>
      <c r="DJ40" s="280" t="str">
        <f t="array" ref="DJ40">_xlfn.IFNA(INDEX('DMR 001C NEW'!$A$3:$O$999,MATCH(('001-C DMR'!$CY$6&amp;'001-C DMR'!DJ$10&amp;'001-C DMR'!$B40),('DMR 001C NEW'!$E$3:$E$1112&amp;'DMR 001C NEW'!$B$3:$B$1112&amp;'DMR 001C NEW'!$A$3:$A$1112),0),MATCH('001-C DMR'!$DA$11,'DMR 001C NEW'!$A$2:$O$2,0)),"")</f>
        <v/>
      </c>
      <c r="DK40" s="61" t="str">
        <f t="shared" si="16"/>
        <v/>
      </c>
      <c r="DL40" s="58" t="str">
        <f t="array" ref="DL40">_xlfn.IFNA((INDEX('DMR 001C NEW'!$A$3:$O$9999,MATCH(('001-C DMR'!$DK$6&amp;'001-C DMR'!$DK$10&amp;'001-C DMR'!$B40),('DMR 001C NEW'!$E$3:$E$9018&amp;'DMR 001C NEW'!$B$3:$B$9018&amp;'DMR 001C NEW'!$A$3:$A$9018),0),MATCH('001-C DMR'!$DL$11,'DMR 001C NEW'!$A$2:$O$2,0))),"")</f>
        <v/>
      </c>
      <c r="DM40" s="58" t="str">
        <f t="array" ref="DM40">_xlfn.IFNA(INDEX('DMR 001C NEW'!$A$3:$O$9999,MATCH(('001-C DMR'!$DK$6&amp;'001-C DMR'!$DK$10&amp;'001-C DMR'!$B40),('DMR 001C NEW'!$E$3:$E$9018&amp;'DMR 001C NEW'!$B$3:$B$9018&amp;'DMR 001C NEW'!$A$3:$A$9018),0),MATCH('001-C DMR'!$DM$11,'DMR 001C NEW'!$A$2:$O$2,0)),"")</f>
        <v/>
      </c>
      <c r="DN40" s="58" t="str">
        <f t="shared" si="17"/>
        <v/>
      </c>
      <c r="DO40" s="223"/>
      <c r="DP40" s="224"/>
      <c r="DQ40" s="64" t="str">
        <f t="shared" si="18"/>
        <v/>
      </c>
      <c r="DR40" s="280" t="str">
        <f t="array" ref="DR40">_xlfn.IFNA(INDEX('DMR 001C NEW'!$A$3:$O$999,MATCH(('001-C DMR'!$DK$6&amp;'001-C DMR'!DR$10&amp;'001-C DMR'!$B40),('DMR 001C NEW'!$E$3:$E$1112&amp;'DMR 001C NEW'!$B$3:$B$1112&amp;'DMR 001C NEW'!$A$3:$A$1112),0),MATCH('001-C DMR'!$DR$11,'DMR 001C NEW'!$A$2:$O$2,0)),"")</f>
        <v/>
      </c>
      <c r="DS40" s="280" t="str">
        <f t="array" ref="DS40">_xlfn.IFNA(INDEX('DMR 001C NEW'!$A$3:$O$999,MATCH(('001-C DMR'!$DK$6&amp;'001-C DMR'!DS$10&amp;'001-C DMR'!$B40),('DMR 001C NEW'!$E$3:$E$1112&amp;'DMR 001C NEW'!$B$3:$B$1112&amp;'DMR 001C NEW'!$A$3:$A$1112),0),MATCH('001-C DMR'!$DR$11,'DMR 001C NEW'!$A$2:$O$2,0)),"")</f>
        <v/>
      </c>
      <c r="DT40" s="280" t="str">
        <f t="array" ref="DT40">_xlfn.IFNA(INDEX('DMR 001C NEW'!$A$3:$O$999,MATCH(('001-C DMR'!$DK$6&amp;'001-C DMR'!DT$10&amp;'001-C DMR'!$B40),('DMR 001C NEW'!$E$3:$E$1112&amp;'DMR 001C NEW'!$B$3:$B$1112&amp;'DMR 001C NEW'!$A$3:$A$1112),0),MATCH('001-C DMR'!$DR$11,'DMR 001C NEW'!$A$2:$O$2,0)),"")</f>
        <v/>
      </c>
      <c r="DU40" s="280" t="str">
        <f t="array" ref="DU40">_xlfn.IFNA(INDEX('DMR 001C NEW'!$A$3:$O$999,MATCH(('001-C DMR'!$DK$6&amp;'001-C DMR'!DU$10&amp;'001-C DMR'!$B40),('DMR 001C NEW'!$E$3:$E$1112&amp;'DMR 001C NEW'!$B$3:$B$1112&amp;'DMR 001C NEW'!$A$3:$A$1112),0),MATCH('001-C DMR'!$DR$11,'DMR 001C NEW'!$A$2:$O$2,0)),"")</f>
        <v/>
      </c>
      <c r="DV40" s="280" t="str">
        <f t="array" ref="DV40">_xlfn.IFNA(INDEX('DMR 001C NEW'!$A$3:$O$999,MATCH(('001-C DMR'!$DK$6&amp;'001-C DMR'!DV$10&amp;'001-C DMR'!$B40),('DMR 001C NEW'!$E$3:$E$1112&amp;'DMR 001C NEW'!$B$3:$B$1112&amp;'DMR 001C NEW'!$A$3:$A$1112),0),MATCH('001-C DMR'!$DR$11,'DMR 001C NEW'!$A$2:$O$2,0)),"")</f>
        <v/>
      </c>
      <c r="DW40" s="280" t="str">
        <f t="array" ref="DW40">_xlfn.IFNA(INDEX('DMR 001C NEW'!$A$3:$O$999,MATCH(('001-C DMR'!$DK$6&amp;'001-C DMR'!DW$10&amp;'001-C DMR'!$B40),('DMR 001C NEW'!$E$3:$E$1112&amp;'DMR 001C NEW'!$B$3:$B$1112&amp;'DMR 001C NEW'!$A$3:$A$1112),0),MATCH('001-C DMR'!$DR$11,'DMR 001C NEW'!$A$2:$O$2,0)),"")</f>
        <v/>
      </c>
      <c r="DX40" s="280" t="str">
        <f t="array" ref="DX40">_xlfn.IFNA(INDEX('DMR 001C NEW'!$A$3:$O$999,MATCH(('001-C DMR'!$DK$6&amp;'001-C DMR'!DX$10&amp;'001-C DMR'!$B40),('DMR 001C NEW'!$E$3:$E$1112&amp;'DMR 001C NEW'!$B$3:$B$1112&amp;'DMR 001C NEW'!$A$3:$A$1112),0),MATCH('001-C DMR'!$DR$11,'DMR 001C NEW'!$A$2:$O$2,0)),"")</f>
        <v/>
      </c>
      <c r="DY40" s="61" t="str">
        <f t="shared" si="28"/>
        <v/>
      </c>
      <c r="DZ40" s="249" t="str">
        <f t="array" ref="DZ40">_xlfn.IFNA((INDEX('DMR 001C NEW'!$A$3:$O$9999,MATCH(('001-C DMR'!$DY$6&amp;'001-C DMR'!$DY$10&amp;'001-C DMR'!$B40),('DMR 001C NEW'!$E$3:$E$9018&amp;'DMR 001C NEW'!$B$3:$B$9018&amp;'DMR 001C NEW'!$A$3:$A$9018),0),MATCH('001-C DMR'!$DZ$11,'DMR 001C NEW'!$A$2:$O$2,0))),"")</f>
        <v/>
      </c>
      <c r="EA40" s="249" t="str">
        <f t="array" ref="EA40">_xlfn.IFNA((INDEX('DMR 001C NEW'!$A$3:$O$9999,MATCH(('001-C DMR'!$DY$6&amp;'001-C DMR'!$DY$10&amp;'001-C DMR'!$B40),('DMR 001C NEW'!$E$3:$E$9018&amp;'DMR 001C NEW'!$B$3:$B$9018&amp;'DMR 001C NEW'!$A$3:$A$9018),0),MATCH('001-C DMR'!$EA$11,'DMR 001C NEW'!$A$2:$O$2,0))),"")</f>
        <v/>
      </c>
      <c r="EB40" s="249" t="str">
        <f t="array" ref="EB40">IF(EA40="SCRATCHED","",IF(EA40&lt;DZ40,0,EA40))</f>
        <v/>
      </c>
      <c r="EC40" s="249" t="str">
        <f t="shared" si="29"/>
        <v/>
      </c>
      <c r="ED40" s="249" t="str">
        <f t="array" ref="ED40">_xlfn.IFNA((INDEX('DMR 001C NEW'!$A$3:$O$9999,MATCH(('001-C DMR'!$DY$6&amp;'001-C DMR'!$EC$10&amp;'001-C DMR'!$B40),('DMR 001C NEW'!$E$3:$E$9018&amp;'DMR 001C NEW'!$B$3:$B$9018&amp;'DMR 001C NEW'!$A$3:$A$9018),0),MATCH('001-C DMR'!$DZ$11,'DMR 001C NEW'!$A$2:$O$2,0))),"")</f>
        <v/>
      </c>
      <c r="EE40" s="249" t="str">
        <f t="array" ref="EE40">_xlfn.IFNA((INDEX('DMR 001C NEW'!$A$3:$O$9999,MATCH(('001-C DMR'!$DY$6&amp;'001-C DMR'!$EC$10&amp;'001-C DMR'!$B40),('DMR 001C NEW'!$E$3:$E$9018&amp;'DMR 001C NEW'!$B$3:$B$9018&amp;'DMR 001C NEW'!$A$3:$A$9018),0),MATCH('001-C DMR'!$EE$11,'DMR 001C NEW'!$A$2:$O$2,0))),"")</f>
        <v/>
      </c>
      <c r="EF40" s="249" t="str">
        <f t="array" ref="EF40">IF(EE40="SCRATCHED","",IF(EE40&lt;ED40,0,EE40))</f>
        <v/>
      </c>
      <c r="EG40" s="249"/>
      <c r="EH40" s="195"/>
      <c r="EI40" s="194">
        <f t="array" ref="EI40">_xlfn.IFNA(INDEX('DMR Flows-Effluent'!$A$3:$F$186,MATCH(($EI$10&amp;$B40),('DMR Flows-Effluent'!$B$3:$B$186&amp;'DMR Flows-Effluent'!$A$3:$A$186),0),MATCH($EI$8,'DMR Flows-Effluent'!$A$2:$F$2,0)),"")</f>
        <v>41.2331</v>
      </c>
      <c r="EJ40" s="56">
        <f t="array" ref="EJ40">_xlfn.IFNA(INDEX('DMR Flows-Effluent'!$A$3:$F$186,MATCH(($EJ$10&amp;$B40),('DMR Flows-Effluent'!$B$3:$B$186&amp;'DMR Flows-Effluent'!$A$3:$A$186),0),MATCH($EI$8,'DMR Flows-Effluent'!$A$2:$F$2,0)),"")</f>
        <v>81.317899999999995</v>
      </c>
      <c r="EK40" s="168">
        <f t="shared" si="19"/>
        <v>122.55099999999999</v>
      </c>
      <c r="EL40" s="63"/>
      <c r="EM40" s="63"/>
      <c r="EN40" s="63"/>
      <c r="EO40" s="63"/>
      <c r="EP40" s="62"/>
      <c r="EQ40" s="157">
        <f>'E.Coli Calculations'!R34</f>
        <v>96.330226184952522</v>
      </c>
      <c r="ER40" s="56" t="str">
        <f>'E.Coli Calculations'!S34</f>
        <v/>
      </c>
      <c r="ES40" s="64" t="str">
        <f t="shared" si="36"/>
        <v/>
      </c>
      <c r="ET40" s="61" t="str">
        <f t="shared" si="20"/>
        <v/>
      </c>
      <c r="EU40" s="58" t="str">
        <f t="array" ref="EU40">_xlfn.IFNA((INDEX('DMR 001C NEW'!$A$3:$O$9999,MATCH(('001-C DMR'!$ET$6&amp;'001-C DMR'!$ET$10&amp;'001-C DMR'!$B40),('DMR 001C NEW'!$E$3:$E$9018&amp;'DMR 001C NEW'!$B$3:$B$9018&amp;'DMR 001C NEW'!$A$3:$A$9018),0),MATCH('001-C DMR'!$EU$11,'DMR 001C NEW'!$A$2:$O$2,0))),"")</f>
        <v/>
      </c>
      <c r="EV40" s="58" t="str">
        <f t="array" ref="EV40">_xlfn.IFNA(INDEX('DMR 001C NEW'!$A$3:$O$9999,MATCH(('001-C DMR'!$ET$6&amp;'001-C DMR'!$ET$10&amp;'001-C DMR'!$B40),('DMR 001C NEW'!$E$3:$E$9018&amp;'DMR 001C NEW'!$B$3:$B$9018&amp;'DMR 001C NEW'!$A$3:$A$9018),0),MATCH('001-C DMR'!$EV$11,'DMR 001C NEW'!$A$2:$O$2,0)),"")</f>
        <v/>
      </c>
      <c r="EW40" s="56" t="str">
        <f t="shared" si="21"/>
        <v/>
      </c>
      <c r="EX40" s="64"/>
      <c r="EY40" s="279" t="str">
        <f t="array" ref="EY40">_xlfn.IFNA(INDEX('DMR 001C NEW'!$A$3:$O$999,MATCH(('001-C DMR'!$ET$6&amp;'001-C DMR'!EY$10&amp;'001-C DMR'!$B40),('DMR 001C NEW'!$E$3:$E$1112&amp;'DMR 001C NEW'!$B$3:$B$1112&amp;'DMR 001C NEW'!$A$3:$A$1112),0),MATCH('001-C DMR'!$EY$11,'DMR 001C NEW'!$A$2:$O$2,0)),"")</f>
        <v/>
      </c>
      <c r="EZ40" s="280" t="str">
        <f t="array" ref="EZ40">_xlfn.IFNA(INDEX('DMR 001C NEW'!$A$3:$O$999,MATCH(('001-C DMR'!$ET$6&amp;'001-C DMR'!EZ$10&amp;'001-C DMR'!$B40),('DMR 001C NEW'!$E$3:$E$1112&amp;'DMR 001C NEW'!$B$3:$B$1112&amp;'DMR 001C NEW'!$A$3:$A$1112),0),MATCH('001-C DMR'!$EY$11,'DMR 001C NEW'!$A$2:$O$2,0)),"")</f>
        <v/>
      </c>
      <c r="FA40" s="280" t="str">
        <f t="array" ref="FA40">_xlfn.IFNA(INDEX('DMR 001C NEW'!$A$3:$O$999,MATCH(('001-C DMR'!$ET$6&amp;'001-C DMR'!FA$10&amp;'001-C DMR'!$B40),('DMR 001C NEW'!$E$3:$E$1112&amp;'DMR 001C NEW'!$B$3:$B$1112&amp;'DMR 001C NEW'!$A$3:$A$1112),0),MATCH('001-C DMR'!$EY$11,'DMR 001C NEW'!$A$2:$O$2,0)),"")</f>
        <v/>
      </c>
      <c r="FB40" s="280" t="str">
        <f t="array" ref="FB40">_xlfn.IFNA(INDEX('DMR 001C NEW'!$A$3:$O$999,MATCH(('001-C DMR'!$ET$6&amp;'001-C DMR'!FB$10&amp;'001-C DMR'!$B40),('DMR 001C NEW'!$E$3:$E$1112&amp;'DMR 001C NEW'!$B$3:$B$1112&amp;'DMR 001C NEW'!$A$3:$A$1112),0),MATCH('001-C DMR'!$EY$11,'DMR 001C NEW'!$A$2:$O$2,0)),"")</f>
        <v/>
      </c>
      <c r="FC40" s="280" t="str">
        <f t="array" ref="FC40">_xlfn.IFNA(INDEX('DMR 001C NEW'!$A$3:$O$999,MATCH(('001-C DMR'!$ET$6&amp;'001-C DMR'!FC$10&amp;'001-C DMR'!$B40),('DMR 001C NEW'!$E$3:$E$1112&amp;'DMR 001C NEW'!$B$3:$B$1112&amp;'DMR 001C NEW'!$A$3:$A$1112),0),MATCH('001-C DMR'!$EY$11,'DMR 001C NEW'!$A$2:$O$2,0)),"")</f>
        <v/>
      </c>
      <c r="FD40" s="280" t="str">
        <f t="array" ref="FD40">_xlfn.IFNA(INDEX('DMR 001C NEW'!$A$3:$O$999,MATCH(('001-C DMR'!$ET$6&amp;'001-C DMR'!FD$10&amp;'001-C DMR'!$B40),('DMR 001C NEW'!$E$3:$E$1112&amp;'DMR 001C NEW'!$B$3:$B$1112&amp;'DMR 001C NEW'!$A$3:$A$1112),0),MATCH('001-C DMR'!$EY$11,'DMR 001C NEW'!$A$2:$O$2,0)),"")</f>
        <v/>
      </c>
      <c r="FE40" s="281" t="str">
        <f t="array" ref="FE40">_xlfn.IFNA(INDEX('DMR 001C NEW'!$A$3:$O$999,MATCH(('001-C DMR'!$ET$6&amp;'001-C DMR'!FE$10&amp;'001-C DMR'!$B40),('DMR 001C NEW'!$E$3:$E$1112&amp;'DMR 001C NEW'!$B$3:$B$1112&amp;'DMR 001C NEW'!$A$3:$A$1112),0),MATCH('001-C DMR'!$EY$11,'DMR 001C NEW'!$A$2:$O$2,0)),"")</f>
        <v/>
      </c>
      <c r="FF40" s="57" t="str">
        <f t="shared" si="22"/>
        <v/>
      </c>
      <c r="FG40" s="56">
        <f t="array" ref="FG40">_xlfn.IFNA(INDEX('DMR 001C NEW'!$A$3:$O$9999,MATCH(('001-C DMR'!$FF$6&amp;'001-C DMR'!$FF$10&amp;'001-C DMR'!$B40),('DMR 001C NEW'!$E$3:$E$7246&amp;'DMR 001C NEW'!$B$3:$B$7246&amp;'DMR 001C NEW'!$A$3:$A$7246),0),MATCH('001-C DMR'!$FG$11,'DMR 001C NEW'!$A$2:$O$2,0)),"")</f>
        <v>0</v>
      </c>
      <c r="FH40" s="56">
        <f t="array" ref="FH40">_xlfn.IFNA(INDEX('DMR 001C NEW'!$A$3:$O$9999,MATCH(('001-C DMR'!$FF$6&amp;'001-C DMR'!$FF$10&amp;'001-C DMR'!$B40),('DMR 001C NEW'!$E$3:$E$7246&amp;'DMR 001C NEW'!$B$3:$B$7246&amp;'DMR 001C NEW'!$A$3:$A$7246),0),MATCH('001-C DMR'!$FH$11,'DMR 001C NEW'!$A$2:$O$2,0)),"")</f>
        <v>4</v>
      </c>
      <c r="FI40" s="57" t="str">
        <f t="shared" si="23"/>
        <v/>
      </c>
      <c r="FJ40" s="56">
        <f t="array" ref="FJ40">_xlfn.IFNA(INDEX('DMR 001C NEW'!$A$3:$O$9999,MATCH(('001-C DMR'!$FF$6&amp;'001-C DMR'!$FI$10&amp;'001-C DMR'!$B40),('DMR 001C NEW'!$E$3:$E$7246&amp;'DMR 001C NEW'!$B$3:$B$7246&amp;'DMR 001C NEW'!$A$3:$A$7246),0),MATCH('001-C DMR'!$FG$11,'DMR 001C NEW'!$A$2:$O$2,0)),"")</f>
        <v>0</v>
      </c>
      <c r="FK40" s="56">
        <f t="array" ref="FK40">_xlfn.IFNA(INDEX('DMR 001C NEW'!$A$3:$O$9999,MATCH(('001-C DMR'!$FF$6&amp;'001-C DMR'!$FI$10&amp;'001-C DMR'!$B40),('DMR 001C NEW'!$E$3:$E$7246&amp;'DMR 001C NEW'!$B$3:$B$7246&amp;'DMR 001C NEW'!$A$3:$A$7246),0),MATCH('001-C DMR'!$FH$11,'DMR 001C NEW'!$A$2:$O$2,0)),"")</f>
        <v>5</v>
      </c>
      <c r="FL40" s="56">
        <f t="array" ref="FL40">IFERROR((($FH40*$EI40)+($FK40*$EJ40))/($EK40),"")</f>
        <v>4.663543341139607</v>
      </c>
      <c r="FM40" s="56" t="str">
        <f t="shared" si="43"/>
        <v/>
      </c>
      <c r="FN40" s="64" t="str">
        <f t="shared" si="37"/>
        <v/>
      </c>
      <c r="FO40" s="66"/>
      <c r="FP40" s="280" t="str">
        <f t="array" ref="FP40">_xlfn.IFNA(INDEX('DMR 001C NEW'!$A$3:$O$999,MATCH(('001-C DMR'!$FF$6&amp;'001-C DMR'!FP$10&amp;'001-C DMR'!$B40),('DMR 001C NEW'!$E$3:$E$1112&amp;'DMR 001C NEW'!$B$3:$B$1112&amp;'DMR 001C NEW'!$A$3:$A$1112),0),MATCH('001-C DMR'!$FH$11,'DMR 001C NEW'!$A$2:$O$2,0)),"")</f>
        <v/>
      </c>
      <c r="FQ40" s="280" t="str">
        <f t="array" ref="FQ40">_xlfn.IFNA(INDEX('DMR 001C NEW'!$A$3:$O$999,MATCH(('001-C DMR'!$FF$6&amp;'001-C DMR'!FQ$10&amp;'001-C DMR'!$B40),('DMR 001C NEW'!$E$3:$E$1112&amp;'DMR 001C NEW'!$B$3:$B$1112&amp;'DMR 001C NEW'!$A$3:$A$1112),0),MATCH('001-C DMR'!$FH$11,'DMR 001C NEW'!$A$2:$O$2,0)),"")</f>
        <v/>
      </c>
      <c r="FR40" s="280" t="str">
        <f t="array" ref="FR40">_xlfn.IFNA(INDEX('DMR 001C NEW'!$A$3:$O$999,MATCH(('001-C DMR'!$FF$6&amp;'001-C DMR'!FR$10&amp;'001-C DMR'!$B40),('DMR 001C NEW'!$E$3:$E$1112&amp;'DMR 001C NEW'!$B$3:$B$1112&amp;'DMR 001C NEW'!$A$3:$A$1112),0),MATCH('001-C DMR'!$FH$11,'DMR 001C NEW'!$A$2:$O$2,0)),"")</f>
        <v/>
      </c>
      <c r="FS40" s="280" t="str">
        <f t="array" ref="FS40">_xlfn.IFNA(INDEX('DMR 001C NEW'!$A$3:$O$999,MATCH(('001-C DMR'!$FF$6&amp;'001-C DMR'!FS$10&amp;'001-C DMR'!$B40),('DMR 001C NEW'!$E$3:$E$1112&amp;'DMR 001C NEW'!$B$3:$B$1112&amp;'DMR 001C NEW'!$A$3:$A$1112),0),MATCH('001-C DMR'!$FH$11,'DMR 001C NEW'!$A$2:$O$2,0)),"")</f>
        <v/>
      </c>
      <c r="FT40" s="280" t="str">
        <f t="array" ref="FT40">_xlfn.IFNA(INDEX('DMR 001C NEW'!$A$3:$O$999,MATCH(('001-C DMR'!$FF$6&amp;'001-C DMR'!FT$10&amp;'001-C DMR'!$B40),('DMR 001C NEW'!$E$3:$E$1112&amp;'DMR 001C NEW'!$B$3:$B$1112&amp;'DMR 001C NEW'!$A$3:$A$1112),0),MATCH('001-C DMR'!$FH$11,'DMR 001C NEW'!$A$2:$O$2,0)),"")</f>
        <v/>
      </c>
      <c r="FU40" s="280" t="str">
        <f t="array" ref="FU40">_xlfn.IFNA(INDEX('DMR 001C NEW'!$A$3:$O$999,MATCH(('001-C DMR'!$FF$6&amp;'001-C DMR'!FU$10&amp;'001-C DMR'!$B40),('DMR 001C NEW'!$E$3:$E$1112&amp;'DMR 001C NEW'!$B$3:$B$1112&amp;'DMR 001C NEW'!$A$3:$A$1112),0),MATCH('001-C DMR'!$FH$11,'DMR 001C NEW'!$A$2:$O$2,0)),"")</f>
        <v/>
      </c>
      <c r="FV40" s="66"/>
      <c r="FW40" s="61" t="str">
        <f t="shared" si="24"/>
        <v/>
      </c>
      <c r="FX40" s="58" t="str">
        <f t="array" ref="FX40">_xlfn.IFNA(INDEX('DMR 001C NEW'!$A$3:$O$9999,MATCH(('001-C DMR'!$FW$6&amp;'001-C DMR'!$FW$10&amp;'001-C DMR'!$B40),('DMR 001C NEW'!$E$3:$E$7246&amp;'DMR 001C NEW'!$B$3:$B$7246&amp;'DMR 001C NEW'!$A$3:$A$7246),0),MATCH('001-C DMR'!$FX$11,'DMR 001C NEW'!$A$2:$O$2,0)),"")</f>
        <v/>
      </c>
      <c r="FY40" s="58" t="str">
        <f t="array" ref="FY40">_xlfn.IFNA(INDEX('DMR 001C NEW'!$A$3:$O$9999,MATCH(('001-C DMR'!$FW$6&amp;'001-C DMR'!$FW$10&amp;'001-C DMR'!$B40),('DMR 001C NEW'!$E$3:$E$7246&amp;'DMR 001C NEW'!$B$3:$B$7246&amp;'DMR 001C NEW'!$A$3:$A$7246),0),MATCH('001-C DMR'!$FY$11,'DMR 001C NEW'!$A$2:$O$2,0)),"")</f>
        <v/>
      </c>
      <c r="FZ40" s="57" t="str">
        <f t="shared" si="25"/>
        <v/>
      </c>
      <c r="GA40" s="58" t="str">
        <f t="array" ref="GA40">_xlfn.IFNA(INDEX('DMR 001C NEW'!$A$3:$O$9999,MATCH(('001-C DMR'!$FW$6&amp;'001-C DMR'!$FZ$10&amp;'001-C DMR'!$B40),('DMR 001C NEW'!$E$3:$E$7246&amp;'DMR 001C NEW'!$B$3:$B$7246&amp;'DMR 001C NEW'!$A$3:$A$7246),0),MATCH('001-C DMR'!$FX$11,'DMR 001C NEW'!$A$2:$O$2,0)),"")</f>
        <v/>
      </c>
      <c r="GB40" s="58" t="str">
        <f t="array" ref="GB40">_xlfn.IFNA(INDEX('DMR 001C NEW'!$A$3:$O$9999,MATCH(('001-C DMR'!$FW$6&amp;'001-C DMR'!$FZ$10&amp;'001-C DMR'!$B40),('DMR 001C NEW'!$E$3:$E$7246&amp;'DMR 001C NEW'!$B$3:$B$7246&amp;'DMR 001C NEW'!$A$3:$A$7246),0),MATCH('001-C DMR'!$GB$11,'DMR 001C NEW'!$A$2:$O$2,0)),"")</f>
        <v/>
      </c>
      <c r="GC40" s="138" t="str">
        <f t="shared" si="4"/>
        <v/>
      </c>
      <c r="GD40" s="64" t="str">
        <f t="shared" si="38"/>
        <v/>
      </c>
      <c r="GE40" s="279" t="str">
        <f t="array" ref="GE40">_xlfn.IFNA(INDEX('DMR 001C NEW'!$A$3:$O$999,MATCH(('001-C DMR'!$FW$6&amp;'001-C DMR'!GE$10&amp;'001-C DMR'!$B40),('DMR 001C NEW'!$E$3:$E$1112&amp;'DMR 001C NEW'!$B$3:$B$1112&amp;'DMR 001C NEW'!$A$3:$A$1112),0),MATCH('001-C DMR'!$FY$11,'DMR 001C NEW'!$A$2:$O$2,0)),"")</f>
        <v/>
      </c>
      <c r="GF40" s="280" t="str">
        <f t="array" ref="GF40">_xlfn.IFNA(INDEX('DMR 001C NEW'!$A$3:$O$999,MATCH(('001-C DMR'!$FW$6&amp;'001-C DMR'!GF$10&amp;'001-C DMR'!$B40),('DMR 001C NEW'!$E$3:$E$1112&amp;'DMR 001C NEW'!$B$3:$B$1112&amp;'DMR 001C NEW'!$A$3:$A$1112),0),MATCH('001-C DMR'!$FY$11,'DMR 001C NEW'!$A$2:$O$2,0)),"")</f>
        <v/>
      </c>
      <c r="GG40" s="280" t="str">
        <f t="array" ref="GG40">_xlfn.IFNA(INDEX('DMR 001C NEW'!$A$3:$O$999,MATCH(('001-C DMR'!$FW$6&amp;'001-C DMR'!GG$10&amp;'001-C DMR'!$B40),('DMR 001C NEW'!$E$3:$E$1112&amp;'DMR 001C NEW'!$B$3:$B$1112&amp;'DMR 001C NEW'!$A$3:$A$1112),0),MATCH('001-C DMR'!$FY$11,'DMR 001C NEW'!$A$2:$O$2,0)),"")</f>
        <v/>
      </c>
      <c r="GH40" s="280" t="str">
        <f t="array" ref="GH40">_xlfn.IFNA(INDEX('DMR 001C NEW'!$A$3:$O$999,MATCH(('001-C DMR'!$FW$6&amp;'001-C DMR'!GH$10&amp;'001-C DMR'!$B40),('DMR 001C NEW'!$E$3:$E$1112&amp;'DMR 001C NEW'!$B$3:$B$1112&amp;'DMR 001C NEW'!$A$3:$A$1112),0),MATCH('001-C DMR'!$FY$11,'DMR 001C NEW'!$A$2:$O$2,0)),"")</f>
        <v/>
      </c>
      <c r="GI40" s="280" t="str">
        <f t="array" ref="GI40">_xlfn.IFNA(INDEX('DMR 001C NEW'!$A$3:$O$999,MATCH(('001-C DMR'!$FW$6&amp;'001-C DMR'!GI$10&amp;'001-C DMR'!$B40),('DMR 001C NEW'!$E$3:$E$1112&amp;'DMR 001C NEW'!$B$3:$B$1112&amp;'DMR 001C NEW'!$A$3:$A$1112),0),MATCH('001-C DMR'!$FY$11,'DMR 001C NEW'!$A$2:$O$2,0)),"")</f>
        <v/>
      </c>
      <c r="GJ40" s="281" t="str">
        <f t="array" ref="GJ40">_xlfn.IFNA(INDEX('DMR 001C NEW'!$A$3:$O$999,MATCH(('001-C DMR'!$FW$6&amp;'001-C DMR'!GJ$10&amp;'001-C DMR'!$B40),('DMR 001C NEW'!$E$3:$E$1112&amp;'DMR 001C NEW'!$B$3:$B$1112&amp;'DMR 001C NEW'!$A$3:$A$1112),0),MATCH('001-C DMR'!$FY$11,'DMR 001C NEW'!$A$2:$O$2,0)),"")</f>
        <v/>
      </c>
      <c r="GK40" s="58" t="str">
        <f t="array" ref="GK40">_xlfn.IFNA(INDEX('DMR 001C NEW'!$A$3:$O$9999,MATCH(('001-C DMR'!$GK$6&amp;'001-C DMR'!$GK$10&amp;'001-C DMR'!$B40),('DMR 001C NEW'!$E$3:$E$9018&amp;'DMR 001C NEW'!$B$3:$B$9018&amp;'DMR 001C NEW'!$A$3:$A$9018),0),MATCH('001-C DMR'!$GK$11,'DMR 001C NEW'!$A$2:$O$2,0)),"")</f>
        <v>n</v>
      </c>
      <c r="GL40" s="58" t="str">
        <f t="array" ref="GL40">_xlfn.IFNA(INDEX('DMR 001C NEW'!$A$3:$O$9999,MATCH(('001-C DMR'!$GK$6&amp;'001-C DMR'!$GL$10&amp;'001-C DMR'!$B40),('DMR 001C NEW'!$E$3:$E$9018&amp;'DMR 001C NEW'!$B$3:$B$9018&amp;'DMR 001C NEW'!$A$3:$A$9018),0),MATCH('001-C DMR'!$GK$11,'DMR 001C NEW'!$A$2:$O$2,0)),"")</f>
        <v>n</v>
      </c>
      <c r="GM40" s="134"/>
      <c r="GN40" s="64" t="str">
        <f t="shared" si="44"/>
        <v/>
      </c>
    </row>
    <row r="41" spans="1:196" s="51" customFormat="1" x14ac:dyDescent="0.25">
      <c r="A41" s="67" t="str">
        <f t="shared" si="5"/>
        <v>Mon</v>
      </c>
      <c r="B41" s="216">
        <f t="shared" si="26"/>
        <v>43703</v>
      </c>
      <c r="C41" s="93">
        <f t="array" ref="C41">INDEX('DMR 001C NEW'!$A$3:$N$10020,MATCH(('001-C DMR'!$C$6:$K$6&amp;'001-C DMR'!$C$10:$E$10&amp;'001-C DMR'!$B41),('DMR 001C NEW'!$E$3:$E$7246&amp;'DMR 001C NEW'!$B$3:$B$7246&amp;'DMR 001C NEW'!$A$3:$A$7246),0),MATCH('001-C DMR'!$C$11,'DMR 001C NEW'!$A$2:$O$2,0))</f>
        <v>5.8</v>
      </c>
      <c r="D41" s="56" t="str">
        <f t="array" ref="D41">INDEX('DMR 001C NEW'!$A$3:$N$11771,MATCH(('001-C DMR'!$C$6:$K$6&amp;'001-C DMR'!$C$10:$E$10&amp;'001-C DMR'!$B41),('DMR 001C NEW'!$E$3:$E$9018&amp;'DMR 001C NEW'!$B$3:$B$9018&amp;'DMR 001C NEW'!$A$3:$A$9018),0),MATCH('001-C DMR'!$D$11,'DMR 001C NEW'!$A$2:$O$2,0))</f>
        <v>AE70450</v>
      </c>
      <c r="E41" s="56">
        <f t="array" ref="E41">INDEX('DMR 001C NEW'!$A$3:$N$9999,MATCH(('001-C DMR'!$E$11&amp;'001-C DMR'!$C$10:$E$10&amp;'001-C DMR'!$B41&amp;$D41),('DMR 001C NEW'!$E$3:$E$7246&amp;'DMR 001C NEW'!$B$3:$B$7246&amp;'DMR 001C NEW'!$A$3:$A$7246&amp;'DMR 001C NEW'!$M$3:$M$7188),0),MATCH($C$11,'DMR 001C NEW'!$A$2:$O$2,0))</f>
        <v>49.63</v>
      </c>
      <c r="F41" s="56">
        <f t="array" ref="F41">INDEX('DMR 001C NEW'!$A$3:$N$9999,MATCH('001-C DMR'!$C$6:$K$6&amp;'001-C DMR'!$F$10&amp;'001-C DMR'!$B41,('DMR 001C NEW'!$E$3:$E$7246&amp;'DMR 001C NEW'!$B$3:$B$7246&amp;'DMR 001C NEW'!$A$3:$A$7246),0),MATCH('001-C DMR'!$C$11,'DMR 001C NEW'!$A$2:$O$2,0))</f>
        <v>6.4</v>
      </c>
      <c r="G41" s="56" t="str">
        <f t="array" ref="G41">INDEX('DMR 001C NEW'!$A$3:$N$3865,MATCH(('001-C DMR'!$C$6:$K$6&amp;'001-C DMR'!$F$10&amp;'001-C DMR'!$B41),('DMR 001C NEW'!$E$3:$E$1112&amp;'DMR 001C NEW'!$B$3:$B$1112&amp;'DMR 001C NEW'!$A$3:$A$1112),0),MATCH('001-C DMR'!$D$11,'DMR 001C NEW'!$A$2:$O$2,0))</f>
        <v>AE70451</v>
      </c>
      <c r="H41" s="56">
        <f t="array" ref="H41">INDEX('DMR 001C NEW'!$A$3:$N$9999,MATCH(('001-C DMR'!$E$11&amp;'001-C DMR'!$F$10&amp;'001-C DMR'!$B41&amp;$G41),('DMR 001C NEW'!$E$3:$E$7246&amp;'DMR 001C NEW'!$B$3:$B$7246&amp;'DMR 001C NEW'!$A$3:$A$7246&amp;'DMR 001C NEW'!$M$3:$M$7188),0),MATCH($C$11,'DMR 001C NEW'!$A$2:$O$2,0))</f>
        <v>88.05</v>
      </c>
      <c r="I41" s="56">
        <f t="shared" si="0"/>
        <v>6.1837158628704243</v>
      </c>
      <c r="J41" s="58" t="str">
        <f t="shared" si="39"/>
        <v/>
      </c>
      <c r="K41" s="64" t="str">
        <f t="shared" si="40"/>
        <v/>
      </c>
      <c r="L41" s="262" t="str">
        <f t="array" ref="L41">_xlfn.IFNA(INDEX('DMR 001C NEW'!$A$3:$N$3865,MATCH(('001-C DMR'!$C$6:$K$6&amp;'001-C DMR'!L$10&amp;'001-C DMR'!$B41),('DMR 001C NEW'!$E$3:$E$1112&amp;'DMR 001C NEW'!$B$3:$B$1112&amp;'DMR 001C NEW'!$A$3:$A$1112),0),MATCH('001-C DMR'!$C$11,'DMR 001C NEW'!$A$2:$O$2,0)),"")</f>
        <v/>
      </c>
      <c r="M41" s="262" t="str">
        <f t="array" ref="M41">_xlfn.IFNA(INDEX('DMR 001C NEW'!$A$3:$N$3865,MATCH(('001-C DMR'!$C$6:$K$6&amp;'001-C DMR'!M$10&amp;'001-C DMR'!$B41),('DMR 001C NEW'!$E$3:$E$1112&amp;'DMR 001C NEW'!$B$3:$B$1112&amp;'DMR 001C NEW'!$A$3:$A$1112),0),MATCH('001-C DMR'!$C$11,'DMR 001C NEW'!$A$2:$O$2,0)),"")</f>
        <v/>
      </c>
      <c r="N41" s="262" t="str">
        <f t="array" ref="N41">_xlfn.IFNA(INDEX('DMR 001C NEW'!$A$3:$N$3865,MATCH(('001-C DMR'!$C$6:$K$6&amp;'001-C DMR'!N$10&amp;'001-C DMR'!$B41),('DMR 001C NEW'!$E$3:$E$1112&amp;'DMR 001C NEW'!$B$3:$B$1112&amp;'DMR 001C NEW'!$A$3:$A$1112),0),MATCH('001-C DMR'!$C$11,'DMR 001C NEW'!$A$2:$O$2,0)),"")</f>
        <v/>
      </c>
      <c r="O41" s="262" t="str">
        <f t="array" ref="O41">_xlfn.IFNA(INDEX('DMR 001C NEW'!$A$3:$N$3865,MATCH(('001-C DMR'!$C$6:$K$6&amp;'001-C DMR'!O$10&amp;'001-C DMR'!$B41),('DMR 001C NEW'!$E$3:$E$1112&amp;'DMR 001C NEW'!$B$3:$B$1112&amp;'DMR 001C NEW'!$A$3:$A$1112),0),MATCH('001-C DMR'!$C$11,'DMR 001C NEW'!$A$2:$O$2,0)),"")</f>
        <v/>
      </c>
      <c r="P41" s="262" t="str">
        <f t="array" ref="P41">_xlfn.IFNA(INDEX('DMR 001C NEW'!$A$3:$N$3865,MATCH(('001-C DMR'!$C$6:$K$6&amp;'001-C DMR'!P$10&amp;'001-C DMR'!$B41),('DMR 001C NEW'!$E$3:$E$1112&amp;'DMR 001C NEW'!$B$3:$B$1112&amp;'DMR 001C NEW'!$A$3:$A$1112),0),MATCH('001-C DMR'!$C$11,'DMR 001C NEW'!$A$2:$O$2,0)),"")</f>
        <v/>
      </c>
      <c r="Q41" s="120" t="e">
        <f t="array" ref="Q41">INDEX('DMR 001C NEW'!$A$3:$N$3865,MATCH(('001-C DMR'!$C$6:$K$6&amp;'001-C DMR'!Q$10&amp;'001-C DMR'!$B41),('DMR 001C NEW'!$E$3:$E$1112&amp;'DMR 001C NEW'!$B$3:$B$1112&amp;'DMR 001C NEW'!$A$3:$A$1112),0),MATCH('001-C DMR'!$C$11,'DMR 001C NEW'!$A$2:$O$2,0))</f>
        <v>#N/A</v>
      </c>
      <c r="R41" s="61"/>
      <c r="S41" s="56">
        <f t="array" ref="S41">_xlfn.IFNA(INDEX('DMR 001C NEW'!$A$3:$N$11771,MATCH(('001-C DMR'!$R$6:$T$6&amp;'001-C DMR'!$R$10&amp;'001-C DMR'!$B41),('DMR 001C NEW'!$E$3:$E$9018&amp;'DMR 001C NEW'!$B$3:$B$9018&amp;'DMR 001C NEW'!$A$3:$A$9018),0),MATCH('001-C DMR'!$S$11,'DMR 001C NEW'!$A$2:$O$2,0)),"")</f>
        <v>7</v>
      </c>
      <c r="T41" s="64" t="str">
        <f t="shared" si="41"/>
        <v/>
      </c>
      <c r="U41" s="262" t="str">
        <f t="array" ref="U41">_xlfn.IFNA(INDEX('DMR 001C NEW'!$A$3:$O$591,MATCH('001-C DMR'!$R$6:$T$6&amp;'001-C DMR'!U$10&amp;'001-C DMR'!$B41,('DMR 001C NEW'!$E$3:$E$704&amp;'DMR 001C NEW'!$B$3:$B$704&amp;'DMR 001C NEW'!$A$3:$A$704),0),MATCH('001-C DMR'!$U$11,'DMR 001C NEW'!$A$2:$O$2,0)),"")</f>
        <v/>
      </c>
      <c r="V41" s="262" t="str">
        <f t="array" ref="V41">_xlfn.IFNA(INDEX('DMR 001C NEW'!$A$3:$O$591,MATCH('001-C DMR'!$R$6:$T$6&amp;'001-C DMR'!V$10&amp;'001-C DMR'!$B41,('DMR 001C NEW'!$E$3:$E$704&amp;'DMR 001C NEW'!$B$3:$B$704&amp;'DMR 001C NEW'!$A$3:$A$704),0),MATCH('001-C DMR'!$U$11,'DMR 001C NEW'!$A$2:$O$2,0)),"")</f>
        <v/>
      </c>
      <c r="W41" s="262" t="str">
        <f t="array" ref="W41">_xlfn.IFNA(INDEX('DMR 001C NEW'!$A$3:$O$591,MATCH('001-C DMR'!$R$6:$T$6&amp;'001-C DMR'!W$10&amp;'001-C DMR'!$B41,('DMR 001C NEW'!$E$3:$E$704&amp;'DMR 001C NEW'!$B$3:$B$704&amp;'DMR 001C NEW'!$A$3:$A$704),0),MATCH('001-C DMR'!$U$11,'DMR 001C NEW'!$A$2:$O$2,0)),"")</f>
        <v/>
      </c>
      <c r="X41" s="262" t="str">
        <f t="array" ref="X41">_xlfn.IFNA(INDEX('DMR 001C NEW'!$A$3:$O$591,MATCH('001-C DMR'!$R$6:$T$6&amp;'001-C DMR'!X$10&amp;'001-C DMR'!$B41,('DMR 001C NEW'!$E$3:$E$704&amp;'DMR 001C NEW'!$B$3:$B$704&amp;'DMR 001C NEW'!$A$3:$A$704),0),MATCH('001-C DMR'!$U$11,'DMR 001C NEW'!$A$2:$O$2,0)),"")</f>
        <v/>
      </c>
      <c r="Y41" s="262" t="str">
        <f t="array" ref="Y41">_xlfn.IFNA(INDEX('DMR 001C NEW'!$A$3:$O$591,MATCH('001-C DMR'!$R$6:$T$6&amp;'001-C DMR'!Y$10&amp;'001-C DMR'!$B41,('DMR 001C NEW'!$E$3:$E$704&amp;'DMR 001C NEW'!$B$3:$B$704&amp;'DMR 001C NEW'!$A$3:$A$704),0),MATCH('001-C DMR'!$U$11,'DMR 001C NEW'!$A$2:$O$2,0)),"")</f>
        <v/>
      </c>
      <c r="Z41" s="262" t="str">
        <f t="array" ref="Z41">_xlfn.IFNA(INDEX('DMR 001C NEW'!$A$3:$O$591,MATCH('001-C DMR'!$R$6:$T$6&amp;'001-C DMR'!Z$10&amp;'001-C DMR'!$B41,('DMR 001C NEW'!$E$3:$E$704&amp;'DMR 001C NEW'!$B$3:$B$704&amp;'DMR 001C NEW'!$A$3:$A$704),0),MATCH('001-C DMR'!$U$11,'DMR 001C NEW'!$A$2:$O$2,0)),"")</f>
        <v/>
      </c>
      <c r="AA41" s="262" t="str">
        <f t="array" ref="AA41">_xlfn.IFNA(INDEX('DMR 001C NEW'!$A$3:$O$591,MATCH('001-C DMR'!$R$6:$T$6&amp;'001-C DMR'!AA$10&amp;'001-C DMR'!$B41,('DMR 001C NEW'!$E$3:$E$704&amp;'DMR 001C NEW'!$B$3:$B$704&amp;'DMR 001C NEW'!$A$3:$A$704),0),MATCH('001-C DMR'!$U$11,'DMR 001C NEW'!$A$2:$O$2,0)),"")</f>
        <v/>
      </c>
      <c r="AB41" s="61" t="str">
        <f t="array" ref="AB41">IF(AD41&lt;AC41,"&lt;","")</f>
        <v/>
      </c>
      <c r="AC41" s="56">
        <f t="array" ref="AC41">_xlfn.IFNA(INDEX('DMR 001C NEW'!$A$3:$O$9999,MATCH(('001-C DMR'!$AB$6:$AJ$6&amp;'001-C DMR'!$AB$10:$AD$10&amp;'001-C DMR'!$B41),('DMR 001C NEW'!$E$3:$E$7246&amp;'DMR 001C NEW'!$B$3:$B$7246&amp;'DMR 001C NEW'!$A$3:$A$7246),0),MATCH('001-C DMR'!$AC$11,'DMR 001C NEW'!$A$2:$O$2,0)),"")</f>
        <v>3</v>
      </c>
      <c r="AD41" s="56">
        <f t="array" ref="AD41">_xlfn.IFNA(INDEX('DMR 001C NEW'!$A$3:$O$9999,MATCH(('001-C DMR'!$AB$6:$AJ$6&amp;'001-C DMR'!$AB$10:$AD$10&amp;'001-C DMR'!$B41),('DMR 001C NEW'!$E$3:$E$7246&amp;'DMR 001C NEW'!$B$3:$B$7246&amp;'DMR 001C NEW'!$A$3:$A$7246),0),MATCH('001-C DMR'!$AD$11,'DMR 001C NEW'!$A$2:$O$2,0)),"")</f>
        <v>13</v>
      </c>
      <c r="AE41" s="57" t="str">
        <f t="array" ref="AE41">IF(AG41&lt;AF41,"&lt;","")</f>
        <v/>
      </c>
      <c r="AF41" s="56">
        <f t="array" ref="AF41">_xlfn.IFNA(INDEX('DMR 001C NEW'!$A$3:$O$9999,MATCH(('001-C DMR'!$AB$6:$AJ$6&amp;'001-C DMR'!$AE$10&amp;'001-C DMR'!$B41),('DMR 001C NEW'!$E$3:$E$9018&amp;'DMR 001C NEW'!$B$3:$B$9018&amp;'DMR 001C NEW'!$A$3:$A$9018),0),MATCH('001-C DMR'!$AF$11,'DMR 001C NEW'!$A$2:$O$2,0)),"")</f>
        <v>3</v>
      </c>
      <c r="AG41" s="56">
        <f t="array" ref="AG41">_xlfn.IFNA(INDEX('DMR 001C NEW'!$A$3:$O$9999,MATCH(('001-C DMR'!$AB$6:$AJ$6&amp;'001-C DMR'!$AE$10&amp;'001-C DMR'!$B41),('DMR 001C NEW'!$E$3:$E$9018&amp;'DMR 001C NEW'!$B$3:$B$9018&amp;'DMR 001C NEW'!$A$3:$A$9018),0),MATCH('001-C DMR'!$AG$11,'DMR 001C NEW'!$A$2:$O$2,0)),"")</f>
        <v>12</v>
      </c>
      <c r="AH41" s="56">
        <f t="array" ref="AH41">IFERROR((($AD41*$EI41)+($AG41*$EJ41))/($EK41),"")</f>
        <v>12.376451678118691</v>
      </c>
      <c r="AI41" s="56" t="str">
        <f t="shared" si="42"/>
        <v/>
      </c>
      <c r="AJ41" s="64" t="str">
        <f t="shared" si="30"/>
        <v/>
      </c>
      <c r="AK41" s="262" t="str">
        <f t="array" ref="AK41">_xlfn.IFNA(INDEX('DMR 001C NEW'!$A$3:$O$999,MATCH(('001-C DMR'!$AB$6:$AJ$6&amp;'001-C DMR'!AK$10&amp;'001-C DMR'!$B41),('DMR 001C NEW'!$E$3:$E$1112&amp;'DMR 001C NEW'!$B$3:$B$1112&amp;'DMR 001C NEW'!$A$3:$A$1112),0),MATCH('001-C DMR'!$AD$11,'DMR 001C NEW'!$A$2:$O$2,0)),"")</f>
        <v/>
      </c>
      <c r="AL41" s="262" t="str">
        <f t="array" ref="AL41">_xlfn.IFNA(INDEX('DMR 001C NEW'!$A$3:$O$999,MATCH(('001-C DMR'!$AB$6:$AJ$6&amp;'001-C DMR'!AL$10&amp;'001-C DMR'!$B41),('DMR 001C NEW'!$E$3:$E$1112&amp;'DMR 001C NEW'!$B$3:$B$1112&amp;'DMR 001C NEW'!$A$3:$A$1112),0),MATCH('001-C DMR'!$AD$11,'DMR 001C NEW'!$A$2:$O$2,0)),"")</f>
        <v/>
      </c>
      <c r="AM41" s="262" t="str">
        <f t="array" ref="AM41">_xlfn.IFNA(INDEX('DMR 001C NEW'!$A$3:$O$999,MATCH(('001-C DMR'!$AB$6:$AJ$6&amp;'001-C DMR'!AM$10&amp;'001-C DMR'!$B41),('DMR 001C NEW'!$E$3:$E$1112&amp;'DMR 001C NEW'!$B$3:$B$1112&amp;'DMR 001C NEW'!$A$3:$A$1112),0),MATCH('001-C DMR'!$AD$11,'DMR 001C NEW'!$A$2:$O$2,0)),"")</f>
        <v/>
      </c>
      <c r="AN41" s="262" t="str">
        <f t="array" ref="AN41">_xlfn.IFNA(INDEX('DMR 001C NEW'!$A$3:$O$999,MATCH(('001-C DMR'!$AB$6:$AJ$6&amp;'001-C DMR'!AN$10&amp;'001-C DMR'!$B41),('DMR 001C NEW'!$E$3:$E$1112&amp;'DMR 001C NEW'!$B$3:$B$1112&amp;'DMR 001C NEW'!$A$3:$A$1112),0),MATCH('001-C DMR'!$AD$11,'DMR 001C NEW'!$A$2:$O$2,0)),"")</f>
        <v/>
      </c>
      <c r="AO41" s="262" t="str">
        <f t="array" ref="AO41">_xlfn.IFNA(INDEX('DMR 001C NEW'!$A$3:$O$999,MATCH(('001-C DMR'!$AB$6:$AJ$6&amp;'001-C DMR'!AO$10&amp;'001-C DMR'!$B41),('DMR 001C NEW'!$E$3:$E$1112&amp;'DMR 001C NEW'!$B$3:$B$1112&amp;'DMR 001C NEW'!$A$3:$A$1112),0),MATCH('001-C DMR'!$AD$11,'DMR 001C NEW'!$A$2:$O$2,0)),"")</f>
        <v/>
      </c>
      <c r="AP41" s="262" t="str">
        <f t="array" ref="AP41">_xlfn.IFNA(INDEX('DMR 001C NEW'!$A$3:$O$999,MATCH(('001-C DMR'!$AB$6:$AJ$6&amp;'001-C DMR'!AP$10&amp;'001-C DMR'!$B41),('DMR 001C NEW'!$E$3:$E$1112&amp;'DMR 001C NEW'!$B$3:$B$1112&amp;'DMR 001C NEW'!$A$3:$A$1112),0),MATCH('001-C DMR'!$AD$11,'DMR 001C NEW'!$A$2:$O$2,0)),"")</f>
        <v/>
      </c>
      <c r="AQ41" s="61" t="str">
        <f t="array" ref="AQ41">IF(AS41&lt;AR41,"&lt;","")</f>
        <v/>
      </c>
      <c r="AR41" s="58" t="str">
        <f t="array" ref="AR41">_xlfn.IFNA((INDEX('DMR 001C NEW'!$A$3:$O$9999,MATCH(('001-C DMR'!$AQ$6:$AZ$6&amp;'001-C DMR'!$AQ$10:$AS$10&amp;'001-C DMR'!$B41),('DMR 001C NEW'!$E$3:$E$7246&amp;'DMR 001C NEW'!$B$3:$B$7246&amp;'DMR 001C NEW'!$A$3:$A$7246),0),MATCH('001-C DMR'!$AR$11,'DMR 001C NEW'!$A$2:$O$2,0))),"")</f>
        <v/>
      </c>
      <c r="AS41" s="58" t="str">
        <f t="array" ref="AS41">_xlfn.IFNA(INDEX('DMR 001C NEW'!$A$3:$O$9999,MATCH(('001-C DMR'!$AQ$6:$AZ$6&amp;'001-C DMR'!$AQ$10:$AS$10&amp;'001-C DMR'!$B41),('DMR 001C NEW'!$E$3:$E$7246&amp;'DMR 001C NEW'!$B$3:$B$7246&amp;'DMR 001C NEW'!$A$3:$A$7246),0),MATCH('001-C DMR'!$AS$11,'DMR 001C NEW'!$A$2:$O$2,0)),"")</f>
        <v/>
      </c>
      <c r="AT41" s="58" t="str">
        <f t="shared" si="27"/>
        <v/>
      </c>
      <c r="AU41" s="57" t="str">
        <f t="array" ref="AU41">IF(AW41&lt;AV41,"&lt;","")</f>
        <v/>
      </c>
      <c r="AV41" s="58" t="str">
        <f t="array" ref="AV41">_xlfn.IFNA((INDEX('DMR 001C NEW'!$A$3:$O$9999,MATCH(('001-C DMR'!$AQ$6:$AZ$6&amp;'001-C DMR'!$AU$10&amp;'001-C DMR'!$B41),('DMR 001C NEW'!$E$3:$E$7246&amp;'DMR 001C NEW'!$B$3:$B$7246&amp;'DMR 001C NEW'!$A$3:$A$7246),0),MATCH('001-C DMR'!$AR$11,'DMR 001C NEW'!$A$2:$O$2,0))),"")</f>
        <v/>
      </c>
      <c r="AW41" s="58" t="str">
        <f t="array" ref="AW41">_xlfn.IFNA(INDEX('DMR 001C NEW'!$A$3:$O$9999,MATCH(('001-C DMR'!$AQ$6:$AZ$6&amp;'001-C DMR'!$AU$10&amp;'001-C DMR'!$B41),('DMR 001C NEW'!$E$3:$E$7246&amp;'DMR 001C NEW'!$B$3:$B$7246&amp;'DMR 001C NEW'!$A$3:$A$7246),0),MATCH('001-C DMR'!$AW$11,'DMR 001C NEW'!$A$2:$O$2,0)),"")</f>
        <v/>
      </c>
      <c r="AX41" s="58" t="str">
        <f t="shared" si="6"/>
        <v/>
      </c>
      <c r="AY41" s="56" t="str">
        <f t="array" ref="AY41">IFERROR((($AT41*$EI41)+($AX41*$EJ41))/($EK41),"")</f>
        <v/>
      </c>
      <c r="AZ41" s="64" t="str">
        <f t="shared" si="31"/>
        <v/>
      </c>
      <c r="BA41" s="279" t="str">
        <f t="array" ref="BA41">_xlfn.IFNA(INDEX('DMR 001C NEW'!$A$3:$O$9999,MATCH(('001-C DMR'!$AQ$6:$AZ$6&amp;'001-C DMR'!BA$10&amp;'001-C DMR'!$B41),('DMR 001C NEW'!$E$3:$E$1112&amp;'DMR 001C NEW'!$B$3:$B$1112&amp;'DMR 001C NEW'!$A$3:$A$1112),0),MATCH('001-C DMR'!$BA$11,'DMR 001C NEW'!$A$2:$O$2,0)),"")</f>
        <v/>
      </c>
      <c r="BB41" s="280" t="str">
        <f t="array" ref="BB41">_xlfn.IFNA(INDEX('DMR 001C NEW'!$A$3:$O$9999,MATCH(('001-C DMR'!$AQ$6:$AZ$6&amp;'001-C DMR'!BB$10&amp;'001-C DMR'!$B41),('DMR 001C NEW'!$E$3:$E$1112&amp;'DMR 001C NEW'!$B$3:$B$1112&amp;'DMR 001C NEW'!$A$3:$A$1112),0),MATCH('001-C DMR'!$BA$11,'DMR 001C NEW'!$A$2:$O$2,0)),"")</f>
        <v/>
      </c>
      <c r="BC41" s="280" t="str">
        <f t="array" ref="BC41">_xlfn.IFNA(INDEX('DMR 001C NEW'!$A$3:$O$9999,MATCH(('001-C DMR'!$AQ$6:$AZ$6&amp;'001-C DMR'!BC$10&amp;'001-C DMR'!$B41),('DMR 001C NEW'!$E$3:$E$1112&amp;'DMR 001C NEW'!$B$3:$B$1112&amp;'DMR 001C NEW'!$A$3:$A$1112),0),MATCH('001-C DMR'!$BA$11,'DMR 001C NEW'!$A$2:$O$2,0)),"")</f>
        <v/>
      </c>
      <c r="BD41" s="280" t="str">
        <f t="array" ref="BD41">_xlfn.IFNA(INDEX('DMR 001C NEW'!$A$3:$O$9999,MATCH(('001-C DMR'!$AQ$6:$AZ$6&amp;'001-C DMR'!BD$10&amp;'001-C DMR'!$B41),('DMR 001C NEW'!$E$3:$E$1112&amp;'DMR 001C NEW'!$B$3:$B$1112&amp;'DMR 001C NEW'!$A$3:$A$1112),0),MATCH('001-C DMR'!$BA$11,'DMR 001C NEW'!$A$2:$O$2,0)),"")</f>
        <v/>
      </c>
      <c r="BE41" s="280" t="str">
        <f t="array" ref="BE41">_xlfn.IFNA(INDEX('DMR 001C NEW'!$A$3:$O$9999,MATCH(('001-C DMR'!$AQ$6:$AZ$6&amp;'001-C DMR'!BE$10&amp;'001-C DMR'!$B41),('DMR 001C NEW'!$E$3:$E$1112&amp;'DMR 001C NEW'!$B$3:$B$1112&amp;'DMR 001C NEW'!$A$3:$A$1112),0),MATCH('001-C DMR'!$BA$11,'DMR 001C NEW'!$A$2:$O$2,0)),"")</f>
        <v/>
      </c>
      <c r="BF41" s="281" t="str">
        <f t="array" ref="BF41">_xlfn.IFNA(INDEX('DMR 001C NEW'!$A$3:$O$9999,MATCH(('001-C DMR'!$AQ$6:$AZ$6&amp;'001-C DMR'!BF$10&amp;'001-C DMR'!$B41),('DMR 001C NEW'!$E$3:$E$1112&amp;'DMR 001C NEW'!$B$3:$B$1112&amp;'DMR 001C NEW'!$A$3:$A$1112),0),MATCH('001-C DMR'!$BA$11,'DMR 001C NEW'!$A$2:$O$2,0)),"")</f>
        <v/>
      </c>
      <c r="BG41" s="57"/>
      <c r="BH41" s="58" t="str">
        <f t="array" ref="BH41">_xlfn.IFNA((INDEX('DMR 001C NEW'!$A$3:$O$9999,MATCH(('001-C DMR'!$BG$6&amp;'001-C DMR'!$BG$10&amp;'001-C DMR'!$B41),('DMR 001C NEW'!$E$3:$E$7246&amp;'DMR 001C NEW'!$B$3:$B$7246&amp;'DMR 001C NEW'!$A$3:$A$7246),0),MATCH('001-C DMR'!$BH$11,'DMR 001C NEW'!$A$2:$O$2,0))),"")</f>
        <v/>
      </c>
      <c r="BI41" s="58" t="str">
        <f t="array" ref="BI41">_xlfn.IFNA(INDEX('DMR 001C NEW'!$A$3:$O$9999,MATCH(('001-C DMR'!$BG$6&amp;'001-C DMR'!$BG$10&amp;'001-C DMR'!$B41),('DMR 001C NEW'!$E$3:$E$7246&amp;'DMR 001C NEW'!$B$3:$B$7246&amp;'DMR 001C NEW'!$A$3:$A$7246),0),MATCH('001-C DMR'!$BI$11,'DMR 001C NEW'!$A$2:$O$2,0)),"")</f>
        <v/>
      </c>
      <c r="BJ41" s="58" t="str">
        <f t="shared" si="7"/>
        <v/>
      </c>
      <c r="BK41" s="57" t="str">
        <f t="shared" si="8"/>
        <v/>
      </c>
      <c r="BL41" s="58" t="str">
        <f t="array" ref="BL41">_xlfn.IFNA((INDEX('DMR 001C NEW'!$A$3:$O$9999,MATCH(('001-C DMR'!$BG$6&amp;'001-C DMR'!$BK$10&amp;'001-C DMR'!$B41),('DMR 001C NEW'!$E$3:$E$7246&amp;'DMR 001C NEW'!$B$3:$B$7246&amp;'DMR 001C NEW'!$A$3:$A$7246),0),MATCH('001-C DMR'!$BH$11,'DMR 001C NEW'!$A$2:$O$2,0))),"")</f>
        <v/>
      </c>
      <c r="BM41" s="58" t="str">
        <f t="array" ref="BM41">_xlfn.IFNA(INDEX('DMR 001C NEW'!$A$3:$O$9999,MATCH(('001-C DMR'!$BG$6&amp;'001-C DMR'!$BK$10&amp;'001-C DMR'!$B41),('DMR 001C NEW'!$E$3:$E$7246&amp;'DMR 001C NEW'!$B$3:$B$7246&amp;'DMR 001C NEW'!$A$3:$A$7246),0),MATCH('001-C DMR'!$BI$11,'DMR 001C NEW'!$A$2:$O$2,0)),"")</f>
        <v/>
      </c>
      <c r="BN41" s="58" t="str">
        <f t="shared" si="9"/>
        <v/>
      </c>
      <c r="BO41" s="56" t="str">
        <f t="array" ref="BO41">IFERROR((($BJ41*$EI41)+($BN41*$EJ41))/($EK41),"")</f>
        <v/>
      </c>
      <c r="BP41" s="64" t="str">
        <f t="shared" si="32"/>
        <v/>
      </c>
      <c r="BQ41" s="280" t="str">
        <f t="array" ref="BQ41">_xlfn.IFNA(INDEX('DMR 001C NEW'!$A$3:$O$999,MATCH(('001-C DMR'!$BG$6&amp;'001-C DMR'!BQ$10&amp;'001-C DMR'!$B41),('DMR 001C NEW'!$E$3:$E$1112&amp;'DMR 001C NEW'!$B$3:$B$1112&amp;'DMR 001C NEW'!$A$3:$A$1112),0),MATCH('001-C DMR'!$BQ$11,'DMR 001C NEW'!$A$2:$O$2,0)),"")</f>
        <v/>
      </c>
      <c r="BR41" s="280" t="str">
        <f t="array" ref="BR41">_xlfn.IFNA(INDEX('DMR 001C NEW'!$A$3:$O$999,MATCH(('001-C DMR'!$BG$6&amp;'001-C DMR'!BR$10&amp;'001-C DMR'!$B41),('DMR 001C NEW'!$E$3:$E$1112&amp;'DMR 001C NEW'!$B$3:$B$1112&amp;'DMR 001C NEW'!$A$3:$A$1112),0),MATCH('001-C DMR'!$BQ$11,'DMR 001C NEW'!$A$2:$O$2,0)),"")</f>
        <v/>
      </c>
      <c r="BS41" s="280" t="str">
        <f t="array" ref="BS41">_xlfn.IFNA(INDEX('DMR 001C NEW'!$A$3:$O$999,MATCH(('001-C DMR'!$BG$6&amp;'001-C DMR'!BS$10&amp;'001-C DMR'!$B41),('DMR 001C NEW'!$E$3:$E$1112&amp;'DMR 001C NEW'!$B$3:$B$1112&amp;'DMR 001C NEW'!$A$3:$A$1112),0),MATCH('001-C DMR'!$BQ$11,'DMR 001C NEW'!$A$2:$O$2,0)),"")</f>
        <v/>
      </c>
      <c r="BT41" s="280" t="str">
        <f t="array" ref="BT41">_xlfn.IFNA(INDEX('DMR 001C NEW'!$A$3:$O$999,MATCH(('001-C DMR'!$BG$6&amp;'001-C DMR'!BT$10&amp;'001-C DMR'!$B41),('DMR 001C NEW'!$E$3:$E$1112&amp;'DMR 001C NEW'!$B$3:$B$1112&amp;'DMR 001C NEW'!$A$3:$A$1112),0),MATCH('001-C DMR'!$BQ$11,'DMR 001C NEW'!$A$2:$O$2,0)),"")</f>
        <v/>
      </c>
      <c r="BU41" s="280" t="str">
        <f t="array" ref="BU41">_xlfn.IFNA(INDEX('DMR 001C NEW'!$A$3:$O$999,MATCH(('001-C DMR'!$BG$6&amp;'001-C DMR'!BU$10&amp;'001-C DMR'!$B41),('DMR 001C NEW'!$E$3:$E$1112&amp;'DMR 001C NEW'!$B$3:$B$1112&amp;'DMR 001C NEW'!$A$3:$A$1112),0),MATCH('001-C DMR'!$BQ$11,'DMR 001C NEW'!$A$2:$O$2,0)),"")</f>
        <v/>
      </c>
      <c r="BV41" s="280" t="str">
        <f t="array" ref="BV41">_xlfn.IFNA(INDEX('DMR 001C NEW'!$A$3:$O$999,MATCH(('001-C DMR'!$BG$6&amp;'001-C DMR'!BV$10&amp;'001-C DMR'!$B41),('DMR 001C NEW'!$E$3:$E$1112&amp;'DMR 001C NEW'!$B$3:$B$1112&amp;'DMR 001C NEW'!$A$3:$A$1112),0),MATCH('001-C DMR'!$BQ$11,'DMR 001C NEW'!$A$2:$O$2,0)),"")</f>
        <v/>
      </c>
      <c r="BW41" s="65"/>
      <c r="BX41" s="65"/>
      <c r="BY41" s="57" t="str">
        <f t="shared" ref="BY41:BY46" si="45">IF(CA41&lt;BZ41,"&lt;","")</f>
        <v/>
      </c>
      <c r="BZ41" s="58" t="str">
        <f t="array" ref="BZ41">_xlfn.IFNA((INDEX('DMR 001C NEW'!$A$3:$O$9999,MATCH(('001-C DMR'!$BY$6&amp;'001-C DMR'!$BY$10&amp;'001-C DMR'!$B41),('DMR 001C NEW'!$E$3:$E$7246&amp;'DMR 001C NEW'!$B$3:$B$7246&amp;'DMR 001C NEW'!$A$3:$A$7246),0),MATCH('001-C DMR'!$BZ$11,'DMR 001C NEW'!$A$2:$O$2,0))),"")</f>
        <v/>
      </c>
      <c r="CA41" s="138" t="str">
        <f t="array" ref="CA41">_xlfn.IFNA(INDEX('DMR 001C NEW'!$A$3:$O$9999,MATCH(('001-C DMR'!$BY$6&amp;'001-C DMR'!$BY$10&amp;'001-C DMR'!$B41),('DMR 001C NEW'!$E$3:$E$7246&amp;'DMR 001C NEW'!$B$3:$B$7246&amp;'DMR 001C NEW'!$A$3:$A$7246),0),MATCH('001-C DMR'!$CA$11,'DMR 001C NEW'!$A$2:$O$2,0)),"")</f>
        <v/>
      </c>
      <c r="CB41" s="57" t="str">
        <f t="shared" ref="CB41:CB46" si="46">IF(CD41&lt;CC41,"&lt;","")</f>
        <v/>
      </c>
      <c r="CC41" s="58" t="str">
        <f t="array" ref="CC41">_xlfn.IFNA((INDEX('DMR 001C NEW'!$A$3:$O$9999,MATCH(('001-C DMR'!$BY$6&amp;'001-C DMR'!$CB$10&amp;'001-C DMR'!$B41),('DMR 001C NEW'!$E$3:$E$7246&amp;'DMR 001C NEW'!$B$3:$B$7246&amp;'DMR 001C NEW'!$A$3:$A$7246),0),MATCH('001-C DMR'!$BZ$11,'DMR 001C NEW'!$A$2:$O$2,0))),"")</f>
        <v/>
      </c>
      <c r="CD41" s="138" t="str">
        <f t="array" ref="CD41">_xlfn.IFNA(INDEX('DMR 001C NEW'!$A$3:$O$9999,MATCH(('001-C DMR'!$BY$6&amp;'001-C DMR'!$CB$10&amp;'001-C DMR'!$B41),('DMR 001C NEW'!$E$3:$E$7246&amp;'DMR 001C NEW'!$B$3:$B$7246&amp;'DMR 001C NEW'!$A$3:$A$7246),0),MATCH('001-C DMR'!$CA$11,'DMR 001C NEW'!$A$2:$O$2,0)),"")</f>
        <v/>
      </c>
      <c r="CE41" s="138" t="str">
        <f t="array" ref="CE41">IFERROR((($CA41*$EI41)+($CD41*$EJ41))/($EK41),"")</f>
        <v/>
      </c>
      <c r="CF41" s="64" t="str">
        <f t="shared" ref="CF41:CF46" si="47">IF($A41="Sat",COUNT(CE35:CE41),"")</f>
        <v/>
      </c>
      <c r="CG41" s="280" t="str">
        <f t="array" ref="CG41">_xlfn.IFNA(INDEX('DMR 001C NEW'!$A$3:$O$999,MATCH(('001-C DMR'!$BY$6&amp;'001-C DMR'!CG$10&amp;'001-C DMR'!$B41),('DMR 001C NEW'!$E$3:$E$1112&amp;'DMR 001C NEW'!$B$3:$B$1112&amp;'DMR 001C NEW'!$A$3:$A$1112),0),MATCH('001-C DMR'!$CA$11,'DMR 001C NEW'!$A$2:$O$2,0)),"")</f>
        <v/>
      </c>
      <c r="CH41" s="280" t="str">
        <f t="array" ref="CH41">_xlfn.IFNA(INDEX('DMR 001C NEW'!$A$3:$O$999,MATCH(('001-C DMR'!$BY$6&amp;'001-C DMR'!CH$10&amp;'001-C DMR'!$B41),('DMR 001C NEW'!$E$3:$E$1112&amp;'DMR 001C NEW'!$B$3:$B$1112&amp;'DMR 001C NEW'!$A$3:$A$1112),0),MATCH('001-C DMR'!$CA$11,'DMR 001C NEW'!$A$2:$O$2,0)),"")</f>
        <v/>
      </c>
      <c r="CI41" s="280" t="str">
        <f t="array" ref="CI41">_xlfn.IFNA(INDEX('DMR 001C NEW'!$A$3:$O$999,MATCH(('001-C DMR'!$BY$6&amp;'001-C DMR'!CI$10&amp;'001-C DMR'!$B41),('DMR 001C NEW'!$E$3:$E$1112&amp;'DMR 001C NEW'!$B$3:$B$1112&amp;'DMR 001C NEW'!$A$3:$A$1112),0),MATCH('001-C DMR'!$CA$11,'DMR 001C NEW'!$A$2:$O$2,0)),"")</f>
        <v/>
      </c>
      <c r="CJ41" s="280" t="str">
        <f t="array" ref="CJ41">_xlfn.IFNA(INDEX('DMR 001C NEW'!$A$3:$O$999,MATCH(('001-C DMR'!$BY$6&amp;'001-C DMR'!CJ$10&amp;'001-C DMR'!$B41),('DMR 001C NEW'!$E$3:$E$1112&amp;'DMR 001C NEW'!$B$3:$B$1112&amp;'DMR 001C NEW'!$A$3:$A$1112),0),MATCH('001-C DMR'!$CA$11,'DMR 001C NEW'!$A$2:$O$2,0)),"")</f>
        <v/>
      </c>
      <c r="CK41" s="280" t="str">
        <f t="array" ref="CK41">_xlfn.IFNA(INDEX('DMR 001C NEW'!$A$3:$O$999,MATCH(('001-C DMR'!$BY$6&amp;'001-C DMR'!CK$10&amp;'001-C DMR'!$B41),('DMR 001C NEW'!$E$3:$E$1112&amp;'DMR 001C NEW'!$B$3:$B$1112&amp;'DMR 001C NEW'!$A$3:$A$1112),0),MATCH('001-C DMR'!$CA$11,'DMR 001C NEW'!$A$2:$O$2,0)),"")</f>
        <v/>
      </c>
      <c r="CL41" s="280" t="str">
        <f t="array" ref="CL41">_xlfn.IFNA(INDEX('DMR 001C NEW'!$A$3:$O$999,MATCH(('001-C DMR'!$BY$6&amp;'001-C DMR'!CL$10&amp;'001-C DMR'!$B41),('DMR 001C NEW'!$E$3:$E$1112&amp;'DMR 001C NEW'!$B$3:$B$1112&amp;'DMR 001C NEW'!$A$3:$A$1112),0),MATCH('001-C DMR'!$CA$11,'DMR 001C NEW'!$A$2:$O$2,0)),"")</f>
        <v/>
      </c>
      <c r="CM41" s="61" t="str">
        <f t="shared" si="12"/>
        <v/>
      </c>
      <c r="CN41" s="138" t="str">
        <f t="array" ref="CN41">_xlfn.IFNA((INDEX('DMR 001C NEW'!$A$3:$O$9999,MATCH(('001-C DMR'!$CM$6&amp;'001-C DMR'!$CM$10&amp;'001-C DMR'!$B41),('DMR 001C NEW'!$E$3:$E$9018&amp;'DMR 001C NEW'!$B$3:$B$9018&amp;'DMR 001C NEW'!$A$3:$A$9018),0),MATCH('001-C DMR'!$CN$11,'DMR 001C NEW'!$A$2:$O$2,0))*1000),"")</f>
        <v/>
      </c>
      <c r="CO41" s="138" t="str">
        <f t="array" ref="CO41">_xlfn.IFNA(INDEX('DMR 001C NEW'!$A$3:$O$9999,MATCH(('001-C DMR'!$CM$6&amp;'001-C DMR'!$CM$10&amp;'001-C DMR'!$B41),('DMR 001C NEW'!$E$3:$E$9018&amp;'DMR 001C NEW'!$B$3:$B$9018&amp;'DMR 001C NEW'!$A$3:$A$9018),0),MATCH('001-C DMR'!$CO$11,'DMR 001C NEW'!$A$2:$O$2,0))*1000,"")</f>
        <v/>
      </c>
      <c r="CP41" s="138" t="str">
        <f t="shared" si="13"/>
        <v/>
      </c>
      <c r="CQ41" s="64" t="str">
        <f t="shared" si="34"/>
        <v/>
      </c>
      <c r="CR41" s="280" t="str">
        <f t="array" ref="CR41">_xlfn.IFNA(INDEX('DMR 001C NEW'!$A$3:$O$999,MATCH(('001-C DMR'!$CM$6&amp;'001-C DMR'!CR$10&amp;'001-C DMR'!$B41),('DMR 001C NEW'!$E$3:$E$1112&amp;'DMR 001C NEW'!$B$3:$B$1112&amp;'DMR 001C NEW'!$A$3:$A$1112),0),MATCH('001-C DMR'!$CO$11,'DMR 001C NEW'!$A$2:$O$2,0)),"")</f>
        <v/>
      </c>
      <c r="CS41" s="280" t="str">
        <f t="array" ref="CS41">_xlfn.IFNA(INDEX('DMR 001C NEW'!$A$3:$O$999,MATCH(('001-C DMR'!$CM$6&amp;'001-C DMR'!CS$10&amp;'001-C DMR'!$B41),('DMR 001C NEW'!$E$3:$E$1112&amp;'DMR 001C NEW'!$B$3:$B$1112&amp;'DMR 001C NEW'!$A$3:$A$1112),0),MATCH('001-C DMR'!$CO$11,'DMR 001C NEW'!$A$2:$O$2,0)),"")</f>
        <v/>
      </c>
      <c r="CT41" s="280" t="str">
        <f t="array" ref="CT41">_xlfn.IFNA(INDEX('DMR 001C NEW'!$A$3:$O$999,MATCH(('001-C DMR'!$CM$6&amp;'001-C DMR'!CT$10&amp;'001-C DMR'!$B41),('DMR 001C NEW'!$E$3:$E$1112&amp;'DMR 001C NEW'!$B$3:$B$1112&amp;'DMR 001C NEW'!$A$3:$A$1112),0),MATCH('001-C DMR'!$CO$11,'DMR 001C NEW'!$A$2:$O$2,0)),"")</f>
        <v/>
      </c>
      <c r="CU41" s="280" t="str">
        <f t="array" ref="CU41">_xlfn.IFNA(INDEX('DMR 001C NEW'!$A$3:$O$999,MATCH(('001-C DMR'!$CM$6&amp;'001-C DMR'!CU$10&amp;'001-C DMR'!$B41),('DMR 001C NEW'!$E$3:$E$1112&amp;'DMR 001C NEW'!$B$3:$B$1112&amp;'DMR 001C NEW'!$A$3:$A$1112),0),MATCH('001-C DMR'!$CO$11,'DMR 001C NEW'!$A$2:$O$2,0)),"")</f>
        <v/>
      </c>
      <c r="CV41" s="280" t="str">
        <f t="array" ref="CV41">_xlfn.IFNA(INDEX('DMR 001C NEW'!$A$3:$O$999,MATCH(('001-C DMR'!$CM$6&amp;'001-C DMR'!CV$10&amp;'001-C DMR'!$B41),('DMR 001C NEW'!$E$3:$E$1112&amp;'DMR 001C NEW'!$B$3:$B$1112&amp;'DMR 001C NEW'!$A$3:$A$1112),0),MATCH('001-C DMR'!$CO$11,'DMR 001C NEW'!$A$2:$O$2,0)),"")</f>
        <v/>
      </c>
      <c r="CW41" s="280" t="str">
        <f t="array" ref="CW41">_xlfn.IFNA(INDEX('DMR 001C NEW'!$A$3:$O$999,MATCH(('001-C DMR'!$CM$6&amp;'001-C DMR'!CW$10&amp;'001-C DMR'!$B41),('DMR 001C NEW'!$E$3:$E$1112&amp;'DMR 001C NEW'!$B$3:$B$1112&amp;'DMR 001C NEW'!$A$3:$A$1112),0),MATCH('001-C DMR'!$CO$11,'DMR 001C NEW'!$A$2:$O$2,0)),"")</f>
        <v/>
      </c>
      <c r="CX41" s="280" t="str">
        <f t="array" ref="CX41">_xlfn.IFNA(INDEX('DMR 001C NEW'!$A$3:$O$999,MATCH(('001-C DMR'!$CM$6&amp;'001-C DMR'!CX$10&amp;'001-C DMR'!$B41),('DMR 001C NEW'!$E$3:$E$1112&amp;'DMR 001C NEW'!$B$3:$B$1112&amp;'DMR 001C NEW'!$A$3:$A$1112),0),MATCH('001-C DMR'!$CO$11,'DMR 001C NEW'!$A$2:$O$2,0)),"")</f>
        <v/>
      </c>
      <c r="CY41" s="61" t="str">
        <f t="shared" si="14"/>
        <v/>
      </c>
      <c r="CZ41" s="138" t="str">
        <f t="array" ref="CZ41">_xlfn.IFNA((INDEX('DMR 001C NEW'!$A$3:$O$9999,MATCH(('001-C DMR'!$CY$6&amp;'001-C DMR'!$CY$10&amp;'001-C DMR'!$B41),('DMR 001C NEW'!$E$3:$E$9018&amp;'DMR 001C NEW'!$B$3:$B$9018&amp;'DMR 001C NEW'!$A$3:$A$9018),0),MATCH('001-C DMR'!$CZ$11,'DMR 001C NEW'!$A$2:$O$2,0))*1000),"")</f>
        <v/>
      </c>
      <c r="DA41" s="138" t="str">
        <f t="array" ref="DA41">_xlfn.IFNA(INDEX('DMR 001C NEW'!$A$3:$O$9999,MATCH(('001-C DMR'!$CY$6&amp;'001-C DMR'!$CY$10&amp;'001-C DMR'!$B41),('DMR 001C NEW'!$E$3:$E$9018&amp;'DMR 001C NEW'!$B$3:$B$9018&amp;'DMR 001C NEW'!$A$3:$A$9018),0),MATCH('001-C DMR'!$DA$11,'DMR 001C NEW'!$A$2:$O$2,0))*1000,"")</f>
        <v/>
      </c>
      <c r="DB41" s="138" t="str">
        <f t="shared" si="15"/>
        <v/>
      </c>
      <c r="DC41" s="64" t="str">
        <f t="shared" si="35"/>
        <v/>
      </c>
      <c r="DD41" s="280" t="str">
        <f t="array" ref="DD41">_xlfn.IFNA(INDEX('DMR 001C NEW'!$A$3:$O$999,MATCH(('001-C DMR'!$CY$6&amp;'001-C DMR'!DD$10&amp;'001-C DMR'!$B41),('DMR 001C NEW'!$E$3:$E$1112&amp;'DMR 001C NEW'!$B$3:$B$1112&amp;'DMR 001C NEW'!$A$3:$A$1112),0),MATCH('001-C DMR'!$DA$11,'DMR 001C NEW'!$A$2:$O$2,0)),"")</f>
        <v/>
      </c>
      <c r="DE41" s="280" t="str">
        <f t="array" ref="DE41">_xlfn.IFNA(INDEX('DMR 001C NEW'!$A$3:$O$999,MATCH(('001-C DMR'!$CY$6&amp;'001-C DMR'!DE$10&amp;'001-C DMR'!$B41),('DMR 001C NEW'!$E$3:$E$1112&amp;'DMR 001C NEW'!$B$3:$B$1112&amp;'DMR 001C NEW'!$A$3:$A$1112),0),MATCH('001-C DMR'!$DA$11,'DMR 001C NEW'!$A$2:$O$2,0)),"")</f>
        <v/>
      </c>
      <c r="DF41" s="280" t="str">
        <f t="array" ref="DF41">_xlfn.IFNA(INDEX('DMR 001C NEW'!$A$3:$O$999,MATCH(('001-C DMR'!$CY$6&amp;'001-C DMR'!DF$10&amp;'001-C DMR'!$B41),('DMR 001C NEW'!$E$3:$E$1112&amp;'DMR 001C NEW'!$B$3:$B$1112&amp;'DMR 001C NEW'!$A$3:$A$1112),0),MATCH('001-C DMR'!$DA$11,'DMR 001C NEW'!$A$2:$O$2,0)),"")</f>
        <v/>
      </c>
      <c r="DG41" s="280" t="str">
        <f t="array" ref="DG41">_xlfn.IFNA(INDEX('DMR 001C NEW'!$A$3:$O$999,MATCH(('001-C DMR'!$CY$6&amp;'001-C DMR'!DG$10&amp;'001-C DMR'!$B41),('DMR 001C NEW'!$E$3:$E$1112&amp;'DMR 001C NEW'!$B$3:$B$1112&amp;'DMR 001C NEW'!$A$3:$A$1112),0),MATCH('001-C DMR'!$DA$11,'DMR 001C NEW'!$A$2:$O$2,0)),"")</f>
        <v/>
      </c>
      <c r="DH41" s="280" t="str">
        <f t="array" ref="DH41">_xlfn.IFNA(INDEX('DMR 001C NEW'!$A$3:$O$999,MATCH(('001-C DMR'!$CY$6&amp;'001-C DMR'!DH$10&amp;'001-C DMR'!$B41),('DMR 001C NEW'!$E$3:$E$1112&amp;'DMR 001C NEW'!$B$3:$B$1112&amp;'DMR 001C NEW'!$A$3:$A$1112),0),MATCH('001-C DMR'!$DA$11,'DMR 001C NEW'!$A$2:$O$2,0)),"")</f>
        <v/>
      </c>
      <c r="DI41" s="280" t="str">
        <f t="array" ref="DI41">_xlfn.IFNA(INDEX('DMR 001C NEW'!$A$3:$O$999,MATCH(('001-C DMR'!$CY$6&amp;'001-C DMR'!DI$10&amp;'001-C DMR'!$B41),('DMR 001C NEW'!$E$3:$E$1112&amp;'DMR 001C NEW'!$B$3:$B$1112&amp;'DMR 001C NEW'!$A$3:$A$1112),0),MATCH('001-C DMR'!$DA$11,'DMR 001C NEW'!$A$2:$O$2,0)),"")</f>
        <v/>
      </c>
      <c r="DJ41" s="280" t="str">
        <f t="array" ref="DJ41">_xlfn.IFNA(INDEX('DMR 001C NEW'!$A$3:$O$999,MATCH(('001-C DMR'!$CY$6&amp;'001-C DMR'!DJ$10&amp;'001-C DMR'!$B41),('DMR 001C NEW'!$E$3:$E$1112&amp;'DMR 001C NEW'!$B$3:$B$1112&amp;'DMR 001C NEW'!$A$3:$A$1112),0),MATCH('001-C DMR'!$DA$11,'DMR 001C NEW'!$A$2:$O$2,0)),"")</f>
        <v/>
      </c>
      <c r="DK41" s="61" t="str">
        <f t="shared" si="16"/>
        <v/>
      </c>
      <c r="DL41" s="58" t="str">
        <f t="array" ref="DL41">_xlfn.IFNA((INDEX('DMR 001C NEW'!$A$3:$O$9999,MATCH(('001-C DMR'!$DK$6&amp;'001-C DMR'!$DK$10&amp;'001-C DMR'!$B41),('DMR 001C NEW'!$E$3:$E$9018&amp;'DMR 001C NEW'!$B$3:$B$9018&amp;'DMR 001C NEW'!$A$3:$A$9018),0),MATCH('001-C DMR'!$DL$11,'DMR 001C NEW'!$A$2:$O$2,0))),"")</f>
        <v/>
      </c>
      <c r="DM41" s="58" t="str">
        <f t="array" ref="DM41">_xlfn.IFNA(INDEX('DMR 001C NEW'!$A$3:$O$9999,MATCH(('001-C DMR'!$DK$6&amp;'001-C DMR'!$DK$10&amp;'001-C DMR'!$B41),('DMR 001C NEW'!$E$3:$E$9018&amp;'DMR 001C NEW'!$B$3:$B$9018&amp;'DMR 001C NEW'!$A$3:$A$9018),0),MATCH('001-C DMR'!$DM$11,'DMR 001C NEW'!$A$2:$O$2,0)),"")</f>
        <v/>
      </c>
      <c r="DN41" s="58" t="str">
        <f t="shared" si="17"/>
        <v/>
      </c>
      <c r="DO41" s="223"/>
      <c r="DP41" s="224"/>
      <c r="DQ41" s="64" t="str">
        <f t="shared" si="18"/>
        <v/>
      </c>
      <c r="DR41" s="280" t="str">
        <f t="array" ref="DR41">_xlfn.IFNA(INDEX('DMR 001C NEW'!$A$3:$O$999,MATCH(('001-C DMR'!$DK$6&amp;'001-C DMR'!DR$10&amp;'001-C DMR'!$B41),('DMR 001C NEW'!$E$3:$E$1112&amp;'DMR 001C NEW'!$B$3:$B$1112&amp;'DMR 001C NEW'!$A$3:$A$1112),0),MATCH('001-C DMR'!$DR$11,'DMR 001C NEW'!$A$2:$O$2,0)),"")</f>
        <v/>
      </c>
      <c r="DS41" s="280" t="str">
        <f t="array" ref="DS41">_xlfn.IFNA(INDEX('DMR 001C NEW'!$A$3:$O$999,MATCH(('001-C DMR'!$DK$6&amp;'001-C DMR'!DS$10&amp;'001-C DMR'!$B41),('DMR 001C NEW'!$E$3:$E$1112&amp;'DMR 001C NEW'!$B$3:$B$1112&amp;'DMR 001C NEW'!$A$3:$A$1112),0),MATCH('001-C DMR'!$DR$11,'DMR 001C NEW'!$A$2:$O$2,0)),"")</f>
        <v/>
      </c>
      <c r="DT41" s="280" t="str">
        <f t="array" ref="DT41">_xlfn.IFNA(INDEX('DMR 001C NEW'!$A$3:$O$999,MATCH(('001-C DMR'!$DK$6&amp;'001-C DMR'!DT$10&amp;'001-C DMR'!$B41),('DMR 001C NEW'!$E$3:$E$1112&amp;'DMR 001C NEW'!$B$3:$B$1112&amp;'DMR 001C NEW'!$A$3:$A$1112),0),MATCH('001-C DMR'!$DR$11,'DMR 001C NEW'!$A$2:$O$2,0)),"")</f>
        <v/>
      </c>
      <c r="DU41" s="280" t="str">
        <f t="array" ref="DU41">_xlfn.IFNA(INDEX('DMR 001C NEW'!$A$3:$O$999,MATCH(('001-C DMR'!$DK$6&amp;'001-C DMR'!DU$10&amp;'001-C DMR'!$B41),('DMR 001C NEW'!$E$3:$E$1112&amp;'DMR 001C NEW'!$B$3:$B$1112&amp;'DMR 001C NEW'!$A$3:$A$1112),0),MATCH('001-C DMR'!$DR$11,'DMR 001C NEW'!$A$2:$O$2,0)),"")</f>
        <v/>
      </c>
      <c r="DV41" s="280" t="str">
        <f t="array" ref="DV41">_xlfn.IFNA(INDEX('DMR 001C NEW'!$A$3:$O$999,MATCH(('001-C DMR'!$DK$6&amp;'001-C DMR'!DV$10&amp;'001-C DMR'!$B41),('DMR 001C NEW'!$E$3:$E$1112&amp;'DMR 001C NEW'!$B$3:$B$1112&amp;'DMR 001C NEW'!$A$3:$A$1112),0),MATCH('001-C DMR'!$DR$11,'DMR 001C NEW'!$A$2:$O$2,0)),"")</f>
        <v/>
      </c>
      <c r="DW41" s="280" t="str">
        <f t="array" ref="DW41">_xlfn.IFNA(INDEX('DMR 001C NEW'!$A$3:$O$999,MATCH(('001-C DMR'!$DK$6&amp;'001-C DMR'!DW$10&amp;'001-C DMR'!$B41),('DMR 001C NEW'!$E$3:$E$1112&amp;'DMR 001C NEW'!$B$3:$B$1112&amp;'DMR 001C NEW'!$A$3:$A$1112),0),MATCH('001-C DMR'!$DR$11,'DMR 001C NEW'!$A$2:$O$2,0)),"")</f>
        <v/>
      </c>
      <c r="DX41" s="280" t="str">
        <f t="array" ref="DX41">_xlfn.IFNA(INDEX('DMR 001C NEW'!$A$3:$O$999,MATCH(('001-C DMR'!$DK$6&amp;'001-C DMR'!DX$10&amp;'001-C DMR'!$B41),('DMR 001C NEW'!$E$3:$E$1112&amp;'DMR 001C NEW'!$B$3:$B$1112&amp;'DMR 001C NEW'!$A$3:$A$1112),0),MATCH('001-C DMR'!$DR$11,'DMR 001C NEW'!$A$2:$O$2,0)),"")</f>
        <v/>
      </c>
      <c r="DY41" s="61" t="str">
        <f t="shared" si="28"/>
        <v/>
      </c>
      <c r="DZ41" s="249" t="str">
        <f t="array" ref="DZ41">_xlfn.IFNA((INDEX('DMR 001C NEW'!$A$3:$O$9999,MATCH(('001-C DMR'!$DY$6&amp;'001-C DMR'!$DY$10&amp;'001-C DMR'!$B41),('DMR 001C NEW'!$E$3:$E$9018&amp;'DMR 001C NEW'!$B$3:$B$9018&amp;'DMR 001C NEW'!$A$3:$A$9018),0),MATCH('001-C DMR'!$DZ$11,'DMR 001C NEW'!$A$2:$O$2,0))),"")</f>
        <v/>
      </c>
      <c r="EA41" s="249" t="str">
        <f t="array" ref="EA41">_xlfn.IFNA((INDEX('DMR 001C NEW'!$A$3:$O$9999,MATCH(('001-C DMR'!$DY$6&amp;'001-C DMR'!$DY$10&amp;'001-C DMR'!$B41),('DMR 001C NEW'!$E$3:$E$9018&amp;'DMR 001C NEW'!$B$3:$B$9018&amp;'DMR 001C NEW'!$A$3:$A$9018),0),MATCH('001-C DMR'!$EA$11,'DMR 001C NEW'!$A$2:$O$2,0))),"")</f>
        <v/>
      </c>
      <c r="EB41" s="249" t="str">
        <f t="array" ref="EB41">IF(EA41="SCRATCHED","",IF(EA41&lt;DZ41,0,EA41))</f>
        <v/>
      </c>
      <c r="EC41" s="249" t="str">
        <f t="shared" si="29"/>
        <v/>
      </c>
      <c r="ED41" s="249" t="str">
        <f t="array" ref="ED41">_xlfn.IFNA((INDEX('DMR 001C NEW'!$A$3:$O$9999,MATCH(('001-C DMR'!$DY$6&amp;'001-C DMR'!$EC$10&amp;'001-C DMR'!$B41),('DMR 001C NEW'!$E$3:$E$9018&amp;'DMR 001C NEW'!$B$3:$B$9018&amp;'DMR 001C NEW'!$A$3:$A$9018),0),MATCH('001-C DMR'!$DZ$11,'DMR 001C NEW'!$A$2:$O$2,0))),"")</f>
        <v/>
      </c>
      <c r="EE41" s="249" t="str">
        <f t="array" ref="EE41">_xlfn.IFNA((INDEX('DMR 001C NEW'!$A$3:$O$9999,MATCH(('001-C DMR'!$DY$6&amp;'001-C DMR'!$EC$10&amp;'001-C DMR'!$B41),('DMR 001C NEW'!$E$3:$E$9018&amp;'DMR 001C NEW'!$B$3:$B$9018&amp;'DMR 001C NEW'!$A$3:$A$9018),0),MATCH('001-C DMR'!$EE$11,'DMR 001C NEW'!$A$2:$O$2,0))),"")</f>
        <v/>
      </c>
      <c r="EF41" s="249" t="str">
        <f t="array" ref="EF41">IF(EE41="SCRATCHED","",IF(EE41&lt;ED41,0,EE41))</f>
        <v/>
      </c>
      <c r="EG41" s="249"/>
      <c r="EH41" s="195"/>
      <c r="EI41" s="194">
        <f t="array" ref="EI41">_xlfn.IFNA(INDEX('DMR Flows-Effluent'!$A$3:$F$186,MATCH(($EI$10&amp;$B41),('DMR Flows-Effluent'!$B$3:$B$186&amp;'DMR Flows-Effluent'!$A$3:$A$186),0),MATCH($EI$8,'DMR Flows-Effluent'!$A$2:$F$2,0)),"")</f>
        <v>45.248399999999997</v>
      </c>
      <c r="EJ41" s="56">
        <f t="array" ref="EJ41">_xlfn.IFNA(INDEX('DMR Flows-Effluent'!$A$3:$F$186,MATCH(($EJ$10&amp;$B41),('DMR Flows-Effluent'!$B$3:$B$186&amp;'DMR Flows-Effluent'!$A$3:$A$186),0),MATCH($EI$8,'DMR Flows-Effluent'!$A$2:$F$2,0)),"")</f>
        <v>74.948700000000002</v>
      </c>
      <c r="EK41" s="168">
        <f t="shared" si="19"/>
        <v>120.19710000000001</v>
      </c>
      <c r="EL41" s="63"/>
      <c r="EM41" s="63"/>
      <c r="EN41" s="63"/>
      <c r="EO41" s="63"/>
      <c r="EP41" s="62"/>
      <c r="EQ41" s="157">
        <f>'E.Coli Calculations'!R35</f>
        <v>103.79923270118194</v>
      </c>
      <c r="ER41" s="56" t="str">
        <f>'E.Coli Calculations'!S35</f>
        <v/>
      </c>
      <c r="ES41" s="64" t="str">
        <f t="shared" si="36"/>
        <v/>
      </c>
      <c r="ET41" s="61" t="str">
        <f t="shared" si="20"/>
        <v/>
      </c>
      <c r="EU41" s="58" t="str">
        <f t="array" ref="EU41">_xlfn.IFNA((INDEX('DMR 001C NEW'!$A$3:$O$9999,MATCH(('001-C DMR'!$ET$6&amp;'001-C DMR'!$ET$10&amp;'001-C DMR'!$B41),('DMR 001C NEW'!$E$3:$E$9018&amp;'DMR 001C NEW'!$B$3:$B$9018&amp;'DMR 001C NEW'!$A$3:$A$9018),0),MATCH('001-C DMR'!$EU$11,'DMR 001C NEW'!$A$2:$O$2,0))),"")</f>
        <v/>
      </c>
      <c r="EV41" s="58" t="str">
        <f t="array" ref="EV41">_xlfn.IFNA(INDEX('DMR 001C NEW'!$A$3:$O$9999,MATCH(('001-C DMR'!$ET$6&amp;'001-C DMR'!$ET$10&amp;'001-C DMR'!$B41),('DMR 001C NEW'!$E$3:$E$9018&amp;'DMR 001C NEW'!$B$3:$B$9018&amp;'DMR 001C NEW'!$A$3:$A$9018),0),MATCH('001-C DMR'!$EV$11,'DMR 001C NEW'!$A$2:$O$2,0)),"")</f>
        <v/>
      </c>
      <c r="EW41" s="56" t="str">
        <f t="shared" si="21"/>
        <v/>
      </c>
      <c r="EX41" s="64"/>
      <c r="EY41" s="279" t="str">
        <f t="array" ref="EY41">_xlfn.IFNA(INDEX('DMR 001C NEW'!$A$3:$O$999,MATCH(('001-C DMR'!$ET$6&amp;'001-C DMR'!EY$10&amp;'001-C DMR'!$B41),('DMR 001C NEW'!$E$3:$E$1112&amp;'DMR 001C NEW'!$B$3:$B$1112&amp;'DMR 001C NEW'!$A$3:$A$1112),0),MATCH('001-C DMR'!$EY$11,'DMR 001C NEW'!$A$2:$O$2,0)),"")</f>
        <v/>
      </c>
      <c r="EZ41" s="280" t="str">
        <f t="array" ref="EZ41">_xlfn.IFNA(INDEX('DMR 001C NEW'!$A$3:$O$999,MATCH(('001-C DMR'!$ET$6&amp;'001-C DMR'!EZ$10&amp;'001-C DMR'!$B41),('DMR 001C NEW'!$E$3:$E$1112&amp;'DMR 001C NEW'!$B$3:$B$1112&amp;'DMR 001C NEW'!$A$3:$A$1112),0),MATCH('001-C DMR'!$EY$11,'DMR 001C NEW'!$A$2:$O$2,0)),"")</f>
        <v/>
      </c>
      <c r="FA41" s="280" t="str">
        <f t="array" ref="FA41">_xlfn.IFNA(INDEX('DMR 001C NEW'!$A$3:$O$999,MATCH(('001-C DMR'!$ET$6&amp;'001-C DMR'!FA$10&amp;'001-C DMR'!$B41),('DMR 001C NEW'!$E$3:$E$1112&amp;'DMR 001C NEW'!$B$3:$B$1112&amp;'DMR 001C NEW'!$A$3:$A$1112),0),MATCH('001-C DMR'!$EY$11,'DMR 001C NEW'!$A$2:$O$2,0)),"")</f>
        <v/>
      </c>
      <c r="FB41" s="280" t="str">
        <f t="array" ref="FB41">_xlfn.IFNA(INDEX('DMR 001C NEW'!$A$3:$O$999,MATCH(('001-C DMR'!$ET$6&amp;'001-C DMR'!FB$10&amp;'001-C DMR'!$B41),('DMR 001C NEW'!$E$3:$E$1112&amp;'DMR 001C NEW'!$B$3:$B$1112&amp;'DMR 001C NEW'!$A$3:$A$1112),0),MATCH('001-C DMR'!$EY$11,'DMR 001C NEW'!$A$2:$O$2,0)),"")</f>
        <v/>
      </c>
      <c r="FC41" s="280" t="str">
        <f t="array" ref="FC41">_xlfn.IFNA(INDEX('DMR 001C NEW'!$A$3:$O$999,MATCH(('001-C DMR'!$ET$6&amp;'001-C DMR'!FC$10&amp;'001-C DMR'!$B41),('DMR 001C NEW'!$E$3:$E$1112&amp;'DMR 001C NEW'!$B$3:$B$1112&amp;'DMR 001C NEW'!$A$3:$A$1112),0),MATCH('001-C DMR'!$EY$11,'DMR 001C NEW'!$A$2:$O$2,0)),"")</f>
        <v/>
      </c>
      <c r="FD41" s="280" t="str">
        <f t="array" ref="FD41">_xlfn.IFNA(INDEX('DMR 001C NEW'!$A$3:$O$999,MATCH(('001-C DMR'!$ET$6&amp;'001-C DMR'!FD$10&amp;'001-C DMR'!$B41),('DMR 001C NEW'!$E$3:$E$1112&amp;'DMR 001C NEW'!$B$3:$B$1112&amp;'DMR 001C NEW'!$A$3:$A$1112),0),MATCH('001-C DMR'!$EY$11,'DMR 001C NEW'!$A$2:$O$2,0)),"")</f>
        <v/>
      </c>
      <c r="FE41" s="281" t="str">
        <f t="array" ref="FE41">_xlfn.IFNA(INDEX('DMR 001C NEW'!$A$3:$O$999,MATCH(('001-C DMR'!$ET$6&amp;'001-C DMR'!FE$10&amp;'001-C DMR'!$B41),('DMR 001C NEW'!$E$3:$E$1112&amp;'DMR 001C NEW'!$B$3:$B$1112&amp;'DMR 001C NEW'!$A$3:$A$1112),0),MATCH('001-C DMR'!$EY$11,'DMR 001C NEW'!$A$2:$O$2,0)),"")</f>
        <v/>
      </c>
      <c r="FF41" s="57" t="str">
        <f t="shared" si="22"/>
        <v/>
      </c>
      <c r="FG41" s="56">
        <f t="array" ref="FG41">_xlfn.IFNA(INDEX('DMR 001C NEW'!$A$3:$O$9999,MATCH(('001-C DMR'!$FF$6&amp;'001-C DMR'!$FF$10&amp;'001-C DMR'!$B41),('DMR 001C NEW'!$E$3:$E$7246&amp;'DMR 001C NEW'!$B$3:$B$7246&amp;'DMR 001C NEW'!$A$3:$A$7246),0),MATCH('001-C DMR'!$FG$11,'DMR 001C NEW'!$A$2:$O$2,0)),"")</f>
        <v>1</v>
      </c>
      <c r="FH41" s="56">
        <f t="array" ref="FH41">_xlfn.IFNA(INDEX('DMR 001C NEW'!$A$3:$O$9999,MATCH(('001-C DMR'!$FF$6&amp;'001-C DMR'!$FF$10&amp;'001-C DMR'!$B41),('DMR 001C NEW'!$E$3:$E$7246&amp;'DMR 001C NEW'!$B$3:$B$7246&amp;'DMR 001C NEW'!$A$3:$A$7246),0),MATCH('001-C DMR'!$FH$11,'DMR 001C NEW'!$A$2:$O$2,0)),"")</f>
        <v>10</v>
      </c>
      <c r="FI41" s="57" t="str">
        <f t="shared" si="23"/>
        <v/>
      </c>
      <c r="FJ41" s="56">
        <f t="array" ref="FJ41">_xlfn.IFNA(INDEX('DMR 001C NEW'!$A$3:$O$9999,MATCH(('001-C DMR'!$FF$6&amp;'001-C DMR'!$FI$10&amp;'001-C DMR'!$B41),('DMR 001C NEW'!$E$3:$E$7246&amp;'DMR 001C NEW'!$B$3:$B$7246&amp;'DMR 001C NEW'!$A$3:$A$7246),0),MATCH('001-C DMR'!$FG$11,'DMR 001C NEW'!$A$2:$O$2,0)),"")</f>
        <v>1</v>
      </c>
      <c r="FK41" s="56">
        <f t="array" ref="FK41">_xlfn.IFNA(INDEX('DMR 001C NEW'!$A$3:$O$9999,MATCH(('001-C DMR'!$FF$6&amp;'001-C DMR'!$FI$10&amp;'001-C DMR'!$B41),('DMR 001C NEW'!$E$3:$E$7246&amp;'DMR 001C NEW'!$B$3:$B$7246&amp;'DMR 001C NEW'!$A$3:$A$7246),0),MATCH('001-C DMR'!$FH$11,'DMR 001C NEW'!$A$2:$O$2,0)),"")</f>
        <v>10</v>
      </c>
      <c r="FL41" s="56">
        <f t="array" ref="FL41">IFERROR((($FH41*$EI41)+($FK41*$EJ41))/($EK41),"")</f>
        <v>10</v>
      </c>
      <c r="FM41" s="56" t="str">
        <f t="shared" si="43"/>
        <v/>
      </c>
      <c r="FN41" s="64" t="str">
        <f t="shared" si="37"/>
        <v/>
      </c>
      <c r="FO41" s="66"/>
      <c r="FP41" s="280" t="str">
        <f t="array" ref="FP41">_xlfn.IFNA(INDEX('DMR 001C NEW'!$A$3:$O$999,MATCH(('001-C DMR'!$FF$6&amp;'001-C DMR'!FP$10&amp;'001-C DMR'!$B41),('DMR 001C NEW'!$E$3:$E$1112&amp;'DMR 001C NEW'!$B$3:$B$1112&amp;'DMR 001C NEW'!$A$3:$A$1112),0),MATCH('001-C DMR'!$FH$11,'DMR 001C NEW'!$A$2:$O$2,0)),"")</f>
        <v/>
      </c>
      <c r="FQ41" s="280" t="str">
        <f t="array" ref="FQ41">_xlfn.IFNA(INDEX('DMR 001C NEW'!$A$3:$O$999,MATCH(('001-C DMR'!$FF$6&amp;'001-C DMR'!FQ$10&amp;'001-C DMR'!$B41),('DMR 001C NEW'!$E$3:$E$1112&amp;'DMR 001C NEW'!$B$3:$B$1112&amp;'DMR 001C NEW'!$A$3:$A$1112),0),MATCH('001-C DMR'!$FH$11,'DMR 001C NEW'!$A$2:$O$2,0)),"")</f>
        <v/>
      </c>
      <c r="FR41" s="280" t="str">
        <f t="array" ref="FR41">_xlfn.IFNA(INDEX('DMR 001C NEW'!$A$3:$O$999,MATCH(('001-C DMR'!$FF$6&amp;'001-C DMR'!FR$10&amp;'001-C DMR'!$B41),('DMR 001C NEW'!$E$3:$E$1112&amp;'DMR 001C NEW'!$B$3:$B$1112&amp;'DMR 001C NEW'!$A$3:$A$1112),0),MATCH('001-C DMR'!$FH$11,'DMR 001C NEW'!$A$2:$O$2,0)),"")</f>
        <v/>
      </c>
      <c r="FS41" s="280" t="str">
        <f t="array" ref="FS41">_xlfn.IFNA(INDEX('DMR 001C NEW'!$A$3:$O$999,MATCH(('001-C DMR'!$FF$6&amp;'001-C DMR'!FS$10&amp;'001-C DMR'!$B41),('DMR 001C NEW'!$E$3:$E$1112&amp;'DMR 001C NEW'!$B$3:$B$1112&amp;'DMR 001C NEW'!$A$3:$A$1112),0),MATCH('001-C DMR'!$FH$11,'DMR 001C NEW'!$A$2:$O$2,0)),"")</f>
        <v/>
      </c>
      <c r="FT41" s="280" t="str">
        <f t="array" ref="FT41">_xlfn.IFNA(INDEX('DMR 001C NEW'!$A$3:$O$999,MATCH(('001-C DMR'!$FF$6&amp;'001-C DMR'!FT$10&amp;'001-C DMR'!$B41),('DMR 001C NEW'!$E$3:$E$1112&amp;'DMR 001C NEW'!$B$3:$B$1112&amp;'DMR 001C NEW'!$A$3:$A$1112),0),MATCH('001-C DMR'!$FH$11,'DMR 001C NEW'!$A$2:$O$2,0)),"")</f>
        <v/>
      </c>
      <c r="FU41" s="280" t="str">
        <f t="array" ref="FU41">_xlfn.IFNA(INDEX('DMR 001C NEW'!$A$3:$O$999,MATCH(('001-C DMR'!$FF$6&amp;'001-C DMR'!FU$10&amp;'001-C DMR'!$B41),('DMR 001C NEW'!$E$3:$E$1112&amp;'DMR 001C NEW'!$B$3:$B$1112&amp;'DMR 001C NEW'!$A$3:$A$1112),0),MATCH('001-C DMR'!$FH$11,'DMR 001C NEW'!$A$2:$O$2,0)),"")</f>
        <v/>
      </c>
      <c r="FV41" s="66"/>
      <c r="FW41" s="61" t="str">
        <f t="shared" si="24"/>
        <v/>
      </c>
      <c r="FX41" s="58" t="str">
        <f t="array" ref="FX41">_xlfn.IFNA(INDEX('DMR 001C NEW'!$A$3:$O$9999,MATCH(('001-C DMR'!$FW$6&amp;'001-C DMR'!$FW$10&amp;'001-C DMR'!$B41),('DMR 001C NEW'!$E$3:$E$7246&amp;'DMR 001C NEW'!$B$3:$B$7246&amp;'DMR 001C NEW'!$A$3:$A$7246),0),MATCH('001-C DMR'!$FX$11,'DMR 001C NEW'!$A$2:$O$2,0)),"")</f>
        <v/>
      </c>
      <c r="FY41" s="58" t="str">
        <f t="array" ref="FY41">_xlfn.IFNA(INDEX('DMR 001C NEW'!$A$3:$O$9999,MATCH(('001-C DMR'!$FW$6&amp;'001-C DMR'!$FW$10&amp;'001-C DMR'!$B41),('DMR 001C NEW'!$E$3:$E$7246&amp;'DMR 001C NEW'!$B$3:$B$7246&amp;'DMR 001C NEW'!$A$3:$A$7246),0),MATCH('001-C DMR'!$FY$11,'DMR 001C NEW'!$A$2:$O$2,0)),"")</f>
        <v/>
      </c>
      <c r="FZ41" s="57" t="str">
        <f t="shared" si="25"/>
        <v/>
      </c>
      <c r="GA41" s="58" t="str">
        <f t="array" ref="GA41">_xlfn.IFNA(INDEX('DMR 001C NEW'!$A$3:$O$9999,MATCH(('001-C DMR'!$FW$6&amp;'001-C DMR'!$FZ$10&amp;'001-C DMR'!$B41),('DMR 001C NEW'!$E$3:$E$7246&amp;'DMR 001C NEW'!$B$3:$B$7246&amp;'DMR 001C NEW'!$A$3:$A$7246),0),MATCH('001-C DMR'!$FX$11,'DMR 001C NEW'!$A$2:$O$2,0)),"")</f>
        <v/>
      </c>
      <c r="GB41" s="58" t="str">
        <f t="array" ref="GB41">_xlfn.IFNA(INDEX('DMR 001C NEW'!$A$3:$O$9999,MATCH(('001-C DMR'!$FW$6&amp;'001-C DMR'!$FZ$10&amp;'001-C DMR'!$B41),('DMR 001C NEW'!$E$3:$E$7246&amp;'DMR 001C NEW'!$B$3:$B$7246&amp;'DMR 001C NEW'!$A$3:$A$7246),0),MATCH('001-C DMR'!$GB$11,'DMR 001C NEW'!$A$2:$O$2,0)),"")</f>
        <v/>
      </c>
      <c r="GC41" s="56" t="str">
        <f t="shared" si="4"/>
        <v/>
      </c>
      <c r="GD41" s="64" t="str">
        <f t="shared" si="38"/>
        <v/>
      </c>
      <c r="GE41" s="279" t="str">
        <f t="array" ref="GE41">_xlfn.IFNA(INDEX('DMR 001C NEW'!$A$3:$O$999,MATCH(('001-C DMR'!$FW$6&amp;'001-C DMR'!GE$10&amp;'001-C DMR'!$B41),('DMR 001C NEW'!$E$3:$E$1112&amp;'DMR 001C NEW'!$B$3:$B$1112&amp;'DMR 001C NEW'!$A$3:$A$1112),0),MATCH('001-C DMR'!$FY$11,'DMR 001C NEW'!$A$2:$O$2,0)),"")</f>
        <v/>
      </c>
      <c r="GF41" s="280" t="str">
        <f t="array" ref="GF41">_xlfn.IFNA(INDEX('DMR 001C NEW'!$A$3:$O$999,MATCH(('001-C DMR'!$FW$6&amp;'001-C DMR'!GF$10&amp;'001-C DMR'!$B41),('DMR 001C NEW'!$E$3:$E$1112&amp;'DMR 001C NEW'!$B$3:$B$1112&amp;'DMR 001C NEW'!$A$3:$A$1112),0),MATCH('001-C DMR'!$FY$11,'DMR 001C NEW'!$A$2:$O$2,0)),"")</f>
        <v/>
      </c>
      <c r="GG41" s="280" t="str">
        <f t="array" ref="GG41">_xlfn.IFNA(INDEX('DMR 001C NEW'!$A$3:$O$999,MATCH(('001-C DMR'!$FW$6&amp;'001-C DMR'!GG$10&amp;'001-C DMR'!$B41),('DMR 001C NEW'!$E$3:$E$1112&amp;'DMR 001C NEW'!$B$3:$B$1112&amp;'DMR 001C NEW'!$A$3:$A$1112),0),MATCH('001-C DMR'!$FY$11,'DMR 001C NEW'!$A$2:$O$2,0)),"")</f>
        <v/>
      </c>
      <c r="GH41" s="280" t="str">
        <f t="array" ref="GH41">_xlfn.IFNA(INDEX('DMR 001C NEW'!$A$3:$O$999,MATCH(('001-C DMR'!$FW$6&amp;'001-C DMR'!GH$10&amp;'001-C DMR'!$B41),('DMR 001C NEW'!$E$3:$E$1112&amp;'DMR 001C NEW'!$B$3:$B$1112&amp;'DMR 001C NEW'!$A$3:$A$1112),0),MATCH('001-C DMR'!$FY$11,'DMR 001C NEW'!$A$2:$O$2,0)),"")</f>
        <v/>
      </c>
      <c r="GI41" s="280" t="str">
        <f t="array" ref="GI41">_xlfn.IFNA(INDEX('DMR 001C NEW'!$A$3:$O$999,MATCH(('001-C DMR'!$FW$6&amp;'001-C DMR'!GI$10&amp;'001-C DMR'!$B41),('DMR 001C NEW'!$E$3:$E$1112&amp;'DMR 001C NEW'!$B$3:$B$1112&amp;'DMR 001C NEW'!$A$3:$A$1112),0),MATCH('001-C DMR'!$FY$11,'DMR 001C NEW'!$A$2:$O$2,0)),"")</f>
        <v/>
      </c>
      <c r="GJ41" s="281" t="str">
        <f t="array" ref="GJ41">_xlfn.IFNA(INDEX('DMR 001C NEW'!$A$3:$O$999,MATCH(('001-C DMR'!$FW$6&amp;'001-C DMR'!GJ$10&amp;'001-C DMR'!$B41),('DMR 001C NEW'!$E$3:$E$1112&amp;'DMR 001C NEW'!$B$3:$B$1112&amp;'DMR 001C NEW'!$A$3:$A$1112),0),MATCH('001-C DMR'!$FY$11,'DMR 001C NEW'!$A$2:$O$2,0)),"")</f>
        <v/>
      </c>
      <c r="GK41" s="58" t="str">
        <f t="array" ref="GK41">_xlfn.IFNA(INDEX('DMR 001C NEW'!$A$3:$O$9999,MATCH(('001-C DMR'!$GK$6&amp;'001-C DMR'!$GK$10&amp;'001-C DMR'!$B41),('DMR 001C NEW'!$E$3:$E$9018&amp;'DMR 001C NEW'!$B$3:$B$9018&amp;'DMR 001C NEW'!$A$3:$A$9018),0),MATCH('001-C DMR'!$GK$11,'DMR 001C NEW'!$A$2:$O$2,0)),"")</f>
        <v>n</v>
      </c>
      <c r="GL41" s="58" t="str">
        <f t="array" ref="GL41">_xlfn.IFNA(INDEX('DMR 001C NEW'!$A$3:$O$9999,MATCH(('001-C DMR'!$GK$6&amp;'001-C DMR'!$GL$10&amp;'001-C DMR'!$B41),('DMR 001C NEW'!$E$3:$E$9018&amp;'DMR 001C NEW'!$B$3:$B$9018&amp;'DMR 001C NEW'!$A$3:$A$9018),0),MATCH('001-C DMR'!$GK$11,'DMR 001C NEW'!$A$2:$O$2,0)),"")</f>
        <v>n</v>
      </c>
      <c r="GM41" s="134"/>
      <c r="GN41" s="64" t="str">
        <f t="shared" si="44"/>
        <v/>
      </c>
    </row>
    <row r="42" spans="1:196" s="51" customFormat="1" ht="15.75" thickBot="1" x14ac:dyDescent="0.3">
      <c r="A42" s="67" t="str">
        <f t="shared" si="5"/>
        <v>Tue</v>
      </c>
      <c r="B42" s="216">
        <f t="shared" si="26"/>
        <v>43704</v>
      </c>
      <c r="C42" s="93">
        <f t="array" ref="C42">INDEX('DMR 001C NEW'!$A$3:$N$10020,MATCH(('001-C DMR'!$C$6:$K$6&amp;'001-C DMR'!$C$10:$E$10&amp;'001-C DMR'!$B42),('DMR 001C NEW'!$E$3:$E$7246&amp;'DMR 001C NEW'!$B$3:$B$7246&amp;'DMR 001C NEW'!$A$3:$A$7246),0),MATCH('001-C DMR'!$C$11,'DMR 001C NEW'!$A$2:$O$2,0))</f>
        <v>5.8</v>
      </c>
      <c r="D42" s="56" t="str">
        <f t="array" ref="D42">INDEX('DMR 001C NEW'!$A$3:$N$11771,MATCH(('001-C DMR'!$C$6:$K$6&amp;'001-C DMR'!$C$10:$E$10&amp;'001-C DMR'!$B42),('DMR 001C NEW'!$E$3:$E$9018&amp;'DMR 001C NEW'!$B$3:$B$9018&amp;'DMR 001C NEW'!$A$3:$A$9018),0),MATCH('001-C DMR'!$D$11,'DMR 001C NEW'!$A$2:$O$2,0))</f>
        <v>AE70564</v>
      </c>
      <c r="E42" s="56">
        <f t="array" ref="E42">INDEX('DMR 001C NEW'!$A$3:$N$9999,MATCH(('001-C DMR'!$E$11&amp;'001-C DMR'!$C$10:$E$10&amp;'001-C DMR'!$B42&amp;$D42),('DMR 001C NEW'!$E$3:$E$7246&amp;'DMR 001C NEW'!$B$3:$B$7246&amp;'DMR 001C NEW'!$A$3:$A$7246&amp;'DMR 001C NEW'!$M$3:$M$7188),0),MATCH($C$11,'DMR 001C NEW'!$A$2:$O$2,0))</f>
        <v>47.99</v>
      </c>
      <c r="F42" s="56">
        <f t="array" ref="F42">INDEX('DMR 001C NEW'!$A$3:$N$9999,MATCH('001-C DMR'!$C$6:$K$6&amp;'001-C DMR'!$F$10&amp;'001-C DMR'!$B42,('DMR 001C NEW'!$E$3:$E$7246&amp;'DMR 001C NEW'!$B$3:$B$7246&amp;'DMR 001C NEW'!$A$3:$A$7246),0),MATCH('001-C DMR'!$C$11,'DMR 001C NEW'!$A$2:$O$2,0))</f>
        <v>6.5</v>
      </c>
      <c r="G42" s="56" t="str">
        <f t="array" ref="G42">INDEX('DMR 001C NEW'!$A$3:$N$3865,MATCH(('001-C DMR'!$C$6:$K$6&amp;'001-C DMR'!$F$10&amp;'001-C DMR'!$B42),('DMR 001C NEW'!$E$3:$E$1112&amp;'DMR 001C NEW'!$B$3:$B$1112&amp;'DMR 001C NEW'!$A$3:$A$1112),0),MATCH('001-C DMR'!$D$11,'DMR 001C NEW'!$A$2:$O$2,0))</f>
        <v>AE70565</v>
      </c>
      <c r="H42" s="56">
        <f t="array" ref="H42">INDEX('DMR 001C NEW'!$A$3:$N$9999,MATCH(('001-C DMR'!$E$11&amp;'001-C DMR'!$F$10&amp;'001-C DMR'!$B42&amp;$G42),('DMR 001C NEW'!$E$3:$E$7246&amp;'DMR 001C NEW'!$B$3:$B$7246&amp;'DMR 001C NEW'!$A$3:$A$7246&amp;'DMR 001C NEW'!$M$3:$M$7188),0),MATCH($C$11,'DMR 001C NEW'!$A$2:$O$2,0))</f>
        <v>79.349999999999994</v>
      </c>
      <c r="I42" s="56">
        <f t="shared" si="0"/>
        <v>6.2361944400816709</v>
      </c>
      <c r="J42" s="58" t="str">
        <f t="shared" si="39"/>
        <v/>
      </c>
      <c r="K42" s="64" t="str">
        <f t="shared" si="40"/>
        <v/>
      </c>
      <c r="L42" s="262" t="str">
        <f t="array" ref="L42">_xlfn.IFNA(INDEX('DMR 001C NEW'!$A$3:$N$3865,MATCH(('001-C DMR'!$C$6:$K$6&amp;'001-C DMR'!L$10&amp;'001-C DMR'!$B42),('DMR 001C NEW'!$E$3:$E$1112&amp;'DMR 001C NEW'!$B$3:$B$1112&amp;'DMR 001C NEW'!$A$3:$A$1112),0),MATCH('001-C DMR'!$C$11,'DMR 001C NEW'!$A$2:$O$2,0)),"")</f>
        <v/>
      </c>
      <c r="M42" s="262" t="str">
        <f t="array" ref="M42">_xlfn.IFNA(INDEX('DMR 001C NEW'!$A$3:$N$3865,MATCH(('001-C DMR'!$C$6:$K$6&amp;'001-C DMR'!M$10&amp;'001-C DMR'!$B42),('DMR 001C NEW'!$E$3:$E$1112&amp;'DMR 001C NEW'!$B$3:$B$1112&amp;'DMR 001C NEW'!$A$3:$A$1112),0),MATCH('001-C DMR'!$C$11,'DMR 001C NEW'!$A$2:$O$2,0)),"")</f>
        <v/>
      </c>
      <c r="N42" s="262" t="str">
        <f t="array" ref="N42">_xlfn.IFNA(INDEX('DMR 001C NEW'!$A$3:$N$3865,MATCH(('001-C DMR'!$C$6:$K$6&amp;'001-C DMR'!N$10&amp;'001-C DMR'!$B42),('DMR 001C NEW'!$E$3:$E$1112&amp;'DMR 001C NEW'!$B$3:$B$1112&amp;'DMR 001C NEW'!$A$3:$A$1112),0),MATCH('001-C DMR'!$C$11,'DMR 001C NEW'!$A$2:$O$2,0)),"")</f>
        <v/>
      </c>
      <c r="O42" s="262" t="str">
        <f t="array" ref="O42">_xlfn.IFNA(INDEX('DMR 001C NEW'!$A$3:$N$3865,MATCH(('001-C DMR'!$C$6:$K$6&amp;'001-C DMR'!O$10&amp;'001-C DMR'!$B42),('DMR 001C NEW'!$E$3:$E$1112&amp;'DMR 001C NEW'!$B$3:$B$1112&amp;'DMR 001C NEW'!$A$3:$A$1112),0),MATCH('001-C DMR'!$C$11,'DMR 001C NEW'!$A$2:$O$2,0)),"")</f>
        <v/>
      </c>
      <c r="P42" s="262" t="str">
        <f t="array" ref="P42">_xlfn.IFNA(INDEX('DMR 001C NEW'!$A$3:$N$3865,MATCH(('001-C DMR'!$C$6:$K$6&amp;'001-C DMR'!P$10&amp;'001-C DMR'!$B42),('DMR 001C NEW'!$E$3:$E$1112&amp;'DMR 001C NEW'!$B$3:$B$1112&amp;'DMR 001C NEW'!$A$3:$A$1112),0),MATCH('001-C DMR'!$C$11,'DMR 001C NEW'!$A$2:$O$2,0)),"")</f>
        <v/>
      </c>
      <c r="Q42" s="121" t="e">
        <f t="array" ref="Q42">INDEX('DMR 001C NEW'!$A$3:$N$3865,MATCH(('001-C DMR'!$C$6:$K$6&amp;'001-C DMR'!Q$10&amp;'001-C DMR'!$B42),('DMR 001C NEW'!$E$3:$E$1112&amp;'DMR 001C NEW'!$B$3:$B$1112&amp;'DMR 001C NEW'!$A$3:$A$1112),0),MATCH('001-C DMR'!$C$11,'DMR 001C NEW'!$A$2:$O$2,0))</f>
        <v>#N/A</v>
      </c>
      <c r="R42" s="61"/>
      <c r="S42" s="56">
        <f t="array" ref="S42">_xlfn.IFNA(INDEX('DMR 001C NEW'!$A$3:$N$11771,MATCH(('001-C DMR'!$R$6:$T$6&amp;'001-C DMR'!$R$10&amp;'001-C DMR'!$B42),('DMR 001C NEW'!$E$3:$E$9018&amp;'DMR 001C NEW'!$B$3:$B$9018&amp;'DMR 001C NEW'!$A$3:$A$9018),0),MATCH('001-C DMR'!$S$11,'DMR 001C NEW'!$A$2:$O$2,0)),"")</f>
        <v>7.1</v>
      </c>
      <c r="T42" s="64" t="str">
        <f t="shared" si="41"/>
        <v/>
      </c>
      <c r="U42" s="262" t="str">
        <f t="array" ref="U42">_xlfn.IFNA(INDEX('DMR 001C NEW'!$A$3:$O$591,MATCH('001-C DMR'!$R$6:$T$6&amp;'001-C DMR'!U$10&amp;'001-C DMR'!$B42,('DMR 001C NEW'!$E$3:$E$704&amp;'DMR 001C NEW'!$B$3:$B$704&amp;'DMR 001C NEW'!$A$3:$A$704),0),MATCH('001-C DMR'!$U$11,'DMR 001C NEW'!$A$2:$O$2,0)),"")</f>
        <v/>
      </c>
      <c r="V42" s="262" t="str">
        <f t="array" ref="V42">_xlfn.IFNA(INDEX('DMR 001C NEW'!$A$3:$O$591,MATCH('001-C DMR'!$R$6:$T$6&amp;'001-C DMR'!V$10&amp;'001-C DMR'!$B42,('DMR 001C NEW'!$E$3:$E$704&amp;'DMR 001C NEW'!$B$3:$B$704&amp;'DMR 001C NEW'!$A$3:$A$704),0),MATCH('001-C DMR'!$U$11,'DMR 001C NEW'!$A$2:$O$2,0)),"")</f>
        <v/>
      </c>
      <c r="W42" s="262" t="str">
        <f t="array" ref="W42">_xlfn.IFNA(INDEX('DMR 001C NEW'!$A$3:$O$591,MATCH('001-C DMR'!$R$6:$T$6&amp;'001-C DMR'!W$10&amp;'001-C DMR'!$B42,('DMR 001C NEW'!$E$3:$E$704&amp;'DMR 001C NEW'!$B$3:$B$704&amp;'DMR 001C NEW'!$A$3:$A$704),0),MATCH('001-C DMR'!$U$11,'DMR 001C NEW'!$A$2:$O$2,0)),"")</f>
        <v/>
      </c>
      <c r="X42" s="262" t="str">
        <f t="array" ref="X42">_xlfn.IFNA(INDEX('DMR 001C NEW'!$A$3:$O$591,MATCH('001-C DMR'!$R$6:$T$6&amp;'001-C DMR'!X$10&amp;'001-C DMR'!$B42,('DMR 001C NEW'!$E$3:$E$704&amp;'DMR 001C NEW'!$B$3:$B$704&amp;'DMR 001C NEW'!$A$3:$A$704),0),MATCH('001-C DMR'!$U$11,'DMR 001C NEW'!$A$2:$O$2,0)),"")</f>
        <v/>
      </c>
      <c r="Y42" s="262" t="str">
        <f t="array" ref="Y42">_xlfn.IFNA(INDEX('DMR 001C NEW'!$A$3:$O$591,MATCH('001-C DMR'!$R$6:$T$6&amp;'001-C DMR'!Y$10&amp;'001-C DMR'!$B42,('DMR 001C NEW'!$E$3:$E$704&amp;'DMR 001C NEW'!$B$3:$B$704&amp;'DMR 001C NEW'!$A$3:$A$704),0),MATCH('001-C DMR'!$U$11,'DMR 001C NEW'!$A$2:$O$2,0)),"")</f>
        <v/>
      </c>
      <c r="Z42" s="262" t="str">
        <f t="array" ref="Z42">_xlfn.IFNA(INDEX('DMR 001C NEW'!$A$3:$O$591,MATCH('001-C DMR'!$R$6:$T$6&amp;'001-C DMR'!Z$10&amp;'001-C DMR'!$B42,('DMR 001C NEW'!$E$3:$E$704&amp;'DMR 001C NEW'!$B$3:$B$704&amp;'DMR 001C NEW'!$A$3:$A$704),0),MATCH('001-C DMR'!$U$11,'DMR 001C NEW'!$A$2:$O$2,0)),"")</f>
        <v/>
      </c>
      <c r="AA42" s="262" t="str">
        <f t="array" ref="AA42">_xlfn.IFNA(INDEX('DMR 001C NEW'!$A$3:$O$591,MATCH('001-C DMR'!$R$6:$T$6&amp;'001-C DMR'!AA$10&amp;'001-C DMR'!$B42,('DMR 001C NEW'!$E$3:$E$704&amp;'DMR 001C NEW'!$B$3:$B$704&amp;'DMR 001C NEW'!$A$3:$A$704),0),MATCH('001-C DMR'!$U$11,'DMR 001C NEW'!$A$2:$O$2,0)),"")</f>
        <v/>
      </c>
      <c r="AB42" s="61" t="str">
        <f t="array" ref="AB42">IF(AD42&lt;AC42,"&lt;","")</f>
        <v/>
      </c>
      <c r="AC42" s="56">
        <f t="array" ref="AC42">_xlfn.IFNA(INDEX('DMR 001C NEW'!$A$3:$O$9999,MATCH(('001-C DMR'!$AB$6:$AJ$6&amp;'001-C DMR'!$AB$10:$AD$10&amp;'001-C DMR'!$B42),('DMR 001C NEW'!$E$3:$E$7246&amp;'DMR 001C NEW'!$B$3:$B$7246&amp;'DMR 001C NEW'!$A$3:$A$7246),0),MATCH('001-C DMR'!$AC$11,'DMR 001C NEW'!$A$2:$O$2,0)),"")</f>
        <v>3</v>
      </c>
      <c r="AD42" s="56">
        <f t="array" ref="AD42">_xlfn.IFNA(INDEX('DMR 001C NEW'!$A$3:$O$9999,MATCH(('001-C DMR'!$AB$6:$AJ$6&amp;'001-C DMR'!$AB$10:$AD$10&amp;'001-C DMR'!$B42),('DMR 001C NEW'!$E$3:$E$7246&amp;'DMR 001C NEW'!$B$3:$B$7246&amp;'DMR 001C NEW'!$A$3:$A$7246),0),MATCH('001-C DMR'!$AD$11,'DMR 001C NEW'!$A$2:$O$2,0)),"")</f>
        <v>12</v>
      </c>
      <c r="AE42" s="57" t="str">
        <f t="array" ref="AE42">IF(AG42&lt;AF42,"&lt;","")</f>
        <v/>
      </c>
      <c r="AF42" s="56">
        <f t="array" ref="AF42">_xlfn.IFNA(INDEX('DMR 001C NEW'!$A$3:$O$9999,MATCH(('001-C DMR'!$AB$6:$AJ$6&amp;'001-C DMR'!$AE$10&amp;'001-C DMR'!$B42),('DMR 001C NEW'!$E$3:$E$9018&amp;'DMR 001C NEW'!$B$3:$B$9018&amp;'DMR 001C NEW'!$A$3:$A$9018),0),MATCH('001-C DMR'!$AF$11,'DMR 001C NEW'!$A$2:$O$2,0)),"")</f>
        <v>3</v>
      </c>
      <c r="AG42" s="56">
        <f t="array" ref="AG42">_xlfn.IFNA(INDEX('DMR 001C NEW'!$A$3:$O$9999,MATCH(('001-C DMR'!$AB$6:$AJ$6&amp;'001-C DMR'!$AE$10&amp;'001-C DMR'!$B42),('DMR 001C NEW'!$E$3:$E$9018&amp;'DMR 001C NEW'!$B$3:$B$9018&amp;'DMR 001C NEW'!$A$3:$A$9018),0),MATCH('001-C DMR'!$AG$11,'DMR 001C NEW'!$A$2:$O$2,0)),"")</f>
        <v>11</v>
      </c>
      <c r="AH42" s="56">
        <f t="array" ref="AH42">IFERROR((($AD42*$EI42)+($AG42*$EJ42))/($EK42),"")</f>
        <v>11.351433371082138</v>
      </c>
      <c r="AI42" s="56" t="str">
        <f t="shared" si="42"/>
        <v/>
      </c>
      <c r="AJ42" s="64" t="str">
        <f t="shared" si="30"/>
        <v/>
      </c>
      <c r="AK42" s="262" t="str">
        <f t="array" ref="AK42">_xlfn.IFNA(INDEX('DMR 001C NEW'!$A$3:$O$999,MATCH(('001-C DMR'!$AB$6:$AJ$6&amp;'001-C DMR'!AK$10&amp;'001-C DMR'!$B42),('DMR 001C NEW'!$E$3:$E$1112&amp;'DMR 001C NEW'!$B$3:$B$1112&amp;'DMR 001C NEW'!$A$3:$A$1112),0),MATCH('001-C DMR'!$AD$11,'DMR 001C NEW'!$A$2:$O$2,0)),"")</f>
        <v/>
      </c>
      <c r="AL42" s="262" t="str">
        <f t="array" ref="AL42">_xlfn.IFNA(INDEX('DMR 001C NEW'!$A$3:$O$999,MATCH(('001-C DMR'!$AB$6:$AJ$6&amp;'001-C DMR'!AL$10&amp;'001-C DMR'!$B42),('DMR 001C NEW'!$E$3:$E$1112&amp;'DMR 001C NEW'!$B$3:$B$1112&amp;'DMR 001C NEW'!$A$3:$A$1112),0),MATCH('001-C DMR'!$AD$11,'DMR 001C NEW'!$A$2:$O$2,0)),"")</f>
        <v/>
      </c>
      <c r="AM42" s="262" t="str">
        <f t="array" ref="AM42">_xlfn.IFNA(INDEX('DMR 001C NEW'!$A$3:$O$999,MATCH(('001-C DMR'!$AB$6:$AJ$6&amp;'001-C DMR'!AM$10&amp;'001-C DMR'!$B42),('DMR 001C NEW'!$E$3:$E$1112&amp;'DMR 001C NEW'!$B$3:$B$1112&amp;'DMR 001C NEW'!$A$3:$A$1112),0),MATCH('001-C DMR'!$AD$11,'DMR 001C NEW'!$A$2:$O$2,0)),"")</f>
        <v/>
      </c>
      <c r="AN42" s="262" t="str">
        <f t="array" ref="AN42">_xlfn.IFNA(INDEX('DMR 001C NEW'!$A$3:$O$999,MATCH(('001-C DMR'!$AB$6:$AJ$6&amp;'001-C DMR'!AN$10&amp;'001-C DMR'!$B42),('DMR 001C NEW'!$E$3:$E$1112&amp;'DMR 001C NEW'!$B$3:$B$1112&amp;'DMR 001C NEW'!$A$3:$A$1112),0),MATCH('001-C DMR'!$AD$11,'DMR 001C NEW'!$A$2:$O$2,0)),"")</f>
        <v/>
      </c>
      <c r="AO42" s="262" t="str">
        <f t="array" ref="AO42">_xlfn.IFNA(INDEX('DMR 001C NEW'!$A$3:$O$999,MATCH(('001-C DMR'!$AB$6:$AJ$6&amp;'001-C DMR'!AO$10&amp;'001-C DMR'!$B42),('DMR 001C NEW'!$E$3:$E$1112&amp;'DMR 001C NEW'!$B$3:$B$1112&amp;'DMR 001C NEW'!$A$3:$A$1112),0),MATCH('001-C DMR'!$AD$11,'DMR 001C NEW'!$A$2:$O$2,0)),"")</f>
        <v/>
      </c>
      <c r="AP42" s="262" t="str">
        <f t="array" ref="AP42">_xlfn.IFNA(INDEX('DMR 001C NEW'!$A$3:$O$999,MATCH(('001-C DMR'!$AB$6:$AJ$6&amp;'001-C DMR'!AP$10&amp;'001-C DMR'!$B42),('DMR 001C NEW'!$E$3:$E$1112&amp;'DMR 001C NEW'!$B$3:$B$1112&amp;'DMR 001C NEW'!$A$3:$A$1112),0),MATCH('001-C DMR'!$AD$11,'DMR 001C NEW'!$A$2:$O$2,0)),"")</f>
        <v/>
      </c>
      <c r="AQ42" s="61" t="str">
        <f t="array" ref="AQ42">IF(AS42&lt;AR42,"&lt;","")</f>
        <v/>
      </c>
      <c r="AR42" s="58" t="str">
        <f t="array" ref="AR42">_xlfn.IFNA((INDEX('DMR 001C NEW'!$A$3:$O$9999,MATCH(('001-C DMR'!$AQ$6:$AZ$6&amp;'001-C DMR'!$AQ$10:$AS$10&amp;'001-C DMR'!$B42),('DMR 001C NEW'!$E$3:$E$7246&amp;'DMR 001C NEW'!$B$3:$B$7246&amp;'DMR 001C NEW'!$A$3:$A$7246),0),MATCH('001-C DMR'!$AR$11,'DMR 001C NEW'!$A$2:$O$2,0))),"")</f>
        <v/>
      </c>
      <c r="AS42" s="58" t="str">
        <f t="array" ref="AS42">_xlfn.IFNA(INDEX('DMR 001C NEW'!$A$3:$O$9999,MATCH(('001-C DMR'!$AQ$6:$AZ$6&amp;'001-C DMR'!$AQ$10:$AS$10&amp;'001-C DMR'!$B42),('DMR 001C NEW'!$E$3:$E$7246&amp;'DMR 001C NEW'!$B$3:$B$7246&amp;'DMR 001C NEW'!$A$3:$A$7246),0),MATCH('001-C DMR'!$AS$11,'DMR 001C NEW'!$A$2:$O$2,0)),"")</f>
        <v/>
      </c>
      <c r="AT42" s="58" t="str">
        <f t="shared" si="27"/>
        <v/>
      </c>
      <c r="AU42" s="57" t="str">
        <f t="array" ref="AU42">IF(AW42&lt;AV42,"&lt;","")</f>
        <v/>
      </c>
      <c r="AV42" s="58" t="str">
        <f t="array" ref="AV42">_xlfn.IFNA((INDEX('DMR 001C NEW'!$A$3:$O$9999,MATCH(('001-C DMR'!$AQ$6:$AZ$6&amp;'001-C DMR'!$AU$10&amp;'001-C DMR'!$B42),('DMR 001C NEW'!$E$3:$E$7246&amp;'DMR 001C NEW'!$B$3:$B$7246&amp;'DMR 001C NEW'!$A$3:$A$7246),0),MATCH('001-C DMR'!$AR$11,'DMR 001C NEW'!$A$2:$O$2,0))),"")</f>
        <v/>
      </c>
      <c r="AW42" s="58" t="str">
        <f t="array" ref="AW42">_xlfn.IFNA(INDEX('DMR 001C NEW'!$A$3:$O$9999,MATCH(('001-C DMR'!$AQ$6:$AZ$6&amp;'001-C DMR'!$AU$10&amp;'001-C DMR'!$B42),('DMR 001C NEW'!$E$3:$E$7246&amp;'DMR 001C NEW'!$B$3:$B$7246&amp;'DMR 001C NEW'!$A$3:$A$7246),0),MATCH('001-C DMR'!$AW$11,'DMR 001C NEW'!$A$2:$O$2,0)),"")</f>
        <v/>
      </c>
      <c r="AX42" s="58" t="str">
        <f t="shared" si="6"/>
        <v/>
      </c>
      <c r="AY42" s="56" t="str">
        <f t="array" ref="AY42">IFERROR((($AT42*$EI42)+($AX42*$EJ42))/($EK42),"")</f>
        <v/>
      </c>
      <c r="AZ42" s="64" t="str">
        <f t="shared" si="31"/>
        <v/>
      </c>
      <c r="BA42" s="279" t="str">
        <f t="array" ref="BA42">_xlfn.IFNA(INDEX('DMR 001C NEW'!$A$3:$O$9999,MATCH(('001-C DMR'!$AQ$6:$AZ$6&amp;'001-C DMR'!BA$10&amp;'001-C DMR'!$B42),('DMR 001C NEW'!$E$3:$E$1112&amp;'DMR 001C NEW'!$B$3:$B$1112&amp;'DMR 001C NEW'!$A$3:$A$1112),0),MATCH('001-C DMR'!$BA$11,'DMR 001C NEW'!$A$2:$O$2,0)),"")</f>
        <v/>
      </c>
      <c r="BB42" s="280" t="str">
        <f t="array" ref="BB42">_xlfn.IFNA(INDEX('DMR 001C NEW'!$A$3:$O$9999,MATCH(('001-C DMR'!$AQ$6:$AZ$6&amp;'001-C DMR'!BB$10&amp;'001-C DMR'!$B42),('DMR 001C NEW'!$E$3:$E$1112&amp;'DMR 001C NEW'!$B$3:$B$1112&amp;'DMR 001C NEW'!$A$3:$A$1112),0),MATCH('001-C DMR'!$BA$11,'DMR 001C NEW'!$A$2:$O$2,0)),"")</f>
        <v/>
      </c>
      <c r="BC42" s="280" t="str">
        <f t="array" ref="BC42">_xlfn.IFNA(INDEX('DMR 001C NEW'!$A$3:$O$9999,MATCH(('001-C DMR'!$AQ$6:$AZ$6&amp;'001-C DMR'!BC$10&amp;'001-C DMR'!$B42),('DMR 001C NEW'!$E$3:$E$1112&amp;'DMR 001C NEW'!$B$3:$B$1112&amp;'DMR 001C NEW'!$A$3:$A$1112),0),MATCH('001-C DMR'!$BA$11,'DMR 001C NEW'!$A$2:$O$2,0)),"")</f>
        <v/>
      </c>
      <c r="BD42" s="280" t="str">
        <f t="array" ref="BD42">_xlfn.IFNA(INDEX('DMR 001C NEW'!$A$3:$O$9999,MATCH(('001-C DMR'!$AQ$6:$AZ$6&amp;'001-C DMR'!BD$10&amp;'001-C DMR'!$B42),('DMR 001C NEW'!$E$3:$E$1112&amp;'DMR 001C NEW'!$B$3:$B$1112&amp;'DMR 001C NEW'!$A$3:$A$1112),0),MATCH('001-C DMR'!$BA$11,'DMR 001C NEW'!$A$2:$O$2,0)),"")</f>
        <v/>
      </c>
      <c r="BE42" s="280" t="str">
        <f t="array" ref="BE42">_xlfn.IFNA(INDEX('DMR 001C NEW'!$A$3:$O$9999,MATCH(('001-C DMR'!$AQ$6:$AZ$6&amp;'001-C DMR'!BE$10&amp;'001-C DMR'!$B42),('DMR 001C NEW'!$E$3:$E$1112&amp;'DMR 001C NEW'!$B$3:$B$1112&amp;'DMR 001C NEW'!$A$3:$A$1112),0),MATCH('001-C DMR'!$BA$11,'DMR 001C NEW'!$A$2:$O$2,0)),"")</f>
        <v/>
      </c>
      <c r="BF42" s="281" t="str">
        <f t="array" ref="BF42">_xlfn.IFNA(INDEX('DMR 001C NEW'!$A$3:$O$9999,MATCH(('001-C DMR'!$AQ$6:$AZ$6&amp;'001-C DMR'!BF$10&amp;'001-C DMR'!$B42),('DMR 001C NEW'!$E$3:$E$1112&amp;'DMR 001C NEW'!$B$3:$B$1112&amp;'DMR 001C NEW'!$A$3:$A$1112),0),MATCH('001-C DMR'!$BA$11,'DMR 001C NEW'!$A$2:$O$2,0)),"")</f>
        <v/>
      </c>
      <c r="BG42" s="57"/>
      <c r="BH42" s="58" t="str">
        <f t="array" ref="BH42">_xlfn.IFNA((INDEX('DMR 001C NEW'!$A$3:$O$9999,MATCH(('001-C DMR'!$BG$6&amp;'001-C DMR'!$BG$10&amp;'001-C DMR'!$B42),('DMR 001C NEW'!$E$3:$E$7246&amp;'DMR 001C NEW'!$B$3:$B$7246&amp;'DMR 001C NEW'!$A$3:$A$7246),0),MATCH('001-C DMR'!$BH$11,'DMR 001C NEW'!$A$2:$O$2,0))),"")</f>
        <v/>
      </c>
      <c r="BI42" s="58" t="str">
        <f t="array" ref="BI42">_xlfn.IFNA(INDEX('DMR 001C NEW'!$A$3:$O$9999,MATCH(('001-C DMR'!$BG$6&amp;'001-C DMR'!$BG$10&amp;'001-C DMR'!$B42),('DMR 001C NEW'!$E$3:$E$7246&amp;'DMR 001C NEW'!$B$3:$B$7246&amp;'DMR 001C NEW'!$A$3:$A$7246),0),MATCH('001-C DMR'!$BI$11,'DMR 001C NEW'!$A$2:$O$2,0)),"")</f>
        <v/>
      </c>
      <c r="BJ42" s="58" t="str">
        <f t="shared" si="7"/>
        <v/>
      </c>
      <c r="BK42" s="57" t="str">
        <f t="shared" si="8"/>
        <v/>
      </c>
      <c r="BL42" s="58" t="str">
        <f t="array" ref="BL42">_xlfn.IFNA((INDEX('DMR 001C NEW'!$A$3:$O$9999,MATCH(('001-C DMR'!$BG$6&amp;'001-C DMR'!$BK$10&amp;'001-C DMR'!$B42),('DMR 001C NEW'!$E$3:$E$7246&amp;'DMR 001C NEW'!$B$3:$B$7246&amp;'DMR 001C NEW'!$A$3:$A$7246),0),MATCH('001-C DMR'!$BH$11,'DMR 001C NEW'!$A$2:$O$2,0))),"")</f>
        <v/>
      </c>
      <c r="BM42" s="58" t="str">
        <f t="array" ref="BM42">_xlfn.IFNA(INDEX('DMR 001C NEW'!$A$3:$O$9999,MATCH(('001-C DMR'!$BG$6&amp;'001-C DMR'!$BK$10&amp;'001-C DMR'!$B42),('DMR 001C NEW'!$E$3:$E$7246&amp;'DMR 001C NEW'!$B$3:$B$7246&amp;'DMR 001C NEW'!$A$3:$A$7246),0),MATCH('001-C DMR'!$BI$11,'DMR 001C NEW'!$A$2:$O$2,0)),"")</f>
        <v/>
      </c>
      <c r="BN42" s="58" t="str">
        <f t="shared" si="9"/>
        <v/>
      </c>
      <c r="BO42" s="56" t="str">
        <f t="array" ref="BO42">IFERROR((($BJ42*$EI42)+($BN42*$EJ42))/($EK42),"")</f>
        <v/>
      </c>
      <c r="BP42" s="64" t="str">
        <f t="shared" si="32"/>
        <v/>
      </c>
      <c r="BQ42" s="280" t="str">
        <f t="array" ref="BQ42">_xlfn.IFNA(INDEX('DMR 001C NEW'!$A$3:$O$999,MATCH(('001-C DMR'!$BG$6&amp;'001-C DMR'!BQ$10&amp;'001-C DMR'!$B42),('DMR 001C NEW'!$E$3:$E$1112&amp;'DMR 001C NEW'!$B$3:$B$1112&amp;'DMR 001C NEW'!$A$3:$A$1112),0),MATCH('001-C DMR'!$BQ$11,'DMR 001C NEW'!$A$2:$O$2,0)),"")</f>
        <v/>
      </c>
      <c r="BR42" s="280" t="str">
        <f t="array" ref="BR42">_xlfn.IFNA(INDEX('DMR 001C NEW'!$A$3:$O$999,MATCH(('001-C DMR'!$BG$6&amp;'001-C DMR'!BR$10&amp;'001-C DMR'!$B42),('DMR 001C NEW'!$E$3:$E$1112&amp;'DMR 001C NEW'!$B$3:$B$1112&amp;'DMR 001C NEW'!$A$3:$A$1112),0),MATCH('001-C DMR'!$BQ$11,'DMR 001C NEW'!$A$2:$O$2,0)),"")</f>
        <v/>
      </c>
      <c r="BS42" s="280" t="str">
        <f t="array" ref="BS42">_xlfn.IFNA(INDEX('DMR 001C NEW'!$A$3:$O$999,MATCH(('001-C DMR'!$BG$6&amp;'001-C DMR'!BS$10&amp;'001-C DMR'!$B42),('DMR 001C NEW'!$E$3:$E$1112&amp;'DMR 001C NEW'!$B$3:$B$1112&amp;'DMR 001C NEW'!$A$3:$A$1112),0),MATCH('001-C DMR'!$BQ$11,'DMR 001C NEW'!$A$2:$O$2,0)),"")</f>
        <v/>
      </c>
      <c r="BT42" s="280" t="str">
        <f t="array" ref="BT42">_xlfn.IFNA(INDEX('DMR 001C NEW'!$A$3:$O$999,MATCH(('001-C DMR'!$BG$6&amp;'001-C DMR'!BT$10&amp;'001-C DMR'!$B42),('DMR 001C NEW'!$E$3:$E$1112&amp;'DMR 001C NEW'!$B$3:$B$1112&amp;'DMR 001C NEW'!$A$3:$A$1112),0),MATCH('001-C DMR'!$BQ$11,'DMR 001C NEW'!$A$2:$O$2,0)),"")</f>
        <v/>
      </c>
      <c r="BU42" s="280" t="str">
        <f t="array" ref="BU42">_xlfn.IFNA(INDEX('DMR 001C NEW'!$A$3:$O$999,MATCH(('001-C DMR'!$BG$6&amp;'001-C DMR'!BU$10&amp;'001-C DMR'!$B42),('DMR 001C NEW'!$E$3:$E$1112&amp;'DMR 001C NEW'!$B$3:$B$1112&amp;'DMR 001C NEW'!$A$3:$A$1112),0),MATCH('001-C DMR'!$BQ$11,'DMR 001C NEW'!$A$2:$O$2,0)),"")</f>
        <v/>
      </c>
      <c r="BV42" s="280" t="str">
        <f t="array" ref="BV42">_xlfn.IFNA(INDEX('DMR 001C NEW'!$A$3:$O$999,MATCH(('001-C DMR'!$BG$6&amp;'001-C DMR'!BV$10&amp;'001-C DMR'!$B42),('DMR 001C NEW'!$E$3:$E$1112&amp;'DMR 001C NEW'!$B$3:$B$1112&amp;'DMR 001C NEW'!$A$3:$A$1112),0),MATCH('001-C DMR'!$BQ$11,'DMR 001C NEW'!$A$2:$O$2,0)),"")</f>
        <v/>
      </c>
      <c r="BW42" s="65"/>
      <c r="BX42" s="65"/>
      <c r="BY42" s="57" t="str">
        <f t="shared" si="45"/>
        <v/>
      </c>
      <c r="BZ42" s="58">
        <f t="array" ref="BZ42">_xlfn.IFNA((INDEX('DMR 001C NEW'!$A$3:$O$9999,MATCH(('001-C DMR'!$BY$6&amp;'001-C DMR'!$BY$10&amp;'001-C DMR'!$B42),('DMR 001C NEW'!$E$3:$E$7246&amp;'DMR 001C NEW'!$B$3:$B$7246&amp;'DMR 001C NEW'!$A$3:$A$7246),0),MATCH('001-C DMR'!$BZ$11,'DMR 001C NEW'!$A$2:$O$2,0))),"")</f>
        <v>0.6</v>
      </c>
      <c r="CA42" s="138">
        <f t="array" ref="CA42">_xlfn.IFNA(INDEX('DMR 001C NEW'!$A$3:$O$9999,MATCH(('001-C DMR'!$BY$6&amp;'001-C DMR'!$BY$10&amp;'001-C DMR'!$B42),('DMR 001C NEW'!$E$3:$E$7246&amp;'DMR 001C NEW'!$B$3:$B$7246&amp;'DMR 001C NEW'!$A$3:$A$7246),0),MATCH('001-C DMR'!$CA$11,'DMR 001C NEW'!$A$2:$O$2,0)),"")</f>
        <v>96.6</v>
      </c>
      <c r="CB42" s="57" t="str">
        <f t="shared" si="46"/>
        <v/>
      </c>
      <c r="CC42" s="58">
        <f t="array" ref="CC42">_xlfn.IFNA((INDEX('DMR 001C NEW'!$A$3:$O$9999,MATCH(('001-C DMR'!$BY$6&amp;'001-C DMR'!$CB$10&amp;'001-C DMR'!$B42),('DMR 001C NEW'!$E$3:$E$7246&amp;'DMR 001C NEW'!$B$3:$B$7246&amp;'DMR 001C NEW'!$A$3:$A$7246),0),MATCH('001-C DMR'!$BZ$11,'DMR 001C NEW'!$A$2:$O$2,0))),"")</f>
        <v>0.6</v>
      </c>
      <c r="CD42" s="138">
        <f t="array" ref="CD42">_xlfn.IFNA(INDEX('DMR 001C NEW'!$A$3:$O$9999,MATCH(('001-C DMR'!$BY$6&amp;'001-C DMR'!$CB$10&amp;'001-C DMR'!$B42),('DMR 001C NEW'!$E$3:$E$7246&amp;'DMR 001C NEW'!$B$3:$B$7246&amp;'DMR 001C NEW'!$A$3:$A$7246),0),MATCH('001-C DMR'!$CA$11,'DMR 001C NEW'!$A$2:$O$2,0)),"")</f>
        <v>101</v>
      </c>
      <c r="CE42" s="138">
        <f t="array" ref="CE42">IFERROR((($CA42*$EI42)+($CD42*$EJ42))/($EK42),"")</f>
        <v>99.453693167238612</v>
      </c>
      <c r="CF42" s="64" t="str">
        <f t="shared" si="47"/>
        <v/>
      </c>
      <c r="CG42" s="280" t="str">
        <f t="array" ref="CG42">_xlfn.IFNA(INDEX('DMR 001C NEW'!$A$3:$O$999,MATCH(('001-C DMR'!$BY$6&amp;'001-C DMR'!CG$10&amp;'001-C DMR'!$B42),('DMR 001C NEW'!$E$3:$E$1112&amp;'DMR 001C NEW'!$B$3:$B$1112&amp;'DMR 001C NEW'!$A$3:$A$1112),0),MATCH('001-C DMR'!$CA$11,'DMR 001C NEW'!$A$2:$O$2,0)),"")</f>
        <v/>
      </c>
      <c r="CH42" s="280" t="str">
        <f t="array" ref="CH42">_xlfn.IFNA(INDEX('DMR 001C NEW'!$A$3:$O$999,MATCH(('001-C DMR'!$BY$6&amp;'001-C DMR'!CH$10&amp;'001-C DMR'!$B42),('DMR 001C NEW'!$E$3:$E$1112&amp;'DMR 001C NEW'!$B$3:$B$1112&amp;'DMR 001C NEW'!$A$3:$A$1112),0),MATCH('001-C DMR'!$CA$11,'DMR 001C NEW'!$A$2:$O$2,0)),"")</f>
        <v/>
      </c>
      <c r="CI42" s="280" t="str">
        <f t="array" ref="CI42">_xlfn.IFNA(INDEX('DMR 001C NEW'!$A$3:$O$999,MATCH(('001-C DMR'!$BY$6&amp;'001-C DMR'!CI$10&amp;'001-C DMR'!$B42),('DMR 001C NEW'!$E$3:$E$1112&amp;'DMR 001C NEW'!$B$3:$B$1112&amp;'DMR 001C NEW'!$A$3:$A$1112),0),MATCH('001-C DMR'!$CA$11,'DMR 001C NEW'!$A$2:$O$2,0)),"")</f>
        <v/>
      </c>
      <c r="CJ42" s="280" t="str">
        <f t="array" ref="CJ42">_xlfn.IFNA(INDEX('DMR 001C NEW'!$A$3:$O$999,MATCH(('001-C DMR'!$BY$6&amp;'001-C DMR'!CJ$10&amp;'001-C DMR'!$B42),('DMR 001C NEW'!$E$3:$E$1112&amp;'DMR 001C NEW'!$B$3:$B$1112&amp;'DMR 001C NEW'!$A$3:$A$1112),0),MATCH('001-C DMR'!$CA$11,'DMR 001C NEW'!$A$2:$O$2,0)),"")</f>
        <v/>
      </c>
      <c r="CK42" s="280" t="str">
        <f t="array" ref="CK42">_xlfn.IFNA(INDEX('DMR 001C NEW'!$A$3:$O$999,MATCH(('001-C DMR'!$BY$6&amp;'001-C DMR'!CK$10&amp;'001-C DMR'!$B42),('DMR 001C NEW'!$E$3:$E$1112&amp;'DMR 001C NEW'!$B$3:$B$1112&amp;'DMR 001C NEW'!$A$3:$A$1112),0),MATCH('001-C DMR'!$CA$11,'DMR 001C NEW'!$A$2:$O$2,0)),"")</f>
        <v/>
      </c>
      <c r="CL42" s="280" t="str">
        <f t="array" ref="CL42">_xlfn.IFNA(INDEX('DMR 001C NEW'!$A$3:$O$999,MATCH(('001-C DMR'!$BY$6&amp;'001-C DMR'!CL$10&amp;'001-C DMR'!$B42),('DMR 001C NEW'!$E$3:$E$1112&amp;'DMR 001C NEW'!$B$3:$B$1112&amp;'DMR 001C NEW'!$A$3:$A$1112),0),MATCH('001-C DMR'!$CA$11,'DMR 001C NEW'!$A$2:$O$2,0)),"")</f>
        <v/>
      </c>
      <c r="CM42" s="61" t="str">
        <f t="shared" si="12"/>
        <v/>
      </c>
      <c r="CN42" s="138">
        <f t="array" ref="CN42">_xlfn.IFNA((INDEX('DMR 001C NEW'!$A$3:$O$9999,MATCH(('001-C DMR'!$CM$6&amp;'001-C DMR'!$CM$10&amp;'001-C DMR'!$B42),('DMR 001C NEW'!$E$3:$E$9018&amp;'DMR 001C NEW'!$B$3:$B$9018&amp;'DMR 001C NEW'!$A$3:$A$9018),0),MATCH('001-C DMR'!$CN$11,'DMR 001C NEW'!$A$2:$O$2,0))*1000),"")</f>
        <v>60</v>
      </c>
      <c r="CO42" s="138">
        <f t="array" ref="CO42">_xlfn.IFNA(INDEX('DMR 001C NEW'!$A$3:$O$9999,MATCH(('001-C DMR'!$CM$6&amp;'001-C DMR'!$CM$10&amp;'001-C DMR'!$B42),('DMR 001C NEW'!$E$3:$E$9018&amp;'DMR 001C NEW'!$B$3:$B$9018&amp;'DMR 001C NEW'!$A$3:$A$9018),0),MATCH('001-C DMR'!$CO$11,'DMR 001C NEW'!$A$2:$O$2,0))*1000,"")</f>
        <v>140</v>
      </c>
      <c r="CP42" s="138">
        <f t="shared" si="13"/>
        <v>140</v>
      </c>
      <c r="CQ42" s="64" t="str">
        <f t="shared" si="34"/>
        <v/>
      </c>
      <c r="CR42" s="280" t="str">
        <f t="array" ref="CR42">_xlfn.IFNA(INDEX('DMR 001C NEW'!$A$3:$O$999,MATCH(('001-C DMR'!$CM$6&amp;'001-C DMR'!CR$10&amp;'001-C DMR'!$B42),('DMR 001C NEW'!$E$3:$E$1112&amp;'DMR 001C NEW'!$B$3:$B$1112&amp;'DMR 001C NEW'!$A$3:$A$1112),0),MATCH('001-C DMR'!$CO$11,'DMR 001C NEW'!$A$2:$O$2,0)),"")</f>
        <v/>
      </c>
      <c r="CS42" s="280" t="str">
        <f t="array" ref="CS42">_xlfn.IFNA(INDEX('DMR 001C NEW'!$A$3:$O$999,MATCH(('001-C DMR'!$CM$6&amp;'001-C DMR'!CS$10&amp;'001-C DMR'!$B42),('DMR 001C NEW'!$E$3:$E$1112&amp;'DMR 001C NEW'!$B$3:$B$1112&amp;'DMR 001C NEW'!$A$3:$A$1112),0),MATCH('001-C DMR'!$CO$11,'DMR 001C NEW'!$A$2:$O$2,0)),"")</f>
        <v/>
      </c>
      <c r="CT42" s="280" t="str">
        <f t="array" ref="CT42">_xlfn.IFNA(INDEX('DMR 001C NEW'!$A$3:$O$999,MATCH(('001-C DMR'!$CM$6&amp;'001-C DMR'!CT$10&amp;'001-C DMR'!$B42),('DMR 001C NEW'!$E$3:$E$1112&amp;'DMR 001C NEW'!$B$3:$B$1112&amp;'DMR 001C NEW'!$A$3:$A$1112),0),MATCH('001-C DMR'!$CO$11,'DMR 001C NEW'!$A$2:$O$2,0)),"")</f>
        <v/>
      </c>
      <c r="CU42" s="280" t="str">
        <f t="array" ref="CU42">_xlfn.IFNA(INDEX('DMR 001C NEW'!$A$3:$O$999,MATCH(('001-C DMR'!$CM$6&amp;'001-C DMR'!CU$10&amp;'001-C DMR'!$B42),('DMR 001C NEW'!$E$3:$E$1112&amp;'DMR 001C NEW'!$B$3:$B$1112&amp;'DMR 001C NEW'!$A$3:$A$1112),0),MATCH('001-C DMR'!$CO$11,'DMR 001C NEW'!$A$2:$O$2,0)),"")</f>
        <v/>
      </c>
      <c r="CV42" s="280" t="str">
        <f t="array" ref="CV42">_xlfn.IFNA(INDEX('DMR 001C NEW'!$A$3:$O$999,MATCH(('001-C DMR'!$CM$6&amp;'001-C DMR'!CV$10&amp;'001-C DMR'!$B42),('DMR 001C NEW'!$E$3:$E$1112&amp;'DMR 001C NEW'!$B$3:$B$1112&amp;'DMR 001C NEW'!$A$3:$A$1112),0),MATCH('001-C DMR'!$CO$11,'DMR 001C NEW'!$A$2:$O$2,0)),"")</f>
        <v/>
      </c>
      <c r="CW42" s="280" t="str">
        <f t="array" ref="CW42">_xlfn.IFNA(INDEX('DMR 001C NEW'!$A$3:$O$999,MATCH(('001-C DMR'!$CM$6&amp;'001-C DMR'!CW$10&amp;'001-C DMR'!$B42),('DMR 001C NEW'!$E$3:$E$1112&amp;'DMR 001C NEW'!$B$3:$B$1112&amp;'DMR 001C NEW'!$A$3:$A$1112),0),MATCH('001-C DMR'!$CO$11,'DMR 001C NEW'!$A$2:$O$2,0)),"")</f>
        <v/>
      </c>
      <c r="CX42" s="280" t="str">
        <f t="array" ref="CX42">_xlfn.IFNA(INDEX('DMR 001C NEW'!$A$3:$O$999,MATCH(('001-C DMR'!$CM$6&amp;'001-C DMR'!CX$10&amp;'001-C DMR'!$B42),('DMR 001C NEW'!$E$3:$E$1112&amp;'DMR 001C NEW'!$B$3:$B$1112&amp;'DMR 001C NEW'!$A$3:$A$1112),0),MATCH('001-C DMR'!$CO$11,'DMR 001C NEW'!$A$2:$O$2,0)),"")</f>
        <v/>
      </c>
      <c r="CY42" s="61" t="str">
        <f t="shared" si="14"/>
        <v/>
      </c>
      <c r="CZ42" s="138">
        <f t="array" ref="CZ42">_xlfn.IFNA((INDEX('DMR 001C NEW'!$A$3:$O$9999,MATCH(('001-C DMR'!$CY$6&amp;'001-C DMR'!$CY$10&amp;'001-C DMR'!$B42),('DMR 001C NEW'!$E$3:$E$9018&amp;'DMR 001C NEW'!$B$3:$B$9018&amp;'DMR 001C NEW'!$A$3:$A$9018),0),MATCH('001-C DMR'!$CZ$11,'DMR 001C NEW'!$A$2:$O$2,0))*1000),"")</f>
        <v>21</v>
      </c>
      <c r="DA42" s="138">
        <f t="array" ref="DA42">_xlfn.IFNA(INDEX('DMR 001C NEW'!$A$3:$O$9999,MATCH(('001-C DMR'!$CY$6&amp;'001-C DMR'!$CY$10&amp;'001-C DMR'!$B42),('DMR 001C NEW'!$E$3:$E$9018&amp;'DMR 001C NEW'!$B$3:$B$9018&amp;'DMR 001C NEW'!$A$3:$A$9018),0),MATCH('001-C DMR'!$DA$11,'DMR 001C NEW'!$A$2:$O$2,0))*1000,"")</f>
        <v>56</v>
      </c>
      <c r="DB42" s="138">
        <f t="shared" si="15"/>
        <v>56</v>
      </c>
      <c r="DC42" s="64" t="str">
        <f t="shared" si="35"/>
        <v/>
      </c>
      <c r="DD42" s="280" t="str">
        <f t="array" ref="DD42">_xlfn.IFNA(INDEX('DMR 001C NEW'!$A$3:$O$999,MATCH(('001-C DMR'!$CY$6&amp;'001-C DMR'!DD$10&amp;'001-C DMR'!$B42),('DMR 001C NEW'!$E$3:$E$1112&amp;'DMR 001C NEW'!$B$3:$B$1112&amp;'DMR 001C NEW'!$A$3:$A$1112),0),MATCH('001-C DMR'!$DA$11,'DMR 001C NEW'!$A$2:$O$2,0)),"")</f>
        <v/>
      </c>
      <c r="DE42" s="280" t="str">
        <f t="array" ref="DE42">_xlfn.IFNA(INDEX('DMR 001C NEW'!$A$3:$O$999,MATCH(('001-C DMR'!$CY$6&amp;'001-C DMR'!DE$10&amp;'001-C DMR'!$B42),('DMR 001C NEW'!$E$3:$E$1112&amp;'DMR 001C NEW'!$B$3:$B$1112&amp;'DMR 001C NEW'!$A$3:$A$1112),0),MATCH('001-C DMR'!$DA$11,'DMR 001C NEW'!$A$2:$O$2,0)),"")</f>
        <v/>
      </c>
      <c r="DF42" s="280" t="str">
        <f t="array" ref="DF42">_xlfn.IFNA(INDEX('DMR 001C NEW'!$A$3:$O$999,MATCH(('001-C DMR'!$CY$6&amp;'001-C DMR'!DF$10&amp;'001-C DMR'!$B42),('DMR 001C NEW'!$E$3:$E$1112&amp;'DMR 001C NEW'!$B$3:$B$1112&amp;'DMR 001C NEW'!$A$3:$A$1112),0),MATCH('001-C DMR'!$DA$11,'DMR 001C NEW'!$A$2:$O$2,0)),"")</f>
        <v/>
      </c>
      <c r="DG42" s="280" t="str">
        <f t="array" ref="DG42">_xlfn.IFNA(INDEX('DMR 001C NEW'!$A$3:$O$999,MATCH(('001-C DMR'!$CY$6&amp;'001-C DMR'!DG$10&amp;'001-C DMR'!$B42),('DMR 001C NEW'!$E$3:$E$1112&amp;'DMR 001C NEW'!$B$3:$B$1112&amp;'DMR 001C NEW'!$A$3:$A$1112),0),MATCH('001-C DMR'!$DA$11,'DMR 001C NEW'!$A$2:$O$2,0)),"")</f>
        <v/>
      </c>
      <c r="DH42" s="280" t="str">
        <f t="array" ref="DH42">_xlfn.IFNA(INDEX('DMR 001C NEW'!$A$3:$O$999,MATCH(('001-C DMR'!$CY$6&amp;'001-C DMR'!DH$10&amp;'001-C DMR'!$B42),('DMR 001C NEW'!$E$3:$E$1112&amp;'DMR 001C NEW'!$B$3:$B$1112&amp;'DMR 001C NEW'!$A$3:$A$1112),0),MATCH('001-C DMR'!$DA$11,'DMR 001C NEW'!$A$2:$O$2,0)),"")</f>
        <v/>
      </c>
      <c r="DI42" s="280" t="str">
        <f t="array" ref="DI42">_xlfn.IFNA(INDEX('DMR 001C NEW'!$A$3:$O$999,MATCH(('001-C DMR'!$CY$6&amp;'001-C DMR'!DI$10&amp;'001-C DMR'!$B42),('DMR 001C NEW'!$E$3:$E$1112&amp;'DMR 001C NEW'!$B$3:$B$1112&amp;'DMR 001C NEW'!$A$3:$A$1112),0),MATCH('001-C DMR'!$DA$11,'DMR 001C NEW'!$A$2:$O$2,0)),"")</f>
        <v/>
      </c>
      <c r="DJ42" s="280" t="str">
        <f t="array" ref="DJ42">_xlfn.IFNA(INDEX('DMR 001C NEW'!$A$3:$O$999,MATCH(('001-C DMR'!$CY$6&amp;'001-C DMR'!DJ$10&amp;'001-C DMR'!$B42),('DMR 001C NEW'!$E$3:$E$1112&amp;'DMR 001C NEW'!$B$3:$B$1112&amp;'DMR 001C NEW'!$A$3:$A$1112),0),MATCH('001-C DMR'!$DA$11,'DMR 001C NEW'!$A$2:$O$2,0)),"")</f>
        <v/>
      </c>
      <c r="DK42" s="61" t="str">
        <f t="shared" si="16"/>
        <v/>
      </c>
      <c r="DL42" s="58">
        <f t="array" ref="DL42">_xlfn.IFNA((INDEX('DMR 001C NEW'!$A$3:$O$9999,MATCH(('001-C DMR'!$DK$6&amp;'001-C DMR'!$DK$10&amp;'001-C DMR'!$B42),('DMR 001C NEW'!$E$3:$E$9018&amp;'DMR 001C NEW'!$B$3:$B$9018&amp;'DMR 001C NEW'!$A$3:$A$9018),0),MATCH('001-C DMR'!$DL$11,'DMR 001C NEW'!$A$2:$O$2,0))),"")</f>
        <v>0.05</v>
      </c>
      <c r="DM42" s="58">
        <f t="array" ref="DM42">_xlfn.IFNA(INDEX('DMR 001C NEW'!$A$3:$O$9999,MATCH(('001-C DMR'!$DK$6&amp;'001-C DMR'!$DK$10&amp;'001-C DMR'!$B42),('DMR 001C NEW'!$E$3:$E$9018&amp;'DMR 001C NEW'!$B$3:$B$9018&amp;'DMR 001C NEW'!$A$3:$A$9018),0),MATCH('001-C DMR'!$DM$11,'DMR 001C NEW'!$A$2:$O$2,0)),"")</f>
        <v>0.15</v>
      </c>
      <c r="DN42" s="58">
        <f t="shared" si="17"/>
        <v>0.15</v>
      </c>
      <c r="DO42" s="223"/>
      <c r="DP42" s="224"/>
      <c r="DQ42" s="64" t="str">
        <f t="shared" si="18"/>
        <v/>
      </c>
      <c r="DR42" s="280" t="str">
        <f t="array" ref="DR42">_xlfn.IFNA(INDEX('DMR 001C NEW'!$A$3:$O$999,MATCH(('001-C DMR'!$DK$6&amp;'001-C DMR'!DR$10&amp;'001-C DMR'!$B42),('DMR 001C NEW'!$E$3:$E$1112&amp;'DMR 001C NEW'!$B$3:$B$1112&amp;'DMR 001C NEW'!$A$3:$A$1112),0),MATCH('001-C DMR'!$DR$11,'DMR 001C NEW'!$A$2:$O$2,0)),"")</f>
        <v/>
      </c>
      <c r="DS42" s="280" t="str">
        <f t="array" ref="DS42">_xlfn.IFNA(INDEX('DMR 001C NEW'!$A$3:$O$999,MATCH(('001-C DMR'!$DK$6&amp;'001-C DMR'!DS$10&amp;'001-C DMR'!$B42),('DMR 001C NEW'!$E$3:$E$1112&amp;'DMR 001C NEW'!$B$3:$B$1112&amp;'DMR 001C NEW'!$A$3:$A$1112),0),MATCH('001-C DMR'!$DR$11,'DMR 001C NEW'!$A$2:$O$2,0)),"")</f>
        <v/>
      </c>
      <c r="DT42" s="280" t="str">
        <f t="array" ref="DT42">_xlfn.IFNA(INDEX('DMR 001C NEW'!$A$3:$O$999,MATCH(('001-C DMR'!$DK$6&amp;'001-C DMR'!DT$10&amp;'001-C DMR'!$B42),('DMR 001C NEW'!$E$3:$E$1112&amp;'DMR 001C NEW'!$B$3:$B$1112&amp;'DMR 001C NEW'!$A$3:$A$1112),0),MATCH('001-C DMR'!$DR$11,'DMR 001C NEW'!$A$2:$O$2,0)),"")</f>
        <v/>
      </c>
      <c r="DU42" s="280" t="str">
        <f t="array" ref="DU42">_xlfn.IFNA(INDEX('DMR 001C NEW'!$A$3:$O$999,MATCH(('001-C DMR'!$DK$6&amp;'001-C DMR'!DU$10&amp;'001-C DMR'!$B42),('DMR 001C NEW'!$E$3:$E$1112&amp;'DMR 001C NEW'!$B$3:$B$1112&amp;'DMR 001C NEW'!$A$3:$A$1112),0),MATCH('001-C DMR'!$DR$11,'DMR 001C NEW'!$A$2:$O$2,0)),"")</f>
        <v/>
      </c>
      <c r="DV42" s="280" t="str">
        <f t="array" ref="DV42">_xlfn.IFNA(INDEX('DMR 001C NEW'!$A$3:$O$999,MATCH(('001-C DMR'!$DK$6&amp;'001-C DMR'!DV$10&amp;'001-C DMR'!$B42),('DMR 001C NEW'!$E$3:$E$1112&amp;'DMR 001C NEW'!$B$3:$B$1112&amp;'DMR 001C NEW'!$A$3:$A$1112),0),MATCH('001-C DMR'!$DR$11,'DMR 001C NEW'!$A$2:$O$2,0)),"")</f>
        <v/>
      </c>
      <c r="DW42" s="280" t="str">
        <f t="array" ref="DW42">_xlfn.IFNA(INDEX('DMR 001C NEW'!$A$3:$O$999,MATCH(('001-C DMR'!$DK$6&amp;'001-C DMR'!DW$10&amp;'001-C DMR'!$B42),('DMR 001C NEW'!$E$3:$E$1112&amp;'DMR 001C NEW'!$B$3:$B$1112&amp;'DMR 001C NEW'!$A$3:$A$1112),0),MATCH('001-C DMR'!$DR$11,'DMR 001C NEW'!$A$2:$O$2,0)),"")</f>
        <v/>
      </c>
      <c r="DX42" s="280" t="str">
        <f t="array" ref="DX42">_xlfn.IFNA(INDEX('DMR 001C NEW'!$A$3:$O$999,MATCH(('001-C DMR'!$DK$6&amp;'001-C DMR'!DX$10&amp;'001-C DMR'!$B42),('DMR 001C NEW'!$E$3:$E$1112&amp;'DMR 001C NEW'!$B$3:$B$1112&amp;'DMR 001C NEW'!$A$3:$A$1112),0),MATCH('001-C DMR'!$DR$11,'DMR 001C NEW'!$A$2:$O$2,0)),"")</f>
        <v/>
      </c>
      <c r="DY42" s="61" t="str">
        <f t="shared" si="28"/>
        <v/>
      </c>
      <c r="DZ42" s="249" t="str">
        <f t="array" ref="DZ42">_xlfn.IFNA((INDEX('DMR 001C NEW'!$A$3:$O$9999,MATCH(('001-C DMR'!$DY$6&amp;'001-C DMR'!$DY$10&amp;'001-C DMR'!$B42),('DMR 001C NEW'!$E$3:$E$9018&amp;'DMR 001C NEW'!$B$3:$B$9018&amp;'DMR 001C NEW'!$A$3:$A$9018),0),MATCH('001-C DMR'!$DZ$11,'DMR 001C NEW'!$A$2:$O$2,0))),"")</f>
        <v/>
      </c>
      <c r="EA42" s="249" t="str">
        <f t="array" ref="EA42">_xlfn.IFNA((INDEX('DMR 001C NEW'!$A$3:$O$9999,MATCH(('001-C DMR'!$DY$6&amp;'001-C DMR'!$DY$10&amp;'001-C DMR'!$B42),('DMR 001C NEW'!$E$3:$E$9018&amp;'DMR 001C NEW'!$B$3:$B$9018&amp;'DMR 001C NEW'!$A$3:$A$9018),0),MATCH('001-C DMR'!$EA$11,'DMR 001C NEW'!$A$2:$O$2,0))),"")</f>
        <v/>
      </c>
      <c r="EB42" s="249" t="str">
        <f t="array" ref="EB42">IF(EA42="SCRATCHED","",IF(EA42&lt;DZ42,0,EA42))</f>
        <v/>
      </c>
      <c r="EC42" s="249" t="str">
        <f t="shared" si="29"/>
        <v/>
      </c>
      <c r="ED42" s="249" t="str">
        <f t="array" ref="ED42">_xlfn.IFNA((INDEX('DMR 001C NEW'!$A$3:$O$9999,MATCH(('001-C DMR'!$DY$6&amp;'001-C DMR'!$EC$10&amp;'001-C DMR'!$B42),('DMR 001C NEW'!$E$3:$E$9018&amp;'DMR 001C NEW'!$B$3:$B$9018&amp;'DMR 001C NEW'!$A$3:$A$9018),0),MATCH('001-C DMR'!$DZ$11,'DMR 001C NEW'!$A$2:$O$2,0))),"")</f>
        <v/>
      </c>
      <c r="EE42" s="249" t="str">
        <f t="array" ref="EE42">_xlfn.IFNA((INDEX('DMR 001C NEW'!$A$3:$O$9999,MATCH(('001-C DMR'!$DY$6&amp;'001-C DMR'!$EC$10&amp;'001-C DMR'!$B42),('DMR 001C NEW'!$E$3:$E$9018&amp;'DMR 001C NEW'!$B$3:$B$9018&amp;'DMR 001C NEW'!$A$3:$A$9018),0),MATCH('001-C DMR'!$EE$11,'DMR 001C NEW'!$A$2:$O$2,0))),"")</f>
        <v/>
      </c>
      <c r="EF42" s="249" t="str">
        <f t="array" ref="EF42">IF(EE42="SCRATCHED","",IF(EE42&lt;ED42,0,EE42))</f>
        <v/>
      </c>
      <c r="EG42" s="249"/>
      <c r="EH42" s="195"/>
      <c r="EI42" s="194">
        <f t="array" ref="EI42">_xlfn.IFNA(INDEX('DMR Flows-Effluent'!$A$3:$F$186,MATCH(($EI$10&amp;$B42),('DMR Flows-Effluent'!$B$3:$B$186&amp;'DMR Flows-Effluent'!$A$3:$A$186),0),MATCH($EI$8,'DMR Flows-Effluent'!$A$2:$F$2,0)),"")</f>
        <v>41.087200000000003</v>
      </c>
      <c r="EJ42" s="56">
        <f t="array" ref="EJ42">_xlfn.IFNA(INDEX('DMR Flows-Effluent'!$A$3:$F$186,MATCH(($EJ$10&amp;$B42),('DMR Flows-Effluent'!$B$3:$B$186&amp;'DMR Flows-Effluent'!$A$3:$A$186),0),MATCH($EI$8,'DMR Flows-Effluent'!$A$2:$F$2,0)),"")</f>
        <v>75.825999999999993</v>
      </c>
      <c r="EK42" s="168">
        <f t="shared" si="19"/>
        <v>116.91319999999999</v>
      </c>
      <c r="EL42" s="63"/>
      <c r="EM42" s="63"/>
      <c r="EN42" s="63"/>
      <c r="EO42" s="63"/>
      <c r="EP42" s="62"/>
      <c r="EQ42" s="157">
        <f>'E.Coli Calculations'!R36</f>
        <v>130.8165263462144</v>
      </c>
      <c r="ER42" s="56" t="str">
        <f>'E.Coli Calculations'!S36</f>
        <v/>
      </c>
      <c r="ES42" s="64" t="str">
        <f t="shared" si="36"/>
        <v/>
      </c>
      <c r="ET42" s="61" t="str">
        <f t="shared" si="20"/>
        <v/>
      </c>
      <c r="EU42" s="58" t="str">
        <f t="array" ref="EU42">_xlfn.IFNA((INDEX('DMR 001C NEW'!$A$3:$O$9999,MATCH(('001-C DMR'!$ET$6&amp;'001-C DMR'!$ET$10&amp;'001-C DMR'!$B42),('DMR 001C NEW'!$E$3:$E$9018&amp;'DMR 001C NEW'!$B$3:$B$9018&amp;'DMR 001C NEW'!$A$3:$A$9018),0),MATCH('001-C DMR'!$EU$11,'DMR 001C NEW'!$A$2:$O$2,0))),"")</f>
        <v/>
      </c>
      <c r="EV42" s="58" t="str">
        <f t="array" ref="EV42">_xlfn.IFNA(INDEX('DMR 001C NEW'!$A$3:$O$9999,MATCH(('001-C DMR'!$ET$6&amp;'001-C DMR'!$ET$10&amp;'001-C DMR'!$B42),('DMR 001C NEW'!$E$3:$E$9018&amp;'DMR 001C NEW'!$B$3:$B$9018&amp;'DMR 001C NEW'!$A$3:$A$9018),0),MATCH('001-C DMR'!$EV$11,'DMR 001C NEW'!$A$2:$O$2,0)),"")</f>
        <v/>
      </c>
      <c r="EW42" s="56" t="str">
        <f t="shared" si="21"/>
        <v/>
      </c>
      <c r="EX42" s="64"/>
      <c r="EY42" s="279" t="str">
        <f t="array" ref="EY42">_xlfn.IFNA(INDEX('DMR 001C NEW'!$A$3:$O$999,MATCH(('001-C DMR'!$ET$6&amp;'001-C DMR'!EY$10&amp;'001-C DMR'!$B42),('DMR 001C NEW'!$E$3:$E$1112&amp;'DMR 001C NEW'!$B$3:$B$1112&amp;'DMR 001C NEW'!$A$3:$A$1112),0),MATCH('001-C DMR'!$EY$11,'DMR 001C NEW'!$A$2:$O$2,0)),"")</f>
        <v/>
      </c>
      <c r="EZ42" s="280" t="str">
        <f t="array" ref="EZ42">_xlfn.IFNA(INDEX('DMR 001C NEW'!$A$3:$O$999,MATCH(('001-C DMR'!$ET$6&amp;'001-C DMR'!EZ$10&amp;'001-C DMR'!$B42),('DMR 001C NEW'!$E$3:$E$1112&amp;'DMR 001C NEW'!$B$3:$B$1112&amp;'DMR 001C NEW'!$A$3:$A$1112),0),MATCH('001-C DMR'!$EY$11,'DMR 001C NEW'!$A$2:$O$2,0)),"")</f>
        <v/>
      </c>
      <c r="FA42" s="280" t="str">
        <f t="array" ref="FA42">_xlfn.IFNA(INDEX('DMR 001C NEW'!$A$3:$O$999,MATCH(('001-C DMR'!$ET$6&amp;'001-C DMR'!FA$10&amp;'001-C DMR'!$B42),('DMR 001C NEW'!$E$3:$E$1112&amp;'DMR 001C NEW'!$B$3:$B$1112&amp;'DMR 001C NEW'!$A$3:$A$1112),0),MATCH('001-C DMR'!$EY$11,'DMR 001C NEW'!$A$2:$O$2,0)),"")</f>
        <v/>
      </c>
      <c r="FB42" s="280" t="str">
        <f t="array" ref="FB42">_xlfn.IFNA(INDEX('DMR 001C NEW'!$A$3:$O$999,MATCH(('001-C DMR'!$ET$6&amp;'001-C DMR'!FB$10&amp;'001-C DMR'!$B42),('DMR 001C NEW'!$E$3:$E$1112&amp;'DMR 001C NEW'!$B$3:$B$1112&amp;'DMR 001C NEW'!$A$3:$A$1112),0),MATCH('001-C DMR'!$EY$11,'DMR 001C NEW'!$A$2:$O$2,0)),"")</f>
        <v/>
      </c>
      <c r="FC42" s="280" t="str">
        <f t="array" ref="FC42">_xlfn.IFNA(INDEX('DMR 001C NEW'!$A$3:$O$999,MATCH(('001-C DMR'!$ET$6&amp;'001-C DMR'!FC$10&amp;'001-C DMR'!$B42),('DMR 001C NEW'!$E$3:$E$1112&amp;'DMR 001C NEW'!$B$3:$B$1112&amp;'DMR 001C NEW'!$A$3:$A$1112),0),MATCH('001-C DMR'!$EY$11,'DMR 001C NEW'!$A$2:$O$2,0)),"")</f>
        <v/>
      </c>
      <c r="FD42" s="280" t="str">
        <f t="array" ref="FD42">_xlfn.IFNA(INDEX('DMR 001C NEW'!$A$3:$O$999,MATCH(('001-C DMR'!$ET$6&amp;'001-C DMR'!FD$10&amp;'001-C DMR'!$B42),('DMR 001C NEW'!$E$3:$E$1112&amp;'DMR 001C NEW'!$B$3:$B$1112&amp;'DMR 001C NEW'!$A$3:$A$1112),0),MATCH('001-C DMR'!$EY$11,'DMR 001C NEW'!$A$2:$O$2,0)),"")</f>
        <v/>
      </c>
      <c r="FE42" s="281" t="str">
        <f t="array" ref="FE42">_xlfn.IFNA(INDEX('DMR 001C NEW'!$A$3:$O$999,MATCH(('001-C DMR'!$ET$6&amp;'001-C DMR'!FE$10&amp;'001-C DMR'!$B42),('DMR 001C NEW'!$E$3:$E$1112&amp;'DMR 001C NEW'!$B$3:$B$1112&amp;'DMR 001C NEW'!$A$3:$A$1112),0),MATCH('001-C DMR'!$EY$11,'DMR 001C NEW'!$A$2:$O$2,0)),"")</f>
        <v/>
      </c>
      <c r="FF42" s="57" t="str">
        <f t="shared" si="22"/>
        <v/>
      </c>
      <c r="FG42" s="56">
        <f t="array" ref="FG42">_xlfn.IFNA(INDEX('DMR 001C NEW'!$A$3:$O$9999,MATCH(('001-C DMR'!$FF$6&amp;'001-C DMR'!$FF$10&amp;'001-C DMR'!$B42),('DMR 001C NEW'!$E$3:$E$7246&amp;'DMR 001C NEW'!$B$3:$B$7246&amp;'DMR 001C NEW'!$A$3:$A$7246),0),MATCH('001-C DMR'!$FG$11,'DMR 001C NEW'!$A$2:$O$2,0)),"")</f>
        <v>0</v>
      </c>
      <c r="FH42" s="56">
        <f t="array" ref="FH42">_xlfn.IFNA(INDEX('DMR 001C NEW'!$A$3:$O$9999,MATCH(('001-C DMR'!$FF$6&amp;'001-C DMR'!$FF$10&amp;'001-C DMR'!$B42),('DMR 001C NEW'!$E$3:$E$7246&amp;'DMR 001C NEW'!$B$3:$B$7246&amp;'DMR 001C NEW'!$A$3:$A$7246),0),MATCH('001-C DMR'!$FH$11,'DMR 001C NEW'!$A$2:$O$2,0)),"")</f>
        <v>4</v>
      </c>
      <c r="FI42" s="57" t="str">
        <f t="shared" si="23"/>
        <v/>
      </c>
      <c r="FJ42" s="56">
        <f t="array" ref="FJ42">_xlfn.IFNA(INDEX('DMR 001C NEW'!$A$3:$O$9999,MATCH(('001-C DMR'!$FF$6&amp;'001-C DMR'!$FI$10&amp;'001-C DMR'!$B42),('DMR 001C NEW'!$E$3:$E$7246&amp;'DMR 001C NEW'!$B$3:$B$7246&amp;'DMR 001C NEW'!$A$3:$A$7246),0),MATCH('001-C DMR'!$FG$11,'DMR 001C NEW'!$A$2:$O$2,0)),"")</f>
        <v>0</v>
      </c>
      <c r="FK42" s="56">
        <f t="array" ref="FK42">_xlfn.IFNA(INDEX('DMR 001C NEW'!$A$3:$O$9999,MATCH(('001-C DMR'!$FF$6&amp;'001-C DMR'!$FI$10&amp;'001-C DMR'!$B42),('DMR 001C NEW'!$E$3:$E$7246&amp;'DMR 001C NEW'!$B$3:$B$7246&amp;'DMR 001C NEW'!$A$3:$A$7246),0),MATCH('001-C DMR'!$FH$11,'DMR 001C NEW'!$A$2:$O$2,0)),"")</f>
        <v>4</v>
      </c>
      <c r="FL42" s="56">
        <f t="array" ref="FL42">IFERROR((($FH42*$EI42)+($FK42*$EJ42))/($EK42),"")</f>
        <v>4</v>
      </c>
      <c r="FM42" s="56" t="str">
        <f t="shared" si="43"/>
        <v/>
      </c>
      <c r="FN42" s="64" t="str">
        <f t="shared" si="37"/>
        <v/>
      </c>
      <c r="FO42" s="66"/>
      <c r="FP42" s="280" t="str">
        <f t="array" ref="FP42">_xlfn.IFNA(INDEX('DMR 001C NEW'!$A$3:$O$999,MATCH(('001-C DMR'!$FF$6&amp;'001-C DMR'!FP$10&amp;'001-C DMR'!$B42),('DMR 001C NEW'!$E$3:$E$1112&amp;'DMR 001C NEW'!$B$3:$B$1112&amp;'DMR 001C NEW'!$A$3:$A$1112),0),MATCH('001-C DMR'!$FH$11,'DMR 001C NEW'!$A$2:$O$2,0)),"")</f>
        <v/>
      </c>
      <c r="FQ42" s="280" t="str">
        <f t="array" ref="FQ42">_xlfn.IFNA(INDEX('DMR 001C NEW'!$A$3:$O$999,MATCH(('001-C DMR'!$FF$6&amp;'001-C DMR'!FQ$10&amp;'001-C DMR'!$B42),('DMR 001C NEW'!$E$3:$E$1112&amp;'DMR 001C NEW'!$B$3:$B$1112&amp;'DMR 001C NEW'!$A$3:$A$1112),0),MATCH('001-C DMR'!$FH$11,'DMR 001C NEW'!$A$2:$O$2,0)),"")</f>
        <v/>
      </c>
      <c r="FR42" s="280" t="str">
        <f t="array" ref="FR42">_xlfn.IFNA(INDEX('DMR 001C NEW'!$A$3:$O$999,MATCH(('001-C DMR'!$FF$6&amp;'001-C DMR'!FR$10&amp;'001-C DMR'!$B42),('DMR 001C NEW'!$E$3:$E$1112&amp;'DMR 001C NEW'!$B$3:$B$1112&amp;'DMR 001C NEW'!$A$3:$A$1112),0),MATCH('001-C DMR'!$FH$11,'DMR 001C NEW'!$A$2:$O$2,0)),"")</f>
        <v/>
      </c>
      <c r="FS42" s="280" t="str">
        <f t="array" ref="FS42">_xlfn.IFNA(INDEX('DMR 001C NEW'!$A$3:$O$999,MATCH(('001-C DMR'!$FF$6&amp;'001-C DMR'!FS$10&amp;'001-C DMR'!$B42),('DMR 001C NEW'!$E$3:$E$1112&amp;'DMR 001C NEW'!$B$3:$B$1112&amp;'DMR 001C NEW'!$A$3:$A$1112),0),MATCH('001-C DMR'!$FH$11,'DMR 001C NEW'!$A$2:$O$2,0)),"")</f>
        <v/>
      </c>
      <c r="FT42" s="280" t="str">
        <f t="array" ref="FT42">_xlfn.IFNA(INDEX('DMR 001C NEW'!$A$3:$O$999,MATCH(('001-C DMR'!$FF$6&amp;'001-C DMR'!FT$10&amp;'001-C DMR'!$B42),('DMR 001C NEW'!$E$3:$E$1112&amp;'DMR 001C NEW'!$B$3:$B$1112&amp;'DMR 001C NEW'!$A$3:$A$1112),0),MATCH('001-C DMR'!$FH$11,'DMR 001C NEW'!$A$2:$O$2,0)),"")</f>
        <v/>
      </c>
      <c r="FU42" s="280" t="str">
        <f t="array" ref="FU42">_xlfn.IFNA(INDEX('DMR 001C NEW'!$A$3:$O$999,MATCH(('001-C DMR'!$FF$6&amp;'001-C DMR'!FU$10&amp;'001-C DMR'!$B42),('DMR 001C NEW'!$E$3:$E$1112&amp;'DMR 001C NEW'!$B$3:$B$1112&amp;'DMR 001C NEW'!$A$3:$A$1112),0),MATCH('001-C DMR'!$FH$11,'DMR 001C NEW'!$A$2:$O$2,0)),"")</f>
        <v/>
      </c>
      <c r="FV42" s="66"/>
      <c r="FW42" s="61" t="str">
        <f t="shared" si="24"/>
        <v/>
      </c>
      <c r="FX42" s="58">
        <f t="array" ref="FX42">_xlfn.IFNA(INDEX('DMR 001C NEW'!$A$3:$O$9999,MATCH(('001-C DMR'!$FW$6&amp;'001-C DMR'!$FW$10&amp;'001-C DMR'!$B42),('DMR 001C NEW'!$E$3:$E$7246&amp;'DMR 001C NEW'!$B$3:$B$7246&amp;'DMR 001C NEW'!$A$3:$A$7246),0),MATCH('001-C DMR'!$FX$11,'DMR 001C NEW'!$A$2:$O$2,0)),"")</f>
        <v>0.6</v>
      </c>
      <c r="FY42" s="58">
        <f t="array" ref="FY42">_xlfn.IFNA(INDEX('DMR 001C NEW'!$A$3:$O$9999,MATCH(('001-C DMR'!$FW$6&amp;'001-C DMR'!$FW$10&amp;'001-C DMR'!$B42),('DMR 001C NEW'!$E$3:$E$7246&amp;'DMR 001C NEW'!$B$3:$B$7246&amp;'DMR 001C NEW'!$A$3:$A$7246),0),MATCH('001-C DMR'!$FY$11,'DMR 001C NEW'!$A$2:$O$2,0)),"")</f>
        <v>110</v>
      </c>
      <c r="FZ42" s="57" t="str">
        <f t="shared" si="25"/>
        <v/>
      </c>
      <c r="GA42" s="58">
        <f t="array" ref="GA42">_xlfn.IFNA(INDEX('DMR 001C NEW'!$A$3:$O$9999,MATCH(('001-C DMR'!$FW$6&amp;'001-C DMR'!$FZ$10&amp;'001-C DMR'!$B42),('DMR 001C NEW'!$E$3:$E$7246&amp;'DMR 001C NEW'!$B$3:$B$7246&amp;'DMR 001C NEW'!$A$3:$A$7246),0),MATCH('001-C DMR'!$FX$11,'DMR 001C NEW'!$A$2:$O$2,0)),"")</f>
        <v>0.6</v>
      </c>
      <c r="GB42" s="58">
        <f t="array" ref="GB42">_xlfn.IFNA(INDEX('DMR 001C NEW'!$A$3:$O$9999,MATCH(('001-C DMR'!$FW$6&amp;'001-C DMR'!$FZ$10&amp;'001-C DMR'!$B42),('DMR 001C NEW'!$E$3:$E$7246&amp;'DMR 001C NEW'!$B$3:$B$7246&amp;'DMR 001C NEW'!$A$3:$A$7246),0),MATCH('001-C DMR'!$GB$11,'DMR 001C NEW'!$A$2:$O$2,0)),"")</f>
        <v>116</v>
      </c>
      <c r="GC42" s="56">
        <f t="shared" si="4"/>
        <v>113.89139977350719</v>
      </c>
      <c r="GD42" s="64" t="str">
        <f t="shared" si="38"/>
        <v/>
      </c>
      <c r="GE42" s="279" t="str">
        <f t="array" ref="GE42">_xlfn.IFNA(INDEX('DMR 001C NEW'!$A$3:$O$999,MATCH(('001-C DMR'!$FW$6&amp;'001-C DMR'!GE$10&amp;'001-C DMR'!$B42),('DMR 001C NEW'!$E$3:$E$1112&amp;'DMR 001C NEW'!$B$3:$B$1112&amp;'DMR 001C NEW'!$A$3:$A$1112),0),MATCH('001-C DMR'!$FY$11,'DMR 001C NEW'!$A$2:$O$2,0)),"")</f>
        <v/>
      </c>
      <c r="GF42" s="280" t="str">
        <f t="array" ref="GF42">_xlfn.IFNA(INDEX('DMR 001C NEW'!$A$3:$O$999,MATCH(('001-C DMR'!$FW$6&amp;'001-C DMR'!GF$10&amp;'001-C DMR'!$B42),('DMR 001C NEW'!$E$3:$E$1112&amp;'DMR 001C NEW'!$B$3:$B$1112&amp;'DMR 001C NEW'!$A$3:$A$1112),0),MATCH('001-C DMR'!$FY$11,'DMR 001C NEW'!$A$2:$O$2,0)),"")</f>
        <v/>
      </c>
      <c r="GG42" s="280" t="str">
        <f t="array" ref="GG42">_xlfn.IFNA(INDEX('DMR 001C NEW'!$A$3:$O$999,MATCH(('001-C DMR'!$FW$6&amp;'001-C DMR'!GG$10&amp;'001-C DMR'!$B42),('DMR 001C NEW'!$E$3:$E$1112&amp;'DMR 001C NEW'!$B$3:$B$1112&amp;'DMR 001C NEW'!$A$3:$A$1112),0),MATCH('001-C DMR'!$FY$11,'DMR 001C NEW'!$A$2:$O$2,0)),"")</f>
        <v/>
      </c>
      <c r="GH42" s="280" t="str">
        <f t="array" ref="GH42">_xlfn.IFNA(INDEX('DMR 001C NEW'!$A$3:$O$999,MATCH(('001-C DMR'!$FW$6&amp;'001-C DMR'!GH$10&amp;'001-C DMR'!$B42),('DMR 001C NEW'!$E$3:$E$1112&amp;'DMR 001C NEW'!$B$3:$B$1112&amp;'DMR 001C NEW'!$A$3:$A$1112),0),MATCH('001-C DMR'!$FY$11,'DMR 001C NEW'!$A$2:$O$2,0)),"")</f>
        <v/>
      </c>
      <c r="GI42" s="280" t="str">
        <f t="array" ref="GI42">_xlfn.IFNA(INDEX('DMR 001C NEW'!$A$3:$O$999,MATCH(('001-C DMR'!$FW$6&amp;'001-C DMR'!GI$10&amp;'001-C DMR'!$B42),('DMR 001C NEW'!$E$3:$E$1112&amp;'DMR 001C NEW'!$B$3:$B$1112&amp;'DMR 001C NEW'!$A$3:$A$1112),0),MATCH('001-C DMR'!$FY$11,'DMR 001C NEW'!$A$2:$O$2,0)),"")</f>
        <v/>
      </c>
      <c r="GJ42" s="281" t="str">
        <f t="array" ref="GJ42">_xlfn.IFNA(INDEX('DMR 001C NEW'!$A$3:$O$999,MATCH(('001-C DMR'!$FW$6&amp;'001-C DMR'!GJ$10&amp;'001-C DMR'!$B42),('DMR 001C NEW'!$E$3:$E$1112&amp;'DMR 001C NEW'!$B$3:$B$1112&amp;'DMR 001C NEW'!$A$3:$A$1112),0),MATCH('001-C DMR'!$FY$11,'DMR 001C NEW'!$A$2:$O$2,0)),"")</f>
        <v/>
      </c>
      <c r="GK42" s="58" t="str">
        <f t="array" ref="GK42">_xlfn.IFNA(INDEX('DMR 001C NEW'!$A$3:$O$9999,MATCH(('001-C DMR'!$GK$6&amp;'001-C DMR'!$GK$10&amp;'001-C DMR'!$B42),('DMR 001C NEW'!$E$3:$E$9018&amp;'DMR 001C NEW'!$B$3:$B$9018&amp;'DMR 001C NEW'!$A$3:$A$9018),0),MATCH('001-C DMR'!$GK$11,'DMR 001C NEW'!$A$2:$O$2,0)),"")</f>
        <v>n</v>
      </c>
      <c r="GL42" s="58" t="str">
        <f t="array" ref="GL42">_xlfn.IFNA(INDEX('DMR 001C NEW'!$A$3:$O$9999,MATCH(('001-C DMR'!$GK$6&amp;'001-C DMR'!$GL$10&amp;'001-C DMR'!$B42),('DMR 001C NEW'!$E$3:$E$9018&amp;'DMR 001C NEW'!$B$3:$B$9018&amp;'DMR 001C NEW'!$A$3:$A$9018),0),MATCH('001-C DMR'!$GK$11,'DMR 001C NEW'!$A$2:$O$2,0)),"")</f>
        <v>n</v>
      </c>
      <c r="GM42" s="134"/>
      <c r="GN42" s="64" t="str">
        <f t="shared" si="44"/>
        <v/>
      </c>
    </row>
    <row r="43" spans="1:196" x14ac:dyDescent="0.25">
      <c r="A43" s="67" t="str">
        <f t="shared" si="5"/>
        <v>Wed</v>
      </c>
      <c r="B43" s="216">
        <f t="shared" si="26"/>
        <v>43705</v>
      </c>
      <c r="C43" s="93">
        <f t="array" ref="C43">INDEX('DMR 001C NEW'!$A$3:$N$10020,MATCH(('001-C DMR'!$C$6:$K$6&amp;'001-C DMR'!$C$10:$E$10&amp;'001-C DMR'!$B43),('DMR 001C NEW'!$E$3:$E$7246&amp;'DMR 001C NEW'!$B$3:$B$7246&amp;'DMR 001C NEW'!$A$3:$A$7246),0),MATCH('001-C DMR'!$C$11,'DMR 001C NEW'!$A$2:$O$2,0))</f>
        <v>6</v>
      </c>
      <c r="D43" s="56" t="str">
        <f t="array" ref="D43">INDEX('DMR 001C NEW'!$A$3:$N$11771,MATCH(('001-C DMR'!$C$6:$K$6&amp;'001-C DMR'!$C$10:$E$10&amp;'001-C DMR'!$B43),('DMR 001C NEW'!$E$3:$E$9018&amp;'DMR 001C NEW'!$B$3:$B$9018&amp;'DMR 001C NEW'!$A$3:$A$9018),0),MATCH('001-C DMR'!$D$11,'DMR 001C NEW'!$A$2:$O$2,0))</f>
        <v>AE70708</v>
      </c>
      <c r="E43" s="56">
        <f t="array" ref="E43">INDEX('DMR 001C NEW'!$A$3:$N$9999,MATCH(('001-C DMR'!$E$11&amp;'001-C DMR'!$C$10:$E$10&amp;'001-C DMR'!$B43&amp;$D43),('DMR 001C NEW'!$E$3:$E$7246&amp;'DMR 001C NEW'!$B$3:$B$7246&amp;'DMR 001C NEW'!$A$3:$A$7246&amp;'DMR 001C NEW'!$M$3:$M$7188),0),MATCH($C$11,'DMR 001C NEW'!$A$2:$O$2,0))</f>
        <v>35.880000000000003</v>
      </c>
      <c r="F43" s="56">
        <f t="array" ref="F43">INDEX('DMR 001C NEW'!$A$3:$N$9999,MATCH('001-C DMR'!$C$6:$K$6&amp;'001-C DMR'!$F$10&amp;'001-C DMR'!$B43,('DMR 001C NEW'!$E$3:$E$7246&amp;'DMR 001C NEW'!$B$3:$B$7246&amp;'DMR 001C NEW'!$A$3:$A$7246),0),MATCH('001-C DMR'!$C$11,'DMR 001C NEW'!$A$2:$O$2,0))</f>
        <v>6.6</v>
      </c>
      <c r="G43" s="56" t="str">
        <f t="array" ref="G43">INDEX('DMR 001C NEW'!$A$3:$N$3865,MATCH(('001-C DMR'!$C$6:$K$6&amp;'001-C DMR'!$F$10&amp;'001-C DMR'!$B43),('DMR 001C NEW'!$E$3:$E$1112&amp;'DMR 001C NEW'!$B$3:$B$1112&amp;'DMR 001C NEW'!$A$3:$A$1112),0),MATCH('001-C DMR'!$D$11,'DMR 001C NEW'!$A$2:$O$2,0))</f>
        <v>AE70709</v>
      </c>
      <c r="H43" s="56">
        <f t="array" ref="H43">INDEX('DMR 001C NEW'!$A$3:$N$9999,MATCH(('001-C DMR'!$E$11&amp;'001-C DMR'!$F$10&amp;'001-C DMR'!$B43&amp;$G43),('DMR 001C NEW'!$E$3:$E$7246&amp;'DMR 001C NEW'!$B$3:$B$7246&amp;'DMR 001C NEW'!$A$3:$A$7246&amp;'DMR 001C NEW'!$M$3:$M$7188),0),MATCH($C$11,'DMR 001C NEW'!$A$2:$O$2,0))</f>
        <v>104.35</v>
      </c>
      <c r="I43" s="56">
        <f t="shared" si="0"/>
        <v>6.44648078157313</v>
      </c>
      <c r="J43" s="58" t="str">
        <f t="shared" si="39"/>
        <v/>
      </c>
      <c r="K43" s="64" t="str">
        <f t="shared" si="40"/>
        <v/>
      </c>
      <c r="L43" s="262" t="str">
        <f t="array" ref="L43">_xlfn.IFNA(INDEX('DMR 001C NEW'!$A$3:$N$3865,MATCH(('001-C DMR'!$C$6:$K$6&amp;'001-C DMR'!L$10&amp;'001-C DMR'!$B43),('DMR 001C NEW'!$E$3:$E$1112&amp;'DMR 001C NEW'!$B$3:$B$1112&amp;'DMR 001C NEW'!$A$3:$A$1112),0),MATCH('001-C DMR'!$C$11,'DMR 001C NEW'!$A$2:$O$2,0)),"")</f>
        <v/>
      </c>
      <c r="M43" s="262" t="str">
        <f t="array" ref="M43">_xlfn.IFNA(INDEX('DMR 001C NEW'!$A$3:$N$3865,MATCH(('001-C DMR'!$C$6:$K$6&amp;'001-C DMR'!M$10&amp;'001-C DMR'!$B43),('DMR 001C NEW'!$E$3:$E$1112&amp;'DMR 001C NEW'!$B$3:$B$1112&amp;'DMR 001C NEW'!$A$3:$A$1112),0),MATCH('001-C DMR'!$C$11,'DMR 001C NEW'!$A$2:$O$2,0)),"")</f>
        <v/>
      </c>
      <c r="N43" s="262" t="str">
        <f t="array" ref="N43">_xlfn.IFNA(INDEX('DMR 001C NEW'!$A$3:$N$3865,MATCH(('001-C DMR'!$C$6:$K$6&amp;'001-C DMR'!N$10&amp;'001-C DMR'!$B43),('DMR 001C NEW'!$E$3:$E$1112&amp;'DMR 001C NEW'!$B$3:$B$1112&amp;'DMR 001C NEW'!$A$3:$A$1112),0),MATCH('001-C DMR'!$C$11,'DMR 001C NEW'!$A$2:$O$2,0)),"")</f>
        <v/>
      </c>
      <c r="O43" s="262" t="str">
        <f t="array" ref="O43">_xlfn.IFNA(INDEX('DMR 001C NEW'!$A$3:$N$3865,MATCH(('001-C DMR'!$C$6:$K$6&amp;'001-C DMR'!O$10&amp;'001-C DMR'!$B43),('DMR 001C NEW'!$E$3:$E$1112&amp;'DMR 001C NEW'!$B$3:$B$1112&amp;'DMR 001C NEW'!$A$3:$A$1112),0),MATCH('001-C DMR'!$C$11,'DMR 001C NEW'!$A$2:$O$2,0)),"")</f>
        <v/>
      </c>
      <c r="P43" s="262" t="str">
        <f t="array" ref="P43">_xlfn.IFNA(INDEX('DMR 001C NEW'!$A$3:$N$3865,MATCH(('001-C DMR'!$C$6:$K$6&amp;'001-C DMR'!P$10&amp;'001-C DMR'!$B43),('DMR 001C NEW'!$E$3:$E$1112&amp;'DMR 001C NEW'!$B$3:$B$1112&amp;'DMR 001C NEW'!$A$3:$A$1112),0),MATCH('001-C DMR'!$C$11,'DMR 001C NEW'!$A$2:$O$2,0)),"")</f>
        <v/>
      </c>
      <c r="R43" s="38"/>
      <c r="S43" s="56">
        <f t="array" ref="S43">_xlfn.IFNA(INDEX('DMR 001C NEW'!$A$3:$N$11771,MATCH(('001-C DMR'!$R$6:$T$6&amp;'001-C DMR'!$R$10&amp;'001-C DMR'!$B43),('DMR 001C NEW'!$E$3:$E$9018&amp;'DMR 001C NEW'!$B$3:$B$9018&amp;'DMR 001C NEW'!$A$3:$A$9018),0),MATCH('001-C DMR'!$S$11,'DMR 001C NEW'!$A$2:$O$2,0)),"")</f>
        <v>7</v>
      </c>
      <c r="T43" s="64" t="str">
        <f t="shared" si="41"/>
        <v/>
      </c>
      <c r="U43" s="262" t="str">
        <f t="array" ref="U43">_xlfn.IFNA(INDEX('DMR 001C NEW'!$A$3:$O$591,MATCH('001-C DMR'!$R$6:$T$6&amp;'001-C DMR'!U$10&amp;'001-C DMR'!$B43,('DMR 001C NEW'!$E$3:$E$704&amp;'DMR 001C NEW'!$B$3:$B$704&amp;'DMR 001C NEW'!$A$3:$A$704),0),MATCH('001-C DMR'!$U$11,'DMR 001C NEW'!$A$2:$O$2,0)),"")</f>
        <v/>
      </c>
      <c r="V43" s="262" t="str">
        <f t="array" ref="V43">_xlfn.IFNA(INDEX('DMR 001C NEW'!$A$3:$O$591,MATCH('001-C DMR'!$R$6:$T$6&amp;'001-C DMR'!V$10&amp;'001-C DMR'!$B43,('DMR 001C NEW'!$E$3:$E$704&amp;'DMR 001C NEW'!$B$3:$B$704&amp;'DMR 001C NEW'!$A$3:$A$704),0),MATCH('001-C DMR'!$U$11,'DMR 001C NEW'!$A$2:$O$2,0)),"")</f>
        <v/>
      </c>
      <c r="W43" s="262" t="str">
        <f t="array" ref="W43">_xlfn.IFNA(INDEX('DMR 001C NEW'!$A$3:$O$591,MATCH('001-C DMR'!$R$6:$T$6&amp;'001-C DMR'!W$10&amp;'001-C DMR'!$B43,('DMR 001C NEW'!$E$3:$E$704&amp;'DMR 001C NEW'!$B$3:$B$704&amp;'DMR 001C NEW'!$A$3:$A$704),0),MATCH('001-C DMR'!$U$11,'DMR 001C NEW'!$A$2:$O$2,0)),"")</f>
        <v/>
      </c>
      <c r="X43" s="262" t="str">
        <f t="array" ref="X43">_xlfn.IFNA(INDEX('DMR 001C NEW'!$A$3:$O$591,MATCH('001-C DMR'!$R$6:$T$6&amp;'001-C DMR'!X$10&amp;'001-C DMR'!$B43,('DMR 001C NEW'!$E$3:$E$704&amp;'DMR 001C NEW'!$B$3:$B$704&amp;'DMR 001C NEW'!$A$3:$A$704),0),MATCH('001-C DMR'!$U$11,'DMR 001C NEW'!$A$2:$O$2,0)),"")</f>
        <v/>
      </c>
      <c r="Y43" s="262" t="str">
        <f t="array" ref="Y43">_xlfn.IFNA(INDEX('DMR 001C NEW'!$A$3:$O$591,MATCH('001-C DMR'!$R$6:$T$6&amp;'001-C DMR'!Y$10&amp;'001-C DMR'!$B43,('DMR 001C NEW'!$E$3:$E$704&amp;'DMR 001C NEW'!$B$3:$B$704&amp;'DMR 001C NEW'!$A$3:$A$704),0),MATCH('001-C DMR'!$U$11,'DMR 001C NEW'!$A$2:$O$2,0)),"")</f>
        <v/>
      </c>
      <c r="Z43" s="262" t="str">
        <f t="array" ref="Z43">_xlfn.IFNA(INDEX('DMR 001C NEW'!$A$3:$O$591,MATCH('001-C DMR'!$R$6:$T$6&amp;'001-C DMR'!Z$10&amp;'001-C DMR'!$B43,('DMR 001C NEW'!$E$3:$E$704&amp;'DMR 001C NEW'!$B$3:$B$704&amp;'DMR 001C NEW'!$A$3:$A$704),0),MATCH('001-C DMR'!$U$11,'DMR 001C NEW'!$A$2:$O$2,0)),"")</f>
        <v/>
      </c>
      <c r="AA43" s="262" t="str">
        <f t="array" ref="AA43">_xlfn.IFNA(INDEX('DMR 001C NEW'!$A$3:$O$591,MATCH('001-C DMR'!$R$6:$T$6&amp;'001-C DMR'!AA$10&amp;'001-C DMR'!$B43,('DMR 001C NEW'!$E$3:$E$704&amp;'DMR 001C NEW'!$B$3:$B$704&amp;'DMR 001C NEW'!$A$3:$A$704),0),MATCH('001-C DMR'!$U$11,'DMR 001C NEW'!$A$2:$O$2,0)),"")</f>
        <v/>
      </c>
      <c r="AB43" s="61" t="str">
        <f t="array" ref="AB43">IF(AD43&lt;AC43,"&lt;","")</f>
        <v/>
      </c>
      <c r="AC43" s="56">
        <f t="array" ref="AC43">_xlfn.IFNA(INDEX('DMR 001C NEW'!$A$3:$O$9999,MATCH(('001-C DMR'!$AB$6:$AJ$6&amp;'001-C DMR'!$AB$10:$AD$10&amp;'001-C DMR'!$B43),('DMR 001C NEW'!$E$3:$E$7246&amp;'DMR 001C NEW'!$B$3:$B$7246&amp;'DMR 001C NEW'!$A$3:$A$7246),0),MATCH('001-C DMR'!$AC$11,'DMR 001C NEW'!$A$2:$O$2,0)),"")</f>
        <v>3</v>
      </c>
      <c r="AD43" s="56">
        <f t="array" ref="AD43">_xlfn.IFNA(INDEX('DMR 001C NEW'!$A$3:$O$9999,MATCH(('001-C DMR'!$AB$6:$AJ$6&amp;'001-C DMR'!$AB$10:$AD$10&amp;'001-C DMR'!$B43),('DMR 001C NEW'!$E$3:$E$7246&amp;'DMR 001C NEW'!$B$3:$B$7246&amp;'DMR 001C NEW'!$A$3:$A$7246),0),MATCH('001-C DMR'!$AD$11,'DMR 001C NEW'!$A$2:$O$2,0)),"")</f>
        <v>13</v>
      </c>
      <c r="AE43" s="57" t="str">
        <f t="array" ref="AE43">IF(AG43&lt;AF43,"&lt;","")</f>
        <v/>
      </c>
      <c r="AF43" s="56">
        <f t="array" ref="AF43">_xlfn.IFNA(INDEX('DMR 001C NEW'!$A$3:$O$9999,MATCH(('001-C DMR'!$AB$6:$AJ$6&amp;'001-C DMR'!$AE$10&amp;'001-C DMR'!$B43),('DMR 001C NEW'!$E$3:$E$9018&amp;'DMR 001C NEW'!$B$3:$B$9018&amp;'DMR 001C NEW'!$A$3:$A$9018),0),MATCH('001-C DMR'!$AF$11,'DMR 001C NEW'!$A$2:$O$2,0)),"")</f>
        <v>3</v>
      </c>
      <c r="AG43" s="56">
        <f t="array" ref="AG43">_xlfn.IFNA(INDEX('DMR 001C NEW'!$A$3:$O$9999,MATCH(('001-C DMR'!$AB$6:$AJ$6&amp;'001-C DMR'!$AE$10&amp;'001-C DMR'!$B43),('DMR 001C NEW'!$E$3:$E$9018&amp;'DMR 001C NEW'!$B$3:$B$9018&amp;'DMR 001C NEW'!$A$3:$A$9018),0),MATCH('001-C DMR'!$AG$11,'DMR 001C NEW'!$A$2:$O$2,0)),"")</f>
        <v>10</v>
      </c>
      <c r="AH43" s="56">
        <f t="array" ref="AH43">IFERROR((($AD43*$EI43)+($AG43*$EJ43))/($EK43),"")</f>
        <v>10.973521442010615</v>
      </c>
      <c r="AI43" s="56" t="str">
        <f t="shared" si="42"/>
        <v/>
      </c>
      <c r="AJ43" s="64" t="str">
        <f t="shared" si="30"/>
        <v/>
      </c>
      <c r="AK43" s="262" t="str">
        <f t="array" ref="AK43">_xlfn.IFNA(INDEX('DMR 001C NEW'!$A$3:$O$999,MATCH(('001-C DMR'!$AB$6:$AJ$6&amp;'001-C DMR'!AK$10&amp;'001-C DMR'!$B43),('DMR 001C NEW'!$E$3:$E$1112&amp;'DMR 001C NEW'!$B$3:$B$1112&amp;'DMR 001C NEW'!$A$3:$A$1112),0),MATCH('001-C DMR'!$AD$11,'DMR 001C NEW'!$A$2:$O$2,0)),"")</f>
        <v/>
      </c>
      <c r="AL43" s="262" t="str">
        <f t="array" ref="AL43">_xlfn.IFNA(INDEX('DMR 001C NEW'!$A$3:$O$999,MATCH(('001-C DMR'!$AB$6:$AJ$6&amp;'001-C DMR'!AL$10&amp;'001-C DMR'!$B43),('DMR 001C NEW'!$E$3:$E$1112&amp;'DMR 001C NEW'!$B$3:$B$1112&amp;'DMR 001C NEW'!$A$3:$A$1112),0),MATCH('001-C DMR'!$AD$11,'DMR 001C NEW'!$A$2:$O$2,0)),"")</f>
        <v/>
      </c>
      <c r="AM43" s="262" t="str">
        <f t="array" ref="AM43">_xlfn.IFNA(INDEX('DMR 001C NEW'!$A$3:$O$999,MATCH(('001-C DMR'!$AB$6:$AJ$6&amp;'001-C DMR'!AM$10&amp;'001-C DMR'!$B43),('DMR 001C NEW'!$E$3:$E$1112&amp;'DMR 001C NEW'!$B$3:$B$1112&amp;'DMR 001C NEW'!$A$3:$A$1112),0),MATCH('001-C DMR'!$AD$11,'DMR 001C NEW'!$A$2:$O$2,0)),"")</f>
        <v/>
      </c>
      <c r="AN43" s="262" t="str">
        <f t="array" ref="AN43">_xlfn.IFNA(INDEX('DMR 001C NEW'!$A$3:$O$999,MATCH(('001-C DMR'!$AB$6:$AJ$6&amp;'001-C DMR'!AN$10&amp;'001-C DMR'!$B43),('DMR 001C NEW'!$E$3:$E$1112&amp;'DMR 001C NEW'!$B$3:$B$1112&amp;'DMR 001C NEW'!$A$3:$A$1112),0),MATCH('001-C DMR'!$AD$11,'DMR 001C NEW'!$A$2:$O$2,0)),"")</f>
        <v/>
      </c>
      <c r="AO43" s="262" t="str">
        <f t="array" ref="AO43">_xlfn.IFNA(INDEX('DMR 001C NEW'!$A$3:$O$999,MATCH(('001-C DMR'!$AB$6:$AJ$6&amp;'001-C DMR'!AO$10&amp;'001-C DMR'!$B43),('DMR 001C NEW'!$E$3:$E$1112&amp;'DMR 001C NEW'!$B$3:$B$1112&amp;'DMR 001C NEW'!$A$3:$A$1112),0),MATCH('001-C DMR'!$AD$11,'DMR 001C NEW'!$A$2:$O$2,0)),"")</f>
        <v/>
      </c>
      <c r="AP43" s="262" t="str">
        <f t="array" ref="AP43">_xlfn.IFNA(INDEX('DMR 001C NEW'!$A$3:$O$999,MATCH(('001-C DMR'!$AB$6:$AJ$6&amp;'001-C DMR'!AP$10&amp;'001-C DMR'!$B43),('DMR 001C NEW'!$E$3:$E$1112&amp;'DMR 001C NEW'!$B$3:$B$1112&amp;'DMR 001C NEW'!$A$3:$A$1112),0),MATCH('001-C DMR'!$AD$11,'DMR 001C NEW'!$A$2:$O$2,0)),"")</f>
        <v/>
      </c>
      <c r="AQ43" s="38"/>
      <c r="AR43" s="58" t="str">
        <f t="array" ref="AR43">_xlfn.IFNA((INDEX('DMR 001C NEW'!$A$3:$O$9999,MATCH(('001-C DMR'!$AQ$6:$AZ$6&amp;'001-C DMR'!$AQ$10:$AS$10&amp;'001-C DMR'!$B43),('DMR 001C NEW'!$E$3:$E$7246&amp;'DMR 001C NEW'!$B$3:$B$7246&amp;'DMR 001C NEW'!$A$3:$A$7246),0),MATCH('001-C DMR'!$AR$11,'DMR 001C NEW'!$A$2:$O$2,0))),"")</f>
        <v/>
      </c>
      <c r="AS43" s="58" t="str">
        <f t="array" ref="AS43">_xlfn.IFNA(INDEX('DMR 001C NEW'!$A$3:$O$9999,MATCH(('001-C DMR'!$AQ$6:$AZ$6&amp;'001-C DMR'!$AQ$10:$AS$10&amp;'001-C DMR'!$B43),('DMR 001C NEW'!$E$3:$E$7246&amp;'DMR 001C NEW'!$B$3:$B$7246&amp;'DMR 001C NEW'!$A$3:$A$7246),0),MATCH('001-C DMR'!$AS$11,'DMR 001C NEW'!$A$2:$O$2,0)),"")</f>
        <v/>
      </c>
      <c r="AT43" s="58" t="str">
        <f t="shared" si="27"/>
        <v/>
      </c>
      <c r="AV43" s="58" t="str">
        <f t="array" ref="AV43">_xlfn.IFNA((INDEX('DMR 001C NEW'!$A$3:$O$9999,MATCH(('001-C DMR'!$AQ$6:$AZ$6&amp;'001-C DMR'!$AU$10&amp;'001-C DMR'!$B43),('DMR 001C NEW'!$E$3:$E$7246&amp;'DMR 001C NEW'!$B$3:$B$7246&amp;'DMR 001C NEW'!$A$3:$A$7246),0),MATCH('001-C DMR'!$AR$11,'DMR 001C NEW'!$A$2:$O$2,0))),"")</f>
        <v/>
      </c>
      <c r="AW43" s="58" t="str">
        <f t="array" ref="AW43">_xlfn.IFNA(INDEX('DMR 001C NEW'!$A$3:$O$9999,MATCH(('001-C DMR'!$AQ$6:$AZ$6&amp;'001-C DMR'!$AU$10&amp;'001-C DMR'!$B43),('DMR 001C NEW'!$E$3:$E$7246&amp;'DMR 001C NEW'!$B$3:$B$7246&amp;'DMR 001C NEW'!$A$3:$A$7246),0),MATCH('001-C DMR'!$AW$11,'DMR 001C NEW'!$A$2:$O$2,0)),"")</f>
        <v/>
      </c>
      <c r="AX43" s="58" t="str">
        <f t="shared" si="6"/>
        <v/>
      </c>
      <c r="AY43" s="56" t="str">
        <f t="array" ref="AY43">IFERROR((($AT43*$EI43)+($AX43*$EJ43))/($EK43),"")</f>
        <v/>
      </c>
      <c r="AZ43" s="64" t="str">
        <f t="shared" si="31"/>
        <v/>
      </c>
      <c r="BA43" s="279" t="str">
        <f t="array" ref="BA43">_xlfn.IFNA(INDEX('DMR 001C NEW'!$A$3:$O$9999,MATCH(('001-C DMR'!$AQ$6:$AZ$6&amp;'001-C DMR'!BA$10&amp;'001-C DMR'!$B43),('DMR 001C NEW'!$E$3:$E$1112&amp;'DMR 001C NEW'!$B$3:$B$1112&amp;'DMR 001C NEW'!$A$3:$A$1112),0),MATCH('001-C DMR'!$BA$11,'DMR 001C NEW'!$A$2:$O$2,0)),"")</f>
        <v/>
      </c>
      <c r="BB43" s="280" t="str">
        <f t="array" ref="BB43">_xlfn.IFNA(INDEX('DMR 001C NEW'!$A$3:$O$9999,MATCH(('001-C DMR'!$AQ$6:$AZ$6&amp;'001-C DMR'!BB$10&amp;'001-C DMR'!$B43),('DMR 001C NEW'!$E$3:$E$1112&amp;'DMR 001C NEW'!$B$3:$B$1112&amp;'DMR 001C NEW'!$A$3:$A$1112),0),MATCH('001-C DMR'!$BA$11,'DMR 001C NEW'!$A$2:$O$2,0)),"")</f>
        <v/>
      </c>
      <c r="BC43" s="280" t="str">
        <f t="array" ref="BC43">_xlfn.IFNA(INDEX('DMR 001C NEW'!$A$3:$O$9999,MATCH(('001-C DMR'!$AQ$6:$AZ$6&amp;'001-C DMR'!BC$10&amp;'001-C DMR'!$B43),('DMR 001C NEW'!$E$3:$E$1112&amp;'DMR 001C NEW'!$B$3:$B$1112&amp;'DMR 001C NEW'!$A$3:$A$1112),0),MATCH('001-C DMR'!$BA$11,'DMR 001C NEW'!$A$2:$O$2,0)),"")</f>
        <v/>
      </c>
      <c r="BD43" s="280" t="str">
        <f t="array" ref="BD43">_xlfn.IFNA(INDEX('DMR 001C NEW'!$A$3:$O$9999,MATCH(('001-C DMR'!$AQ$6:$AZ$6&amp;'001-C DMR'!BD$10&amp;'001-C DMR'!$B43),('DMR 001C NEW'!$E$3:$E$1112&amp;'DMR 001C NEW'!$B$3:$B$1112&amp;'DMR 001C NEW'!$A$3:$A$1112),0),MATCH('001-C DMR'!$BA$11,'DMR 001C NEW'!$A$2:$O$2,0)),"")</f>
        <v/>
      </c>
      <c r="BE43" s="280" t="str">
        <f t="array" ref="BE43">_xlfn.IFNA(INDEX('DMR 001C NEW'!$A$3:$O$9999,MATCH(('001-C DMR'!$AQ$6:$AZ$6&amp;'001-C DMR'!BE$10&amp;'001-C DMR'!$B43),('DMR 001C NEW'!$E$3:$E$1112&amp;'DMR 001C NEW'!$B$3:$B$1112&amp;'DMR 001C NEW'!$A$3:$A$1112),0),MATCH('001-C DMR'!$BA$11,'DMR 001C NEW'!$A$2:$O$2,0)),"")</f>
        <v/>
      </c>
      <c r="BF43" s="281" t="str">
        <f t="array" ref="BF43">_xlfn.IFNA(INDEX('DMR 001C NEW'!$A$3:$O$9999,MATCH(('001-C DMR'!$AQ$6:$AZ$6&amp;'001-C DMR'!BF$10&amp;'001-C DMR'!$B43),('DMR 001C NEW'!$E$3:$E$1112&amp;'DMR 001C NEW'!$B$3:$B$1112&amp;'DMR 001C NEW'!$A$3:$A$1112),0),MATCH('001-C DMR'!$BA$11,'DMR 001C NEW'!$A$2:$O$2,0)),"")</f>
        <v/>
      </c>
      <c r="BH43" s="58" t="str">
        <f t="array" ref="BH43">_xlfn.IFNA((INDEX('DMR 001C NEW'!$A$3:$O$9999,MATCH(('001-C DMR'!$BG$6&amp;'001-C DMR'!$BG$10&amp;'001-C DMR'!$B43),('DMR 001C NEW'!$E$3:$E$7246&amp;'DMR 001C NEW'!$B$3:$B$7246&amp;'DMR 001C NEW'!$A$3:$A$7246),0),MATCH('001-C DMR'!$BH$11,'DMR 001C NEW'!$A$2:$O$2,0))),"")</f>
        <v/>
      </c>
      <c r="BI43" s="58" t="str">
        <f t="array" ref="BI43">_xlfn.IFNA(INDEX('DMR 001C NEW'!$A$3:$O$9999,MATCH(('001-C DMR'!$BG$6&amp;'001-C DMR'!$BG$10&amp;'001-C DMR'!$B43),('DMR 001C NEW'!$E$3:$E$7246&amp;'DMR 001C NEW'!$B$3:$B$7246&amp;'DMR 001C NEW'!$A$3:$A$7246),0),MATCH('001-C DMR'!$BI$11,'DMR 001C NEW'!$A$2:$O$2,0)),"")</f>
        <v/>
      </c>
      <c r="BJ43" s="58" t="str">
        <f t="shared" si="7"/>
        <v/>
      </c>
      <c r="BK43" s="57" t="str">
        <f>IF(BM43&lt;BL43,"&lt;","")</f>
        <v/>
      </c>
      <c r="BL43" s="58" t="str">
        <f t="array" ref="BL43">_xlfn.IFNA((INDEX('DMR 001C NEW'!$A$3:$O$9999,MATCH(('001-C DMR'!$BG$6&amp;'001-C DMR'!$BK$10&amp;'001-C DMR'!$B43),('DMR 001C NEW'!$E$3:$E$7246&amp;'DMR 001C NEW'!$B$3:$B$7246&amp;'DMR 001C NEW'!$A$3:$A$7246),0),MATCH('001-C DMR'!$BH$11,'DMR 001C NEW'!$A$2:$O$2,0))),"")</f>
        <v/>
      </c>
      <c r="BM43" s="58" t="str">
        <f t="array" ref="BM43">_xlfn.IFNA(INDEX('DMR 001C NEW'!$A$3:$O$9999,MATCH(('001-C DMR'!$BG$6&amp;'001-C DMR'!$BK$10&amp;'001-C DMR'!$B43),('DMR 001C NEW'!$E$3:$E$7246&amp;'DMR 001C NEW'!$B$3:$B$7246&amp;'DMR 001C NEW'!$A$3:$A$7246),0),MATCH('001-C DMR'!$BI$11,'DMR 001C NEW'!$A$2:$O$2,0)),"")</f>
        <v/>
      </c>
      <c r="BN43" s="58" t="str">
        <f t="shared" si="9"/>
        <v/>
      </c>
      <c r="BO43" s="56" t="str">
        <f t="array" ref="BO43">IFERROR((($BJ43*$EI43)+($BN43*$EJ43))/($EK43),"")</f>
        <v/>
      </c>
      <c r="BP43" s="29"/>
      <c r="BQ43" s="280" t="str">
        <f t="array" ref="BQ43">_xlfn.IFNA(INDEX('DMR 001C NEW'!$A$3:$O$999,MATCH(('001-C DMR'!$BG$6&amp;'001-C DMR'!BQ$10&amp;'001-C DMR'!$B43),('DMR 001C NEW'!$E$3:$E$1112&amp;'DMR 001C NEW'!$B$3:$B$1112&amp;'DMR 001C NEW'!$A$3:$A$1112),0),MATCH('001-C DMR'!$BQ$11,'DMR 001C NEW'!$A$2:$O$2,0)),"")</f>
        <v/>
      </c>
      <c r="BR43" s="280" t="str">
        <f t="array" ref="BR43">_xlfn.IFNA(INDEX('DMR 001C NEW'!$A$3:$O$999,MATCH(('001-C DMR'!$BG$6&amp;'001-C DMR'!BR$10&amp;'001-C DMR'!$B43),('DMR 001C NEW'!$E$3:$E$1112&amp;'DMR 001C NEW'!$B$3:$B$1112&amp;'DMR 001C NEW'!$A$3:$A$1112),0),MATCH('001-C DMR'!$BQ$11,'DMR 001C NEW'!$A$2:$O$2,0)),"")</f>
        <v/>
      </c>
      <c r="BS43" s="280" t="str">
        <f t="array" ref="BS43">_xlfn.IFNA(INDEX('DMR 001C NEW'!$A$3:$O$999,MATCH(('001-C DMR'!$BG$6&amp;'001-C DMR'!BS$10&amp;'001-C DMR'!$B43),('DMR 001C NEW'!$E$3:$E$1112&amp;'DMR 001C NEW'!$B$3:$B$1112&amp;'DMR 001C NEW'!$A$3:$A$1112),0),MATCH('001-C DMR'!$BQ$11,'DMR 001C NEW'!$A$2:$O$2,0)),"")</f>
        <v/>
      </c>
      <c r="BT43" s="280" t="str">
        <f t="array" ref="BT43">_xlfn.IFNA(INDEX('DMR 001C NEW'!$A$3:$O$999,MATCH(('001-C DMR'!$BG$6&amp;'001-C DMR'!BT$10&amp;'001-C DMR'!$B43),('DMR 001C NEW'!$E$3:$E$1112&amp;'DMR 001C NEW'!$B$3:$B$1112&amp;'DMR 001C NEW'!$A$3:$A$1112),0),MATCH('001-C DMR'!$BQ$11,'DMR 001C NEW'!$A$2:$O$2,0)),"")</f>
        <v/>
      </c>
      <c r="BU43" s="280" t="str">
        <f t="array" ref="BU43">_xlfn.IFNA(INDEX('DMR 001C NEW'!$A$3:$O$999,MATCH(('001-C DMR'!$BG$6&amp;'001-C DMR'!BU$10&amp;'001-C DMR'!$B43),('DMR 001C NEW'!$E$3:$E$1112&amp;'DMR 001C NEW'!$B$3:$B$1112&amp;'DMR 001C NEW'!$A$3:$A$1112),0),MATCH('001-C DMR'!$BQ$11,'DMR 001C NEW'!$A$2:$O$2,0)),"")</f>
        <v/>
      </c>
      <c r="BV43" s="280" t="str">
        <f t="array" ref="BV43">_xlfn.IFNA(INDEX('DMR 001C NEW'!$A$3:$O$999,MATCH(('001-C DMR'!$BG$6&amp;'001-C DMR'!BV$10&amp;'001-C DMR'!$B43),('DMR 001C NEW'!$E$3:$E$1112&amp;'DMR 001C NEW'!$B$3:$B$1112&amp;'DMR 001C NEW'!$A$3:$A$1112),0),MATCH('001-C DMR'!$BQ$11,'DMR 001C NEW'!$A$2:$O$2,0)),"")</f>
        <v/>
      </c>
      <c r="BW43" s="41"/>
      <c r="BX43" s="41"/>
      <c r="BY43" s="57" t="str">
        <f t="shared" si="45"/>
        <v/>
      </c>
      <c r="BZ43" s="58" t="str">
        <f t="array" ref="BZ43">_xlfn.IFNA((INDEX('DMR 001C NEW'!$A$3:$O$9999,MATCH(('001-C DMR'!$BY$6&amp;'001-C DMR'!$BY$10&amp;'001-C DMR'!$B43),('DMR 001C NEW'!$E$3:$E$7246&amp;'DMR 001C NEW'!$B$3:$B$7246&amp;'DMR 001C NEW'!$A$3:$A$7246),0),MATCH('001-C DMR'!$BZ$11,'DMR 001C NEW'!$A$2:$O$2,0))),"")</f>
        <v/>
      </c>
      <c r="CA43" s="138" t="str">
        <f t="array" ref="CA43">_xlfn.IFNA(INDEX('DMR 001C NEW'!$A$3:$O$9999,MATCH(('001-C DMR'!$BY$6&amp;'001-C DMR'!$BY$10&amp;'001-C DMR'!$B43),('DMR 001C NEW'!$E$3:$E$7246&amp;'DMR 001C NEW'!$B$3:$B$7246&amp;'DMR 001C NEW'!$A$3:$A$7246),0),MATCH('001-C DMR'!$CA$11,'DMR 001C NEW'!$A$2:$O$2,0)),"")</f>
        <v/>
      </c>
      <c r="CB43" s="57" t="str">
        <f t="shared" si="46"/>
        <v/>
      </c>
      <c r="CC43" s="58" t="str">
        <f t="array" ref="CC43">_xlfn.IFNA((INDEX('DMR 001C NEW'!$A$3:$O$9999,MATCH(('001-C DMR'!$BY$6&amp;'001-C DMR'!$CB$10&amp;'001-C DMR'!$B43),('DMR 001C NEW'!$E$3:$E$7246&amp;'DMR 001C NEW'!$B$3:$B$7246&amp;'DMR 001C NEW'!$A$3:$A$7246),0),MATCH('001-C DMR'!$BZ$11,'DMR 001C NEW'!$A$2:$O$2,0))),"")</f>
        <v/>
      </c>
      <c r="CD43" s="138" t="str">
        <f t="array" ref="CD43">_xlfn.IFNA(INDEX('DMR 001C NEW'!$A$3:$O$9999,MATCH(('001-C DMR'!$BY$6&amp;'001-C DMR'!$CB$10&amp;'001-C DMR'!$B43),('DMR 001C NEW'!$E$3:$E$7246&amp;'DMR 001C NEW'!$B$3:$B$7246&amp;'DMR 001C NEW'!$A$3:$A$7246),0),MATCH('001-C DMR'!$CA$11,'DMR 001C NEW'!$A$2:$O$2,0)),"")</f>
        <v/>
      </c>
      <c r="CE43" s="138" t="str">
        <f t="array" ref="CE43">IFERROR((($CA43*$EI43)+($CD43*$EJ43))/($EK43),"")</f>
        <v/>
      </c>
      <c r="CF43" s="64" t="str">
        <f t="shared" si="47"/>
        <v/>
      </c>
      <c r="CG43" s="280" t="str">
        <f t="array" ref="CG43">_xlfn.IFNA(INDEX('DMR 001C NEW'!$A$3:$O$999,MATCH(('001-C DMR'!$BY$6&amp;'001-C DMR'!CG$10&amp;'001-C DMR'!$B43),('DMR 001C NEW'!$E$3:$E$1112&amp;'DMR 001C NEW'!$B$3:$B$1112&amp;'DMR 001C NEW'!$A$3:$A$1112),0),MATCH('001-C DMR'!$CA$11,'DMR 001C NEW'!$A$2:$O$2,0)),"")</f>
        <v/>
      </c>
      <c r="CH43" s="280" t="str">
        <f t="array" ref="CH43">_xlfn.IFNA(INDEX('DMR 001C NEW'!$A$3:$O$999,MATCH(('001-C DMR'!$BY$6&amp;'001-C DMR'!CH$10&amp;'001-C DMR'!$B43),('DMR 001C NEW'!$E$3:$E$1112&amp;'DMR 001C NEW'!$B$3:$B$1112&amp;'DMR 001C NEW'!$A$3:$A$1112),0),MATCH('001-C DMR'!$CA$11,'DMR 001C NEW'!$A$2:$O$2,0)),"")</f>
        <v/>
      </c>
      <c r="CI43" s="280" t="str">
        <f t="array" ref="CI43">_xlfn.IFNA(INDEX('DMR 001C NEW'!$A$3:$O$999,MATCH(('001-C DMR'!$BY$6&amp;'001-C DMR'!CI$10&amp;'001-C DMR'!$B43),('DMR 001C NEW'!$E$3:$E$1112&amp;'DMR 001C NEW'!$B$3:$B$1112&amp;'DMR 001C NEW'!$A$3:$A$1112),0),MATCH('001-C DMR'!$CA$11,'DMR 001C NEW'!$A$2:$O$2,0)),"")</f>
        <v/>
      </c>
      <c r="CJ43" s="280" t="str">
        <f t="array" ref="CJ43">_xlfn.IFNA(INDEX('DMR 001C NEW'!$A$3:$O$999,MATCH(('001-C DMR'!$BY$6&amp;'001-C DMR'!CJ$10&amp;'001-C DMR'!$B43),('DMR 001C NEW'!$E$3:$E$1112&amp;'DMR 001C NEW'!$B$3:$B$1112&amp;'DMR 001C NEW'!$A$3:$A$1112),0),MATCH('001-C DMR'!$CA$11,'DMR 001C NEW'!$A$2:$O$2,0)),"")</f>
        <v/>
      </c>
      <c r="CK43" s="280" t="str">
        <f t="array" ref="CK43">_xlfn.IFNA(INDEX('DMR 001C NEW'!$A$3:$O$999,MATCH(('001-C DMR'!$BY$6&amp;'001-C DMR'!CK$10&amp;'001-C DMR'!$B43),('DMR 001C NEW'!$E$3:$E$1112&amp;'DMR 001C NEW'!$B$3:$B$1112&amp;'DMR 001C NEW'!$A$3:$A$1112),0),MATCH('001-C DMR'!$CA$11,'DMR 001C NEW'!$A$2:$O$2,0)),"")</f>
        <v/>
      </c>
      <c r="CL43" s="280" t="str">
        <f t="array" ref="CL43">_xlfn.IFNA(INDEX('DMR 001C NEW'!$A$3:$O$999,MATCH(('001-C DMR'!$BY$6&amp;'001-C DMR'!CL$10&amp;'001-C DMR'!$B43),('DMR 001C NEW'!$E$3:$E$1112&amp;'DMR 001C NEW'!$B$3:$B$1112&amp;'DMR 001C NEW'!$A$3:$A$1112),0),MATCH('001-C DMR'!$CA$11,'DMR 001C NEW'!$A$2:$O$2,0)),"")</f>
        <v/>
      </c>
      <c r="CM43" s="38"/>
      <c r="CN43" s="138" t="str">
        <f t="array" ref="CN43">_xlfn.IFNA((INDEX('DMR 001C NEW'!$A$3:$O$9999,MATCH(('001-C DMR'!$CM$6&amp;'001-C DMR'!$CM$10&amp;'001-C DMR'!$B43),('DMR 001C NEW'!$E$3:$E$9018&amp;'DMR 001C NEW'!$B$3:$B$9018&amp;'DMR 001C NEW'!$A$3:$A$9018),0),MATCH('001-C DMR'!$CN$11,'DMR 001C NEW'!$A$2:$O$2,0))*1000),"")</f>
        <v/>
      </c>
      <c r="CO43" s="138" t="str">
        <f t="array" ref="CO43">_xlfn.IFNA(INDEX('DMR 001C NEW'!$A$3:$O$9999,MATCH(('001-C DMR'!$CM$6&amp;'001-C DMR'!$CM$10&amp;'001-C DMR'!$B43),('DMR 001C NEW'!$E$3:$E$9018&amp;'DMR 001C NEW'!$B$3:$B$9018&amp;'DMR 001C NEW'!$A$3:$A$9018),0),MATCH('001-C DMR'!$CO$11,'DMR 001C NEW'!$A$2:$O$2,0))*1000,"")</f>
        <v/>
      </c>
      <c r="CP43" s="138" t="str">
        <f t="shared" si="13"/>
        <v/>
      </c>
      <c r="CQ43" s="64" t="str">
        <f t="shared" si="34"/>
        <v/>
      </c>
      <c r="CR43" s="280" t="str">
        <f t="array" ref="CR43">_xlfn.IFNA(INDEX('DMR 001C NEW'!$A$3:$O$999,MATCH(('001-C DMR'!$CM$6&amp;'001-C DMR'!CR$10&amp;'001-C DMR'!$B43),('DMR 001C NEW'!$E$3:$E$1112&amp;'DMR 001C NEW'!$B$3:$B$1112&amp;'DMR 001C NEW'!$A$3:$A$1112),0),MATCH('001-C DMR'!$CO$11,'DMR 001C NEW'!$A$2:$O$2,0)),"")</f>
        <v/>
      </c>
      <c r="CS43" s="280" t="str">
        <f t="array" ref="CS43">_xlfn.IFNA(INDEX('DMR 001C NEW'!$A$3:$O$999,MATCH(('001-C DMR'!$CM$6&amp;'001-C DMR'!CS$10&amp;'001-C DMR'!$B43),('DMR 001C NEW'!$E$3:$E$1112&amp;'DMR 001C NEW'!$B$3:$B$1112&amp;'DMR 001C NEW'!$A$3:$A$1112),0),MATCH('001-C DMR'!$CO$11,'DMR 001C NEW'!$A$2:$O$2,0)),"")</f>
        <v/>
      </c>
      <c r="CT43" s="280" t="str">
        <f t="array" ref="CT43">_xlfn.IFNA(INDEX('DMR 001C NEW'!$A$3:$O$999,MATCH(('001-C DMR'!$CM$6&amp;'001-C DMR'!CT$10&amp;'001-C DMR'!$B43),('DMR 001C NEW'!$E$3:$E$1112&amp;'DMR 001C NEW'!$B$3:$B$1112&amp;'DMR 001C NEW'!$A$3:$A$1112),0),MATCH('001-C DMR'!$CO$11,'DMR 001C NEW'!$A$2:$O$2,0)),"")</f>
        <v/>
      </c>
      <c r="CU43" s="280" t="str">
        <f t="array" ref="CU43">_xlfn.IFNA(INDEX('DMR 001C NEW'!$A$3:$O$999,MATCH(('001-C DMR'!$CM$6&amp;'001-C DMR'!CU$10&amp;'001-C DMR'!$B43),('DMR 001C NEW'!$E$3:$E$1112&amp;'DMR 001C NEW'!$B$3:$B$1112&amp;'DMR 001C NEW'!$A$3:$A$1112),0),MATCH('001-C DMR'!$CO$11,'DMR 001C NEW'!$A$2:$O$2,0)),"")</f>
        <v/>
      </c>
      <c r="CV43" s="280" t="str">
        <f t="array" ref="CV43">_xlfn.IFNA(INDEX('DMR 001C NEW'!$A$3:$O$999,MATCH(('001-C DMR'!$CM$6&amp;'001-C DMR'!CV$10&amp;'001-C DMR'!$B43),('DMR 001C NEW'!$E$3:$E$1112&amp;'DMR 001C NEW'!$B$3:$B$1112&amp;'DMR 001C NEW'!$A$3:$A$1112),0),MATCH('001-C DMR'!$CO$11,'DMR 001C NEW'!$A$2:$O$2,0)),"")</f>
        <v/>
      </c>
      <c r="CW43" s="280" t="str">
        <f t="array" ref="CW43">_xlfn.IFNA(INDEX('DMR 001C NEW'!$A$3:$O$999,MATCH(('001-C DMR'!$CM$6&amp;'001-C DMR'!CW$10&amp;'001-C DMR'!$B43),('DMR 001C NEW'!$E$3:$E$1112&amp;'DMR 001C NEW'!$B$3:$B$1112&amp;'DMR 001C NEW'!$A$3:$A$1112),0),MATCH('001-C DMR'!$CO$11,'DMR 001C NEW'!$A$2:$O$2,0)),"")</f>
        <v/>
      </c>
      <c r="CX43" s="280" t="str">
        <f t="array" ref="CX43">_xlfn.IFNA(INDEX('DMR 001C NEW'!$A$3:$O$999,MATCH(('001-C DMR'!$CM$6&amp;'001-C DMR'!CX$10&amp;'001-C DMR'!$B43),('DMR 001C NEW'!$E$3:$E$1112&amp;'DMR 001C NEW'!$B$3:$B$1112&amp;'DMR 001C NEW'!$A$3:$A$1112),0),MATCH('001-C DMR'!$CO$11,'DMR 001C NEW'!$A$2:$O$2,0)),"")</f>
        <v/>
      </c>
      <c r="CY43" s="94"/>
      <c r="CZ43" s="138" t="str">
        <f t="array" ref="CZ43">_xlfn.IFNA((INDEX('DMR 001C NEW'!$A$3:$O$9999,MATCH(('001-C DMR'!$CY$6&amp;'001-C DMR'!$CY$10&amp;'001-C DMR'!$B43),('DMR 001C NEW'!$E$3:$E$9018&amp;'DMR 001C NEW'!$B$3:$B$9018&amp;'DMR 001C NEW'!$A$3:$A$9018),0),MATCH('001-C DMR'!$CZ$11,'DMR 001C NEW'!$A$2:$O$2,0))*1000),"")</f>
        <v/>
      </c>
      <c r="DA43" s="138" t="str">
        <f t="array" ref="DA43">_xlfn.IFNA(INDEX('DMR 001C NEW'!$A$3:$O$9999,MATCH(('001-C DMR'!$CY$6&amp;'001-C DMR'!$CY$10&amp;'001-C DMR'!$B43),('DMR 001C NEW'!$E$3:$E$9018&amp;'DMR 001C NEW'!$B$3:$B$9018&amp;'DMR 001C NEW'!$A$3:$A$9018),0),MATCH('001-C DMR'!$DA$11,'DMR 001C NEW'!$A$2:$O$2,0))*1000,"")</f>
        <v/>
      </c>
      <c r="DB43" s="138" t="str">
        <f t="shared" si="15"/>
        <v/>
      </c>
      <c r="DC43" s="29"/>
      <c r="DD43" s="280" t="str">
        <f t="array" ref="DD43">_xlfn.IFNA(INDEX('DMR 001C NEW'!$A$3:$O$999,MATCH(('001-C DMR'!$CY$6&amp;'001-C DMR'!DD$10&amp;'001-C DMR'!$B43),('DMR 001C NEW'!$E$3:$E$1112&amp;'DMR 001C NEW'!$B$3:$B$1112&amp;'DMR 001C NEW'!$A$3:$A$1112),0),MATCH('001-C DMR'!$DA$11,'DMR 001C NEW'!$A$2:$O$2,0)),"")</f>
        <v/>
      </c>
      <c r="DE43" s="280" t="str">
        <f t="array" ref="DE43">_xlfn.IFNA(INDEX('DMR 001C NEW'!$A$3:$O$999,MATCH(('001-C DMR'!$CY$6&amp;'001-C DMR'!DE$10&amp;'001-C DMR'!$B43),('DMR 001C NEW'!$E$3:$E$1112&amp;'DMR 001C NEW'!$B$3:$B$1112&amp;'DMR 001C NEW'!$A$3:$A$1112),0),MATCH('001-C DMR'!$DA$11,'DMR 001C NEW'!$A$2:$O$2,0)),"")</f>
        <v/>
      </c>
      <c r="DF43" s="280" t="str">
        <f t="array" ref="DF43">_xlfn.IFNA(INDEX('DMR 001C NEW'!$A$3:$O$999,MATCH(('001-C DMR'!$CY$6&amp;'001-C DMR'!DF$10&amp;'001-C DMR'!$B43),('DMR 001C NEW'!$E$3:$E$1112&amp;'DMR 001C NEW'!$B$3:$B$1112&amp;'DMR 001C NEW'!$A$3:$A$1112),0),MATCH('001-C DMR'!$DA$11,'DMR 001C NEW'!$A$2:$O$2,0)),"")</f>
        <v/>
      </c>
      <c r="DG43" s="280" t="str">
        <f t="array" ref="DG43">_xlfn.IFNA(INDEX('DMR 001C NEW'!$A$3:$O$999,MATCH(('001-C DMR'!$CY$6&amp;'001-C DMR'!DG$10&amp;'001-C DMR'!$B43),('DMR 001C NEW'!$E$3:$E$1112&amp;'DMR 001C NEW'!$B$3:$B$1112&amp;'DMR 001C NEW'!$A$3:$A$1112),0),MATCH('001-C DMR'!$DA$11,'DMR 001C NEW'!$A$2:$O$2,0)),"")</f>
        <v/>
      </c>
      <c r="DH43" s="280" t="str">
        <f t="array" ref="DH43">_xlfn.IFNA(INDEX('DMR 001C NEW'!$A$3:$O$999,MATCH(('001-C DMR'!$CY$6&amp;'001-C DMR'!DH$10&amp;'001-C DMR'!$B43),('DMR 001C NEW'!$E$3:$E$1112&amp;'DMR 001C NEW'!$B$3:$B$1112&amp;'DMR 001C NEW'!$A$3:$A$1112),0),MATCH('001-C DMR'!$DA$11,'DMR 001C NEW'!$A$2:$O$2,0)),"")</f>
        <v/>
      </c>
      <c r="DI43" s="280" t="str">
        <f t="array" ref="DI43">_xlfn.IFNA(INDEX('DMR 001C NEW'!$A$3:$O$999,MATCH(('001-C DMR'!$CY$6&amp;'001-C DMR'!DI$10&amp;'001-C DMR'!$B43),('DMR 001C NEW'!$E$3:$E$1112&amp;'DMR 001C NEW'!$B$3:$B$1112&amp;'DMR 001C NEW'!$A$3:$A$1112),0),MATCH('001-C DMR'!$DA$11,'DMR 001C NEW'!$A$2:$O$2,0)),"")</f>
        <v/>
      </c>
      <c r="DJ43" s="280" t="str">
        <f t="array" ref="DJ43">_xlfn.IFNA(INDEX('DMR 001C NEW'!$A$3:$O$999,MATCH(('001-C DMR'!$CY$6&amp;'001-C DMR'!DJ$10&amp;'001-C DMR'!$B43),('DMR 001C NEW'!$E$3:$E$1112&amp;'DMR 001C NEW'!$B$3:$B$1112&amp;'DMR 001C NEW'!$A$3:$A$1112),0),MATCH('001-C DMR'!$DA$11,'DMR 001C NEW'!$A$2:$O$2,0)),"")</f>
        <v/>
      </c>
      <c r="DK43" s="61" t="str">
        <f t="shared" si="16"/>
        <v/>
      </c>
      <c r="DL43" s="58" t="str">
        <f t="array" ref="DL43">_xlfn.IFNA((INDEX('DMR 001C NEW'!$A$3:$O$9999,MATCH(('001-C DMR'!$DK$6&amp;'001-C DMR'!$DK$10&amp;'001-C DMR'!$B43),('DMR 001C NEW'!$E$3:$E$9018&amp;'DMR 001C NEW'!$B$3:$B$9018&amp;'DMR 001C NEW'!$A$3:$A$9018),0),MATCH('001-C DMR'!$DL$11,'DMR 001C NEW'!$A$2:$O$2,0))),"")</f>
        <v/>
      </c>
      <c r="DM43" s="58" t="str">
        <f t="array" ref="DM43">_xlfn.IFNA(INDEX('DMR 001C NEW'!$A$3:$O$9999,MATCH(('001-C DMR'!$DK$6&amp;'001-C DMR'!$DK$10&amp;'001-C DMR'!$B43),('DMR 001C NEW'!$E$3:$E$9018&amp;'DMR 001C NEW'!$B$3:$B$9018&amp;'DMR 001C NEW'!$A$3:$A$9018),0),MATCH('001-C DMR'!$DM$11,'DMR 001C NEW'!$A$2:$O$2,0)),"")</f>
        <v/>
      </c>
      <c r="DN43" s="58" t="str">
        <f t="shared" si="17"/>
        <v/>
      </c>
      <c r="DO43" s="223"/>
      <c r="DP43" s="224"/>
      <c r="DQ43" s="29"/>
      <c r="DR43" s="280" t="str">
        <f t="array" ref="DR43">_xlfn.IFNA(INDEX('DMR 001C NEW'!$A$3:$O$999,MATCH(('001-C DMR'!$DK$6&amp;'001-C DMR'!DR$10&amp;'001-C DMR'!$B43),('DMR 001C NEW'!$E$3:$E$1112&amp;'DMR 001C NEW'!$B$3:$B$1112&amp;'DMR 001C NEW'!$A$3:$A$1112),0),MATCH('001-C DMR'!$DR$11,'DMR 001C NEW'!$A$2:$O$2,0)),"")</f>
        <v/>
      </c>
      <c r="DS43" s="280" t="str">
        <f t="array" ref="DS43">_xlfn.IFNA(INDEX('DMR 001C NEW'!$A$3:$O$999,MATCH(('001-C DMR'!$DK$6&amp;'001-C DMR'!DS$10&amp;'001-C DMR'!$B43),('DMR 001C NEW'!$E$3:$E$1112&amp;'DMR 001C NEW'!$B$3:$B$1112&amp;'DMR 001C NEW'!$A$3:$A$1112),0),MATCH('001-C DMR'!$DR$11,'DMR 001C NEW'!$A$2:$O$2,0)),"")</f>
        <v/>
      </c>
      <c r="DT43" s="280" t="str">
        <f t="array" ref="DT43">_xlfn.IFNA(INDEX('DMR 001C NEW'!$A$3:$O$999,MATCH(('001-C DMR'!$DK$6&amp;'001-C DMR'!DT$10&amp;'001-C DMR'!$B43),('DMR 001C NEW'!$E$3:$E$1112&amp;'DMR 001C NEW'!$B$3:$B$1112&amp;'DMR 001C NEW'!$A$3:$A$1112),0),MATCH('001-C DMR'!$DR$11,'DMR 001C NEW'!$A$2:$O$2,0)),"")</f>
        <v/>
      </c>
      <c r="DU43" s="280" t="str">
        <f t="array" ref="DU43">_xlfn.IFNA(INDEX('DMR 001C NEW'!$A$3:$O$999,MATCH(('001-C DMR'!$DK$6&amp;'001-C DMR'!DU$10&amp;'001-C DMR'!$B43),('DMR 001C NEW'!$E$3:$E$1112&amp;'DMR 001C NEW'!$B$3:$B$1112&amp;'DMR 001C NEW'!$A$3:$A$1112),0),MATCH('001-C DMR'!$DR$11,'DMR 001C NEW'!$A$2:$O$2,0)),"")</f>
        <v/>
      </c>
      <c r="DV43" s="280" t="str">
        <f t="array" ref="DV43">_xlfn.IFNA(INDEX('DMR 001C NEW'!$A$3:$O$999,MATCH(('001-C DMR'!$DK$6&amp;'001-C DMR'!DV$10&amp;'001-C DMR'!$B43),('DMR 001C NEW'!$E$3:$E$1112&amp;'DMR 001C NEW'!$B$3:$B$1112&amp;'DMR 001C NEW'!$A$3:$A$1112),0),MATCH('001-C DMR'!$DR$11,'DMR 001C NEW'!$A$2:$O$2,0)),"")</f>
        <v/>
      </c>
      <c r="DW43" s="280" t="str">
        <f t="array" ref="DW43">_xlfn.IFNA(INDEX('DMR 001C NEW'!$A$3:$O$999,MATCH(('001-C DMR'!$DK$6&amp;'001-C DMR'!DW$10&amp;'001-C DMR'!$B43),('DMR 001C NEW'!$E$3:$E$1112&amp;'DMR 001C NEW'!$B$3:$B$1112&amp;'DMR 001C NEW'!$A$3:$A$1112),0),MATCH('001-C DMR'!$DR$11,'DMR 001C NEW'!$A$2:$O$2,0)),"")</f>
        <v/>
      </c>
      <c r="DX43" s="280" t="str">
        <f t="array" ref="DX43">_xlfn.IFNA(INDEX('DMR 001C NEW'!$A$3:$O$999,MATCH(('001-C DMR'!$DK$6&amp;'001-C DMR'!DX$10&amp;'001-C DMR'!$B43),('DMR 001C NEW'!$E$3:$E$1112&amp;'DMR 001C NEW'!$B$3:$B$1112&amp;'DMR 001C NEW'!$A$3:$A$1112),0),MATCH('001-C DMR'!$DR$11,'DMR 001C NEW'!$A$2:$O$2,0)),"")</f>
        <v/>
      </c>
      <c r="DY43" s="61" t="str">
        <f t="shared" si="28"/>
        <v/>
      </c>
      <c r="DZ43" s="249" t="str">
        <f t="array" ref="DZ43">_xlfn.IFNA((INDEX('DMR 001C NEW'!$A$3:$O$9999,MATCH(('001-C DMR'!$DY$6&amp;'001-C DMR'!$DY$10&amp;'001-C DMR'!$B43),('DMR 001C NEW'!$E$3:$E$9018&amp;'DMR 001C NEW'!$B$3:$B$9018&amp;'DMR 001C NEW'!$A$3:$A$9018),0),MATCH('001-C DMR'!$DZ$11,'DMR 001C NEW'!$A$2:$O$2,0))),"")</f>
        <v/>
      </c>
      <c r="EA43" s="249" t="str">
        <f t="array" ref="EA43">_xlfn.IFNA((INDEX('DMR 001C NEW'!$A$3:$O$9999,MATCH(('001-C DMR'!$DY$6&amp;'001-C DMR'!$DY$10&amp;'001-C DMR'!$B43),('DMR 001C NEW'!$E$3:$E$9018&amp;'DMR 001C NEW'!$B$3:$B$9018&amp;'DMR 001C NEW'!$A$3:$A$9018),0),MATCH('001-C DMR'!$EA$11,'DMR 001C NEW'!$A$2:$O$2,0))),"")</f>
        <v/>
      </c>
      <c r="EB43" s="249" t="str">
        <f t="array" ref="EB43">IF(EA43="SCRATCHED","",IF(EA43&lt;DZ43,0,EA43))</f>
        <v/>
      </c>
      <c r="EC43" s="249" t="str">
        <f t="shared" si="29"/>
        <v/>
      </c>
      <c r="ED43" s="249" t="str">
        <f t="array" ref="ED43">_xlfn.IFNA((INDEX('DMR 001C NEW'!$A$3:$O$9999,MATCH(('001-C DMR'!$DY$6&amp;'001-C DMR'!$EC$10&amp;'001-C DMR'!$B43),('DMR 001C NEW'!$E$3:$E$9018&amp;'DMR 001C NEW'!$B$3:$B$9018&amp;'DMR 001C NEW'!$A$3:$A$9018),0),MATCH('001-C DMR'!$DZ$11,'DMR 001C NEW'!$A$2:$O$2,0))),"")</f>
        <v/>
      </c>
      <c r="EE43" s="249" t="str">
        <f t="array" ref="EE43">_xlfn.IFNA((INDEX('DMR 001C NEW'!$A$3:$O$9999,MATCH(('001-C DMR'!$DY$6&amp;'001-C DMR'!$EC$10&amp;'001-C DMR'!$B43),('DMR 001C NEW'!$E$3:$E$9018&amp;'DMR 001C NEW'!$B$3:$B$9018&amp;'DMR 001C NEW'!$A$3:$A$9018),0),MATCH('001-C DMR'!$EE$11,'DMR 001C NEW'!$A$2:$O$2,0))),"")</f>
        <v/>
      </c>
      <c r="EF43" s="249" t="str">
        <f t="array" ref="EF43">IF(EE43="SCRATCHED","",IF(EE43&lt;ED43,0,EE43))</f>
        <v/>
      </c>
      <c r="EH43" s="29"/>
      <c r="EI43" s="194">
        <f t="array" ref="EI43">_xlfn.IFNA(INDEX('DMR Flows-Effluent'!$A$3:$F$186,MATCH(($EI$10&amp;$B43),('DMR Flows-Effluent'!$B$3:$B$186&amp;'DMR Flows-Effluent'!$A$3:$A$186),0),MATCH($EI$8,'DMR Flows-Effluent'!$A$2:$F$2,0)),"")</f>
        <v>37.927</v>
      </c>
      <c r="EJ43" s="56">
        <f t="array" ref="EJ43">_xlfn.IFNA(INDEX('DMR Flows-Effluent'!$A$3:$F$186,MATCH(($EJ$10&amp;$B43),('DMR Flows-Effluent'!$B$3:$B$186&amp;'DMR Flows-Effluent'!$A$3:$A$186),0),MATCH($EI$8,'DMR Flows-Effluent'!$A$2:$F$2,0)),"")</f>
        <v>78.948700000000002</v>
      </c>
      <c r="EK43" s="168">
        <f t="shared" si="19"/>
        <v>116.87569999999999</v>
      </c>
      <c r="EP43" s="38"/>
      <c r="EQ43" s="157">
        <f>'E.Coli Calculations'!R37</f>
        <v>146.7131787493777</v>
      </c>
      <c r="ER43" s="56" t="str">
        <f>'E.Coli Calculations'!S37</f>
        <v/>
      </c>
      <c r="ES43" s="64" t="str">
        <f t="shared" si="36"/>
        <v/>
      </c>
      <c r="ET43" s="38"/>
      <c r="EU43" s="58" t="str">
        <f t="array" ref="EU43">_xlfn.IFNA((INDEX('DMR 001C NEW'!$A$3:$O$9999,MATCH(('001-C DMR'!$ET$6&amp;'001-C DMR'!$ET$10&amp;'001-C DMR'!$B43),('DMR 001C NEW'!$E$3:$E$9018&amp;'DMR 001C NEW'!$B$3:$B$9018&amp;'DMR 001C NEW'!$A$3:$A$9018),0),MATCH('001-C DMR'!$EU$11,'DMR 001C NEW'!$A$2:$O$2,0))),"")</f>
        <v/>
      </c>
      <c r="EV43" s="58" t="str">
        <f t="array" ref="EV43">_xlfn.IFNA(INDEX('DMR 001C NEW'!$A$3:$O$9999,MATCH(('001-C DMR'!$ET$6&amp;'001-C DMR'!$ET$10&amp;'001-C DMR'!$B43),('DMR 001C NEW'!$E$3:$E$9018&amp;'DMR 001C NEW'!$B$3:$B$9018&amp;'DMR 001C NEW'!$A$3:$A$9018),0),MATCH('001-C DMR'!$EV$11,'DMR 001C NEW'!$A$2:$O$2,0)),"")</f>
        <v/>
      </c>
      <c r="EW43" s="56" t="str">
        <f t="shared" si="21"/>
        <v/>
      </c>
      <c r="EX43" s="29"/>
      <c r="EY43" s="279" t="str">
        <f t="array" ref="EY43">_xlfn.IFNA(INDEX('DMR 001C NEW'!$A$3:$O$999,MATCH(('001-C DMR'!$ET$6&amp;'001-C DMR'!EY$10&amp;'001-C DMR'!$B43),('DMR 001C NEW'!$E$3:$E$1112&amp;'DMR 001C NEW'!$B$3:$B$1112&amp;'DMR 001C NEW'!$A$3:$A$1112),0),MATCH('001-C DMR'!$EY$11,'DMR 001C NEW'!$A$2:$O$2,0)),"")</f>
        <v/>
      </c>
      <c r="EZ43" s="280" t="str">
        <f t="array" ref="EZ43">_xlfn.IFNA(INDEX('DMR 001C NEW'!$A$3:$O$999,MATCH(('001-C DMR'!$ET$6&amp;'001-C DMR'!EZ$10&amp;'001-C DMR'!$B43),('DMR 001C NEW'!$E$3:$E$1112&amp;'DMR 001C NEW'!$B$3:$B$1112&amp;'DMR 001C NEW'!$A$3:$A$1112),0),MATCH('001-C DMR'!$EY$11,'DMR 001C NEW'!$A$2:$O$2,0)),"")</f>
        <v/>
      </c>
      <c r="FA43" s="280" t="str">
        <f t="array" ref="FA43">_xlfn.IFNA(INDEX('DMR 001C NEW'!$A$3:$O$999,MATCH(('001-C DMR'!$ET$6&amp;'001-C DMR'!FA$10&amp;'001-C DMR'!$B43),('DMR 001C NEW'!$E$3:$E$1112&amp;'DMR 001C NEW'!$B$3:$B$1112&amp;'DMR 001C NEW'!$A$3:$A$1112),0),MATCH('001-C DMR'!$EY$11,'DMR 001C NEW'!$A$2:$O$2,0)),"")</f>
        <v/>
      </c>
      <c r="FB43" s="280" t="str">
        <f t="array" ref="FB43">_xlfn.IFNA(INDEX('DMR 001C NEW'!$A$3:$O$999,MATCH(('001-C DMR'!$ET$6&amp;'001-C DMR'!FB$10&amp;'001-C DMR'!$B43),('DMR 001C NEW'!$E$3:$E$1112&amp;'DMR 001C NEW'!$B$3:$B$1112&amp;'DMR 001C NEW'!$A$3:$A$1112),0),MATCH('001-C DMR'!$EY$11,'DMR 001C NEW'!$A$2:$O$2,0)),"")</f>
        <v/>
      </c>
      <c r="FC43" s="280" t="str">
        <f t="array" ref="FC43">_xlfn.IFNA(INDEX('DMR 001C NEW'!$A$3:$O$999,MATCH(('001-C DMR'!$ET$6&amp;'001-C DMR'!FC$10&amp;'001-C DMR'!$B43),('DMR 001C NEW'!$E$3:$E$1112&amp;'DMR 001C NEW'!$B$3:$B$1112&amp;'DMR 001C NEW'!$A$3:$A$1112),0),MATCH('001-C DMR'!$EY$11,'DMR 001C NEW'!$A$2:$O$2,0)),"")</f>
        <v/>
      </c>
      <c r="FD43" s="280" t="str">
        <f t="array" ref="FD43">_xlfn.IFNA(INDEX('DMR 001C NEW'!$A$3:$O$999,MATCH(('001-C DMR'!$ET$6&amp;'001-C DMR'!FD$10&amp;'001-C DMR'!$B43),('DMR 001C NEW'!$E$3:$E$1112&amp;'DMR 001C NEW'!$B$3:$B$1112&amp;'DMR 001C NEW'!$A$3:$A$1112),0),MATCH('001-C DMR'!$EY$11,'DMR 001C NEW'!$A$2:$O$2,0)),"")</f>
        <v/>
      </c>
      <c r="FE43" s="281" t="str">
        <f t="array" ref="FE43">_xlfn.IFNA(INDEX('DMR 001C NEW'!$A$3:$O$999,MATCH(('001-C DMR'!$ET$6&amp;'001-C DMR'!FE$10&amp;'001-C DMR'!$B43),('DMR 001C NEW'!$E$3:$E$1112&amp;'DMR 001C NEW'!$B$3:$B$1112&amp;'DMR 001C NEW'!$A$3:$A$1112),0),MATCH('001-C DMR'!$EY$11,'DMR 001C NEW'!$A$2:$O$2,0)),"")</f>
        <v/>
      </c>
      <c r="FG43" s="56">
        <f t="array" ref="FG43">_xlfn.IFNA(INDEX('DMR 001C NEW'!$A$3:$O$9999,MATCH(('001-C DMR'!$FF$6&amp;'001-C DMR'!$FF$10&amp;'001-C DMR'!$B43),('DMR 001C NEW'!$E$3:$E$7246&amp;'DMR 001C NEW'!$B$3:$B$7246&amp;'DMR 001C NEW'!$A$3:$A$7246),0),MATCH('001-C DMR'!$FG$11,'DMR 001C NEW'!$A$2:$O$2,0)),"")</f>
        <v>0</v>
      </c>
      <c r="FH43" s="56">
        <f t="array" ref="FH43">_xlfn.IFNA(INDEX('DMR 001C NEW'!$A$3:$O$9999,MATCH(('001-C DMR'!$FF$6&amp;'001-C DMR'!$FF$10&amp;'001-C DMR'!$B43),('DMR 001C NEW'!$E$3:$E$7246&amp;'DMR 001C NEW'!$B$3:$B$7246&amp;'DMR 001C NEW'!$A$3:$A$7246),0),MATCH('001-C DMR'!$FH$11,'DMR 001C NEW'!$A$2:$O$2,0)),"")</f>
        <v>3</v>
      </c>
      <c r="FJ43" s="56">
        <f t="array" ref="FJ43">_xlfn.IFNA(INDEX('DMR 001C NEW'!$A$3:$O$9999,MATCH(('001-C DMR'!$FF$6&amp;'001-C DMR'!$FI$10&amp;'001-C DMR'!$B43),('DMR 001C NEW'!$E$3:$E$7246&amp;'DMR 001C NEW'!$B$3:$B$7246&amp;'DMR 001C NEW'!$A$3:$A$7246),0),MATCH('001-C DMR'!$FG$11,'DMR 001C NEW'!$A$2:$O$2,0)),"")</f>
        <v>0</v>
      </c>
      <c r="FK43" s="56">
        <f t="array" ref="FK43">_xlfn.IFNA(INDEX('DMR 001C NEW'!$A$3:$O$9999,MATCH(('001-C DMR'!$FF$6&amp;'001-C DMR'!$FI$10&amp;'001-C DMR'!$B43),('DMR 001C NEW'!$E$3:$E$7246&amp;'DMR 001C NEW'!$B$3:$B$7246&amp;'DMR 001C NEW'!$A$3:$A$7246),0),MATCH('001-C DMR'!$FH$11,'DMR 001C NEW'!$A$2:$O$2,0)),"")</f>
        <v>4</v>
      </c>
      <c r="FL43" s="56">
        <f t="array" ref="FL43">IFERROR((($FH43*$EI43)+($FK43*$EJ43))/($EK43),"")</f>
        <v>3.6754928526631288</v>
      </c>
      <c r="FM43" s="56" t="str">
        <f t="shared" si="43"/>
        <v/>
      </c>
      <c r="FN43" s="64" t="str">
        <f t="shared" si="37"/>
        <v/>
      </c>
      <c r="FO43" s="41"/>
      <c r="FP43" s="280" t="str">
        <f t="array" ref="FP43">_xlfn.IFNA(INDEX('DMR 001C NEW'!$A$3:$O$999,MATCH(('001-C DMR'!$FF$6&amp;'001-C DMR'!FP$10&amp;'001-C DMR'!$B43),('DMR 001C NEW'!$E$3:$E$1112&amp;'DMR 001C NEW'!$B$3:$B$1112&amp;'DMR 001C NEW'!$A$3:$A$1112),0),MATCH('001-C DMR'!$FH$11,'DMR 001C NEW'!$A$2:$O$2,0)),"")</f>
        <v/>
      </c>
      <c r="FQ43" s="280" t="str">
        <f t="array" ref="FQ43">_xlfn.IFNA(INDEX('DMR 001C NEW'!$A$3:$O$999,MATCH(('001-C DMR'!$FF$6&amp;'001-C DMR'!FQ$10&amp;'001-C DMR'!$B43),('DMR 001C NEW'!$E$3:$E$1112&amp;'DMR 001C NEW'!$B$3:$B$1112&amp;'DMR 001C NEW'!$A$3:$A$1112),0),MATCH('001-C DMR'!$FH$11,'DMR 001C NEW'!$A$2:$O$2,0)),"")</f>
        <v/>
      </c>
      <c r="FR43" s="280" t="str">
        <f t="array" ref="FR43">_xlfn.IFNA(INDEX('DMR 001C NEW'!$A$3:$O$999,MATCH(('001-C DMR'!$FF$6&amp;'001-C DMR'!FR$10&amp;'001-C DMR'!$B43),('DMR 001C NEW'!$E$3:$E$1112&amp;'DMR 001C NEW'!$B$3:$B$1112&amp;'DMR 001C NEW'!$A$3:$A$1112),0),MATCH('001-C DMR'!$FH$11,'DMR 001C NEW'!$A$2:$O$2,0)),"")</f>
        <v/>
      </c>
      <c r="FS43" s="280" t="str">
        <f t="array" ref="FS43">_xlfn.IFNA(INDEX('DMR 001C NEW'!$A$3:$O$999,MATCH(('001-C DMR'!$FF$6&amp;'001-C DMR'!FS$10&amp;'001-C DMR'!$B43),('DMR 001C NEW'!$E$3:$E$1112&amp;'DMR 001C NEW'!$B$3:$B$1112&amp;'DMR 001C NEW'!$A$3:$A$1112),0),MATCH('001-C DMR'!$FH$11,'DMR 001C NEW'!$A$2:$O$2,0)),"")</f>
        <v/>
      </c>
      <c r="FT43" s="280" t="str">
        <f t="array" ref="FT43">_xlfn.IFNA(INDEX('DMR 001C NEW'!$A$3:$O$999,MATCH(('001-C DMR'!$FF$6&amp;'001-C DMR'!FT$10&amp;'001-C DMR'!$B43),('DMR 001C NEW'!$E$3:$E$1112&amp;'DMR 001C NEW'!$B$3:$B$1112&amp;'DMR 001C NEW'!$A$3:$A$1112),0),MATCH('001-C DMR'!$FH$11,'DMR 001C NEW'!$A$2:$O$2,0)),"")</f>
        <v/>
      </c>
      <c r="FU43" s="280" t="str">
        <f t="array" ref="FU43">_xlfn.IFNA(INDEX('DMR 001C NEW'!$A$3:$O$999,MATCH(('001-C DMR'!$FF$6&amp;'001-C DMR'!FU$10&amp;'001-C DMR'!$B43),('DMR 001C NEW'!$E$3:$E$1112&amp;'DMR 001C NEW'!$B$3:$B$1112&amp;'DMR 001C NEW'!$A$3:$A$1112),0),MATCH('001-C DMR'!$FH$11,'DMR 001C NEW'!$A$2:$O$2,0)),"")</f>
        <v/>
      </c>
      <c r="FV43" s="41"/>
      <c r="FW43" s="38"/>
      <c r="FX43" s="58" t="str">
        <f t="array" ref="FX43">_xlfn.IFNA(INDEX('DMR 001C NEW'!$A$3:$O$9999,MATCH(('001-C DMR'!$FW$6&amp;'001-C DMR'!$FW$10&amp;'001-C DMR'!$B43),('DMR 001C NEW'!$E$3:$E$7246&amp;'DMR 001C NEW'!$B$3:$B$7246&amp;'DMR 001C NEW'!$A$3:$A$7246),0),MATCH('001-C DMR'!$FX$11,'DMR 001C NEW'!$A$2:$O$2,0)),"")</f>
        <v/>
      </c>
      <c r="FY43" s="58" t="str">
        <f t="array" ref="FY43">_xlfn.IFNA(INDEX('DMR 001C NEW'!$A$3:$O$9999,MATCH(('001-C DMR'!$FW$6&amp;'001-C DMR'!$FW$10&amp;'001-C DMR'!$B43),('DMR 001C NEW'!$E$3:$E$7246&amp;'DMR 001C NEW'!$B$3:$B$7246&amp;'DMR 001C NEW'!$A$3:$A$7246),0),MATCH('001-C DMR'!$FY$11,'DMR 001C NEW'!$A$2:$O$2,0)),"")</f>
        <v/>
      </c>
      <c r="GA43" s="58" t="str">
        <f t="array" ref="GA43">_xlfn.IFNA(INDEX('DMR 001C NEW'!$A$3:$O$9999,MATCH(('001-C DMR'!$FW$6&amp;'001-C DMR'!$FZ$10&amp;'001-C DMR'!$B43),('DMR 001C NEW'!$E$3:$E$7246&amp;'DMR 001C NEW'!$B$3:$B$7246&amp;'DMR 001C NEW'!$A$3:$A$7246),0),MATCH('001-C DMR'!$FX$11,'DMR 001C NEW'!$A$2:$O$2,0)),"")</f>
        <v/>
      </c>
      <c r="GB43" s="58" t="str">
        <f t="array" ref="GB43">_xlfn.IFNA(INDEX('DMR 001C NEW'!$A$3:$O$9999,MATCH(('001-C DMR'!$FW$6&amp;'001-C DMR'!$FZ$10&amp;'001-C DMR'!$B43),('DMR 001C NEW'!$E$3:$E$7246&amp;'DMR 001C NEW'!$B$3:$B$7246&amp;'DMR 001C NEW'!$A$3:$A$7246),0),MATCH('001-C DMR'!$GB$11,'DMR 001C NEW'!$A$2:$O$2,0)),"")</f>
        <v/>
      </c>
      <c r="GC43" s="56" t="str">
        <f t="shared" si="4"/>
        <v/>
      </c>
      <c r="GD43" s="64" t="str">
        <f t="shared" si="38"/>
        <v/>
      </c>
      <c r="GE43" s="279" t="str">
        <f t="array" ref="GE43">_xlfn.IFNA(INDEX('DMR 001C NEW'!$A$3:$O$999,MATCH(('001-C DMR'!$FW$6&amp;'001-C DMR'!GE$10&amp;'001-C DMR'!$B43),('DMR 001C NEW'!$E$3:$E$1112&amp;'DMR 001C NEW'!$B$3:$B$1112&amp;'DMR 001C NEW'!$A$3:$A$1112),0),MATCH('001-C DMR'!$FY$11,'DMR 001C NEW'!$A$2:$O$2,0)),"")</f>
        <v/>
      </c>
      <c r="GF43" s="280" t="str">
        <f t="array" ref="GF43">_xlfn.IFNA(INDEX('DMR 001C NEW'!$A$3:$O$999,MATCH(('001-C DMR'!$FW$6&amp;'001-C DMR'!GF$10&amp;'001-C DMR'!$B43),('DMR 001C NEW'!$E$3:$E$1112&amp;'DMR 001C NEW'!$B$3:$B$1112&amp;'DMR 001C NEW'!$A$3:$A$1112),0),MATCH('001-C DMR'!$FY$11,'DMR 001C NEW'!$A$2:$O$2,0)),"")</f>
        <v/>
      </c>
      <c r="GG43" s="280" t="str">
        <f t="array" ref="GG43">_xlfn.IFNA(INDEX('DMR 001C NEW'!$A$3:$O$999,MATCH(('001-C DMR'!$FW$6&amp;'001-C DMR'!GG$10&amp;'001-C DMR'!$B43),('DMR 001C NEW'!$E$3:$E$1112&amp;'DMR 001C NEW'!$B$3:$B$1112&amp;'DMR 001C NEW'!$A$3:$A$1112),0),MATCH('001-C DMR'!$FY$11,'DMR 001C NEW'!$A$2:$O$2,0)),"")</f>
        <v/>
      </c>
      <c r="GH43" s="280" t="str">
        <f t="array" ref="GH43">_xlfn.IFNA(INDEX('DMR 001C NEW'!$A$3:$O$999,MATCH(('001-C DMR'!$FW$6&amp;'001-C DMR'!GH$10&amp;'001-C DMR'!$B43),('DMR 001C NEW'!$E$3:$E$1112&amp;'DMR 001C NEW'!$B$3:$B$1112&amp;'DMR 001C NEW'!$A$3:$A$1112),0),MATCH('001-C DMR'!$FY$11,'DMR 001C NEW'!$A$2:$O$2,0)),"")</f>
        <v/>
      </c>
      <c r="GI43" s="280" t="str">
        <f t="array" ref="GI43">_xlfn.IFNA(INDEX('DMR 001C NEW'!$A$3:$O$999,MATCH(('001-C DMR'!$FW$6&amp;'001-C DMR'!GI$10&amp;'001-C DMR'!$B43),('DMR 001C NEW'!$E$3:$E$1112&amp;'DMR 001C NEW'!$B$3:$B$1112&amp;'DMR 001C NEW'!$A$3:$A$1112),0),MATCH('001-C DMR'!$FY$11,'DMR 001C NEW'!$A$2:$O$2,0)),"")</f>
        <v/>
      </c>
      <c r="GJ43" s="281" t="str">
        <f t="array" ref="GJ43">_xlfn.IFNA(INDEX('DMR 001C NEW'!$A$3:$O$999,MATCH(('001-C DMR'!$FW$6&amp;'001-C DMR'!GJ$10&amp;'001-C DMR'!$B43),('DMR 001C NEW'!$E$3:$E$1112&amp;'DMR 001C NEW'!$B$3:$B$1112&amp;'DMR 001C NEW'!$A$3:$A$1112),0),MATCH('001-C DMR'!$FY$11,'DMR 001C NEW'!$A$2:$O$2,0)),"")</f>
        <v/>
      </c>
      <c r="GK43" s="58" t="str">
        <f t="array" ref="GK43">_xlfn.IFNA(INDEX('DMR 001C NEW'!$A$3:$O$9999,MATCH(('001-C DMR'!$GK$6&amp;'001-C DMR'!$GK$10&amp;'001-C DMR'!$B43),('DMR 001C NEW'!$E$3:$E$9018&amp;'DMR 001C NEW'!$B$3:$B$9018&amp;'DMR 001C NEW'!$A$3:$A$9018),0),MATCH('001-C DMR'!$GK$11,'DMR 001C NEW'!$A$2:$O$2,0)),"")</f>
        <v>n</v>
      </c>
      <c r="GL43" s="58" t="str">
        <f t="array" ref="GL43">_xlfn.IFNA(INDEX('DMR 001C NEW'!$A$3:$O$9999,MATCH(('001-C DMR'!$GK$6&amp;'001-C DMR'!$GL$10&amp;'001-C DMR'!$B43),('DMR 001C NEW'!$E$3:$E$9018&amp;'DMR 001C NEW'!$B$3:$B$9018&amp;'DMR 001C NEW'!$A$3:$A$9018),0),MATCH('001-C DMR'!$GK$11,'DMR 001C NEW'!$A$2:$O$2,0)),"")</f>
        <v>n</v>
      </c>
      <c r="GN43" s="64" t="str">
        <f t="shared" si="44"/>
        <v/>
      </c>
    </row>
    <row r="44" spans="1:196" x14ac:dyDescent="0.25">
      <c r="A44" s="67" t="str">
        <f t="shared" si="5"/>
        <v>Thu</v>
      </c>
      <c r="B44" s="216">
        <f t="shared" si="26"/>
        <v>43706</v>
      </c>
      <c r="C44" s="93">
        <f t="array" ref="C44">INDEX('DMR 001C NEW'!$A$3:$N$10020,MATCH(('001-C DMR'!$C$6:$K$6&amp;'001-C DMR'!$C$10:$E$10&amp;'001-C DMR'!$B44),('DMR 001C NEW'!$E$3:$E$7246&amp;'DMR 001C NEW'!$B$3:$B$7246&amp;'DMR 001C NEW'!$A$3:$A$7246),0),MATCH('001-C DMR'!$C$11,'DMR 001C NEW'!$A$2:$O$2,0))</f>
        <v>5.9</v>
      </c>
      <c r="D44" s="56" t="str">
        <f t="array" ref="D44">INDEX('DMR 001C NEW'!$A$3:$N$11771,MATCH(('001-C DMR'!$C$6:$K$6&amp;'001-C DMR'!$C$10:$E$10&amp;'001-C DMR'!$B44),('DMR 001C NEW'!$E$3:$E$9018&amp;'DMR 001C NEW'!$B$3:$B$9018&amp;'DMR 001C NEW'!$A$3:$A$9018),0),MATCH('001-C DMR'!$D$11,'DMR 001C NEW'!$A$2:$O$2,0))</f>
        <v>AE70861</v>
      </c>
      <c r="E44" s="56">
        <f t="array" ref="E44">INDEX('DMR 001C NEW'!$A$3:$N$9999,MATCH(('001-C DMR'!$E$11&amp;'001-C DMR'!$C$10:$E$10&amp;'001-C DMR'!$B44&amp;$D44),('DMR 001C NEW'!$E$3:$E$7246&amp;'DMR 001C NEW'!$B$3:$B$7246&amp;'DMR 001C NEW'!$A$3:$A$7246&amp;'DMR 001C NEW'!$M$3:$M$7188),0),MATCH($C$11,'DMR 001C NEW'!$A$2:$O$2,0))</f>
        <v>37.619999999999997</v>
      </c>
      <c r="F44" s="56">
        <f t="array" ref="F44">INDEX('DMR 001C NEW'!$A$3:$N$9999,MATCH('001-C DMR'!$C$6:$K$6&amp;'001-C DMR'!$F$10&amp;'001-C DMR'!$B44,('DMR 001C NEW'!$E$3:$E$7246&amp;'DMR 001C NEW'!$B$3:$B$7246&amp;'DMR 001C NEW'!$A$3:$A$7246),0),MATCH('001-C DMR'!$C$11,'DMR 001C NEW'!$A$2:$O$2,0))</f>
        <v>6.4</v>
      </c>
      <c r="G44" s="56" t="str">
        <f t="array" ref="G44">INDEX('DMR 001C NEW'!$A$3:$N$3865,MATCH(('001-C DMR'!$C$6:$K$6&amp;'001-C DMR'!$F$10&amp;'001-C DMR'!$B44),('DMR 001C NEW'!$E$3:$E$1112&amp;'DMR 001C NEW'!$B$3:$B$1112&amp;'DMR 001C NEW'!$A$3:$A$1112),0),MATCH('001-C DMR'!$D$11,'DMR 001C NEW'!$A$2:$O$2,0))</f>
        <v>AE70862</v>
      </c>
      <c r="H44" s="56">
        <f t="array" ref="H44">INDEX('DMR 001C NEW'!$A$3:$N$9999,MATCH(('001-C DMR'!$E$11&amp;'001-C DMR'!$F$10&amp;'001-C DMR'!$B44&amp;$G44),('DMR 001C NEW'!$E$3:$E$7246&amp;'DMR 001C NEW'!$B$3:$B$7246&amp;'DMR 001C NEW'!$A$3:$A$7246&amp;'DMR 001C NEW'!$M$3:$M$7188),0),MATCH($C$11,'DMR 001C NEW'!$A$2:$O$2,0))</f>
        <v>103.36</v>
      </c>
      <c r="I44" s="56">
        <f t="shared" si="0"/>
        <v>6.2665768194070086</v>
      </c>
      <c r="J44" s="58" t="str">
        <f t="shared" si="39"/>
        <v/>
      </c>
      <c r="K44" s="64" t="str">
        <f t="shared" si="40"/>
        <v/>
      </c>
      <c r="L44" s="262" t="str">
        <f t="array" ref="L44">_xlfn.IFNA(INDEX('DMR 001C NEW'!$A$3:$N$3865,MATCH(('001-C DMR'!$C$6:$K$6&amp;'001-C DMR'!L$10&amp;'001-C DMR'!$B44),('DMR 001C NEW'!$E$3:$E$1112&amp;'DMR 001C NEW'!$B$3:$B$1112&amp;'DMR 001C NEW'!$A$3:$A$1112),0),MATCH('001-C DMR'!$C$11,'DMR 001C NEW'!$A$2:$O$2,0)),"")</f>
        <v/>
      </c>
      <c r="M44" s="262" t="str">
        <f t="array" ref="M44">_xlfn.IFNA(INDEX('DMR 001C NEW'!$A$3:$N$3865,MATCH(('001-C DMR'!$C$6:$K$6&amp;'001-C DMR'!M$10&amp;'001-C DMR'!$B44),('DMR 001C NEW'!$E$3:$E$1112&amp;'DMR 001C NEW'!$B$3:$B$1112&amp;'DMR 001C NEW'!$A$3:$A$1112),0),MATCH('001-C DMR'!$C$11,'DMR 001C NEW'!$A$2:$O$2,0)),"")</f>
        <v/>
      </c>
      <c r="N44" s="262" t="str">
        <f t="array" ref="N44">_xlfn.IFNA(INDEX('DMR 001C NEW'!$A$3:$N$3865,MATCH(('001-C DMR'!$C$6:$K$6&amp;'001-C DMR'!N$10&amp;'001-C DMR'!$B44),('DMR 001C NEW'!$E$3:$E$1112&amp;'DMR 001C NEW'!$B$3:$B$1112&amp;'DMR 001C NEW'!$A$3:$A$1112),0),MATCH('001-C DMR'!$C$11,'DMR 001C NEW'!$A$2:$O$2,0)),"")</f>
        <v/>
      </c>
      <c r="O44" s="262" t="str">
        <f t="array" ref="O44">_xlfn.IFNA(INDEX('DMR 001C NEW'!$A$3:$N$3865,MATCH(('001-C DMR'!$C$6:$K$6&amp;'001-C DMR'!O$10&amp;'001-C DMR'!$B44),('DMR 001C NEW'!$E$3:$E$1112&amp;'DMR 001C NEW'!$B$3:$B$1112&amp;'DMR 001C NEW'!$A$3:$A$1112),0),MATCH('001-C DMR'!$C$11,'DMR 001C NEW'!$A$2:$O$2,0)),"")</f>
        <v/>
      </c>
      <c r="P44" s="262" t="str">
        <f t="array" ref="P44">_xlfn.IFNA(INDEX('DMR 001C NEW'!$A$3:$N$3865,MATCH(('001-C DMR'!$C$6:$K$6&amp;'001-C DMR'!P$10&amp;'001-C DMR'!$B44),('DMR 001C NEW'!$E$3:$E$1112&amp;'DMR 001C NEW'!$B$3:$B$1112&amp;'DMR 001C NEW'!$A$3:$A$1112),0),MATCH('001-C DMR'!$C$11,'DMR 001C NEW'!$A$2:$O$2,0)),"")</f>
        <v/>
      </c>
      <c r="R44" s="38"/>
      <c r="S44" s="56">
        <f t="array" ref="S44">_xlfn.IFNA(INDEX('DMR 001C NEW'!$A$3:$N$11771,MATCH(('001-C DMR'!$R$6:$T$6&amp;'001-C DMR'!$R$10&amp;'001-C DMR'!$B44),('DMR 001C NEW'!$E$3:$E$9018&amp;'DMR 001C NEW'!$B$3:$B$9018&amp;'DMR 001C NEW'!$A$3:$A$9018),0),MATCH('001-C DMR'!$S$11,'DMR 001C NEW'!$A$2:$O$2,0)),"")</f>
        <v>7.1</v>
      </c>
      <c r="T44" s="64" t="str">
        <f t="shared" si="41"/>
        <v/>
      </c>
      <c r="U44" s="262" t="str">
        <f t="array" ref="U44">_xlfn.IFNA(INDEX('DMR 001C NEW'!$A$3:$O$591,MATCH('001-C DMR'!$R$6:$T$6&amp;'001-C DMR'!U$10&amp;'001-C DMR'!$B44,('DMR 001C NEW'!$E$3:$E$704&amp;'DMR 001C NEW'!$B$3:$B$704&amp;'DMR 001C NEW'!$A$3:$A$704),0),MATCH('001-C DMR'!$U$11,'DMR 001C NEW'!$A$2:$O$2,0)),"")</f>
        <v/>
      </c>
      <c r="V44" s="262" t="str">
        <f t="array" ref="V44">_xlfn.IFNA(INDEX('DMR 001C NEW'!$A$3:$O$591,MATCH('001-C DMR'!$R$6:$T$6&amp;'001-C DMR'!V$10&amp;'001-C DMR'!$B44,('DMR 001C NEW'!$E$3:$E$704&amp;'DMR 001C NEW'!$B$3:$B$704&amp;'DMR 001C NEW'!$A$3:$A$704),0),MATCH('001-C DMR'!$U$11,'DMR 001C NEW'!$A$2:$O$2,0)),"")</f>
        <v/>
      </c>
      <c r="W44" s="262" t="str">
        <f t="array" ref="W44">_xlfn.IFNA(INDEX('DMR 001C NEW'!$A$3:$O$591,MATCH('001-C DMR'!$R$6:$T$6&amp;'001-C DMR'!W$10&amp;'001-C DMR'!$B44,('DMR 001C NEW'!$E$3:$E$704&amp;'DMR 001C NEW'!$B$3:$B$704&amp;'DMR 001C NEW'!$A$3:$A$704),0),MATCH('001-C DMR'!$U$11,'DMR 001C NEW'!$A$2:$O$2,0)),"")</f>
        <v/>
      </c>
      <c r="X44" s="262" t="str">
        <f t="array" ref="X44">_xlfn.IFNA(INDEX('DMR 001C NEW'!$A$3:$O$591,MATCH('001-C DMR'!$R$6:$T$6&amp;'001-C DMR'!X$10&amp;'001-C DMR'!$B44,('DMR 001C NEW'!$E$3:$E$704&amp;'DMR 001C NEW'!$B$3:$B$704&amp;'DMR 001C NEW'!$A$3:$A$704),0),MATCH('001-C DMR'!$U$11,'DMR 001C NEW'!$A$2:$O$2,0)),"")</f>
        <v/>
      </c>
      <c r="Y44" s="262" t="str">
        <f t="array" ref="Y44">_xlfn.IFNA(INDEX('DMR 001C NEW'!$A$3:$O$591,MATCH('001-C DMR'!$R$6:$T$6&amp;'001-C DMR'!Y$10&amp;'001-C DMR'!$B44,('DMR 001C NEW'!$E$3:$E$704&amp;'DMR 001C NEW'!$B$3:$B$704&amp;'DMR 001C NEW'!$A$3:$A$704),0),MATCH('001-C DMR'!$U$11,'DMR 001C NEW'!$A$2:$O$2,0)),"")</f>
        <v/>
      </c>
      <c r="Z44" s="262" t="str">
        <f t="array" ref="Z44">_xlfn.IFNA(INDEX('DMR 001C NEW'!$A$3:$O$591,MATCH('001-C DMR'!$R$6:$T$6&amp;'001-C DMR'!Z$10&amp;'001-C DMR'!$B44,('DMR 001C NEW'!$E$3:$E$704&amp;'DMR 001C NEW'!$B$3:$B$704&amp;'DMR 001C NEW'!$A$3:$A$704),0),MATCH('001-C DMR'!$U$11,'DMR 001C NEW'!$A$2:$O$2,0)),"")</f>
        <v/>
      </c>
      <c r="AA44" s="262" t="str">
        <f t="array" ref="AA44">_xlfn.IFNA(INDEX('DMR 001C NEW'!$A$3:$O$591,MATCH('001-C DMR'!$R$6:$T$6&amp;'001-C DMR'!AA$10&amp;'001-C DMR'!$B44,('DMR 001C NEW'!$E$3:$E$704&amp;'DMR 001C NEW'!$B$3:$B$704&amp;'DMR 001C NEW'!$A$3:$A$704),0),MATCH('001-C DMR'!$U$11,'DMR 001C NEW'!$A$2:$O$2,0)),"")</f>
        <v/>
      </c>
      <c r="AB44" s="61" t="str">
        <f t="array" ref="AB44">IF(AD44&lt;AC44,"&lt;","")</f>
        <v/>
      </c>
      <c r="AC44" s="56">
        <f t="array" ref="AC44">_xlfn.IFNA(INDEX('DMR 001C NEW'!$A$3:$O$9999,MATCH(('001-C DMR'!$AB$6:$AJ$6&amp;'001-C DMR'!$AB$10:$AD$10&amp;'001-C DMR'!$B44),('DMR 001C NEW'!$E$3:$E$7246&amp;'DMR 001C NEW'!$B$3:$B$7246&amp;'DMR 001C NEW'!$A$3:$A$7246),0),MATCH('001-C DMR'!$AC$11,'DMR 001C NEW'!$A$2:$O$2,0)),"")</f>
        <v>3</v>
      </c>
      <c r="AD44" s="56">
        <f t="array" ref="AD44">_xlfn.IFNA(INDEX('DMR 001C NEW'!$A$3:$O$9999,MATCH(('001-C DMR'!$AB$6:$AJ$6&amp;'001-C DMR'!$AB$10:$AD$10&amp;'001-C DMR'!$B44),('DMR 001C NEW'!$E$3:$E$7246&amp;'DMR 001C NEW'!$B$3:$B$7246&amp;'DMR 001C NEW'!$A$3:$A$7246),0),MATCH('001-C DMR'!$AD$11,'DMR 001C NEW'!$A$2:$O$2,0)),"")</f>
        <v>13</v>
      </c>
      <c r="AE44" s="57" t="str">
        <f t="array" ref="AE44">IF(AG44&lt;AF44,"&lt;","")</f>
        <v/>
      </c>
      <c r="AF44" s="56">
        <f t="array" ref="AF44">_xlfn.IFNA(INDEX('DMR 001C NEW'!$A$3:$O$9999,MATCH(('001-C DMR'!$AB$6:$AJ$6&amp;'001-C DMR'!$AE$10&amp;'001-C DMR'!$B44),('DMR 001C NEW'!$E$3:$E$9018&amp;'DMR 001C NEW'!$B$3:$B$9018&amp;'DMR 001C NEW'!$A$3:$A$9018),0),MATCH('001-C DMR'!$AF$11,'DMR 001C NEW'!$A$2:$O$2,0)),"")</f>
        <v>3</v>
      </c>
      <c r="AG44" s="56">
        <f t="array" ref="AG44">_xlfn.IFNA(INDEX('DMR 001C NEW'!$A$3:$O$9999,MATCH(('001-C DMR'!$AB$6:$AJ$6&amp;'001-C DMR'!$AE$10&amp;'001-C DMR'!$B44),('DMR 001C NEW'!$E$3:$E$9018&amp;'DMR 001C NEW'!$B$3:$B$9018&amp;'DMR 001C NEW'!$A$3:$A$9018),0),MATCH('001-C DMR'!$AG$11,'DMR 001C NEW'!$A$2:$O$2,0)),"")</f>
        <v>12</v>
      </c>
      <c r="AH44" s="56">
        <f t="array" ref="AH44">IFERROR((($AD44*$EI44)+($AG44*$EJ44))/($EK44),"")</f>
        <v>12.306936013601057</v>
      </c>
      <c r="AI44" s="56" t="str">
        <f t="shared" si="42"/>
        <v/>
      </c>
      <c r="AJ44" s="64" t="str">
        <f t="shared" si="30"/>
        <v/>
      </c>
      <c r="AK44" s="262" t="str">
        <f t="array" ref="AK44">_xlfn.IFNA(INDEX('DMR 001C NEW'!$A$3:$O$999,MATCH(('001-C DMR'!$AB$6:$AJ$6&amp;'001-C DMR'!AK$10&amp;'001-C DMR'!$B44),('DMR 001C NEW'!$E$3:$E$1112&amp;'DMR 001C NEW'!$B$3:$B$1112&amp;'DMR 001C NEW'!$A$3:$A$1112),0),MATCH('001-C DMR'!$AD$11,'DMR 001C NEW'!$A$2:$O$2,0)),"")</f>
        <v/>
      </c>
      <c r="AL44" s="262" t="str">
        <f t="array" ref="AL44">_xlfn.IFNA(INDEX('DMR 001C NEW'!$A$3:$O$999,MATCH(('001-C DMR'!$AB$6:$AJ$6&amp;'001-C DMR'!AL$10&amp;'001-C DMR'!$B44),('DMR 001C NEW'!$E$3:$E$1112&amp;'DMR 001C NEW'!$B$3:$B$1112&amp;'DMR 001C NEW'!$A$3:$A$1112),0),MATCH('001-C DMR'!$AD$11,'DMR 001C NEW'!$A$2:$O$2,0)),"")</f>
        <v/>
      </c>
      <c r="AM44" s="262" t="str">
        <f t="array" ref="AM44">_xlfn.IFNA(INDEX('DMR 001C NEW'!$A$3:$O$999,MATCH(('001-C DMR'!$AB$6:$AJ$6&amp;'001-C DMR'!AM$10&amp;'001-C DMR'!$B44),('DMR 001C NEW'!$E$3:$E$1112&amp;'DMR 001C NEW'!$B$3:$B$1112&amp;'DMR 001C NEW'!$A$3:$A$1112),0),MATCH('001-C DMR'!$AD$11,'DMR 001C NEW'!$A$2:$O$2,0)),"")</f>
        <v/>
      </c>
      <c r="AN44" s="262" t="str">
        <f t="array" ref="AN44">_xlfn.IFNA(INDEX('DMR 001C NEW'!$A$3:$O$999,MATCH(('001-C DMR'!$AB$6:$AJ$6&amp;'001-C DMR'!AN$10&amp;'001-C DMR'!$B44),('DMR 001C NEW'!$E$3:$E$1112&amp;'DMR 001C NEW'!$B$3:$B$1112&amp;'DMR 001C NEW'!$A$3:$A$1112),0),MATCH('001-C DMR'!$AD$11,'DMR 001C NEW'!$A$2:$O$2,0)),"")</f>
        <v/>
      </c>
      <c r="AO44" s="262" t="str">
        <f t="array" ref="AO44">_xlfn.IFNA(INDEX('DMR 001C NEW'!$A$3:$O$999,MATCH(('001-C DMR'!$AB$6:$AJ$6&amp;'001-C DMR'!AO$10&amp;'001-C DMR'!$B44),('DMR 001C NEW'!$E$3:$E$1112&amp;'DMR 001C NEW'!$B$3:$B$1112&amp;'DMR 001C NEW'!$A$3:$A$1112),0),MATCH('001-C DMR'!$AD$11,'DMR 001C NEW'!$A$2:$O$2,0)),"")</f>
        <v/>
      </c>
      <c r="AP44" s="262" t="str">
        <f t="array" ref="AP44">_xlfn.IFNA(INDEX('DMR 001C NEW'!$A$3:$O$999,MATCH(('001-C DMR'!$AB$6:$AJ$6&amp;'001-C DMR'!AP$10&amp;'001-C DMR'!$B44),('DMR 001C NEW'!$E$3:$E$1112&amp;'DMR 001C NEW'!$B$3:$B$1112&amp;'DMR 001C NEW'!$A$3:$A$1112),0),MATCH('001-C DMR'!$AD$11,'DMR 001C NEW'!$A$2:$O$2,0)),"")</f>
        <v/>
      </c>
      <c r="AQ44" s="38"/>
      <c r="AR44" s="58">
        <f t="array" ref="AR44">_xlfn.IFNA((INDEX('DMR 001C NEW'!$A$3:$O$9999,MATCH(('001-C DMR'!$AQ$6:$AZ$6&amp;'001-C DMR'!$AQ$10:$AS$10&amp;'001-C DMR'!$B44),('DMR 001C NEW'!$E$3:$E$7246&amp;'DMR 001C NEW'!$B$3:$B$7246&amp;'DMR 001C NEW'!$A$3:$A$7246),0),MATCH('001-C DMR'!$AR$11,'DMR 001C NEW'!$A$2:$O$2,0))),"")</f>
        <v>0.15</v>
      </c>
      <c r="AS44" s="58">
        <f t="array" ref="AS44">_xlfn.IFNA(INDEX('DMR 001C NEW'!$A$3:$O$9999,MATCH(('001-C DMR'!$AQ$6:$AZ$6&amp;'001-C DMR'!$AQ$10:$AS$10&amp;'001-C DMR'!$B44),('DMR 001C NEW'!$E$3:$E$7246&amp;'DMR 001C NEW'!$B$3:$B$7246&amp;'DMR 001C NEW'!$A$3:$A$7246),0),MATCH('001-C DMR'!$AS$11,'DMR 001C NEW'!$A$2:$O$2,0)),"")</f>
        <v>0.37</v>
      </c>
      <c r="AT44" s="58">
        <f t="shared" si="27"/>
        <v>0.37</v>
      </c>
      <c r="AV44" s="58">
        <f t="array" ref="AV44">_xlfn.IFNA((INDEX('DMR 001C NEW'!$A$3:$O$9999,MATCH(('001-C DMR'!$AQ$6:$AZ$6&amp;'001-C DMR'!$AU$10&amp;'001-C DMR'!$B44),('DMR 001C NEW'!$E$3:$E$7246&amp;'DMR 001C NEW'!$B$3:$B$7246&amp;'DMR 001C NEW'!$A$3:$A$7246),0),MATCH('001-C DMR'!$AR$11,'DMR 001C NEW'!$A$2:$O$2,0))),"")</f>
        <v>0.15</v>
      </c>
      <c r="AW44" s="58">
        <f t="array" ref="AW44">_xlfn.IFNA(INDEX('DMR 001C NEW'!$A$3:$O$9999,MATCH(('001-C DMR'!$AQ$6:$AZ$6&amp;'001-C DMR'!$AU$10&amp;'001-C DMR'!$B44),('DMR 001C NEW'!$E$3:$E$7246&amp;'DMR 001C NEW'!$B$3:$B$7246&amp;'DMR 001C NEW'!$A$3:$A$7246),0),MATCH('001-C DMR'!$AW$11,'DMR 001C NEW'!$A$2:$O$2,0)),"")</f>
        <v>0.86</v>
      </c>
      <c r="AX44" s="58">
        <f t="shared" si="6"/>
        <v>0.86</v>
      </c>
      <c r="AY44" s="56">
        <f t="array" ref="AY44">IFERROR((($AT44*$EI44)+($AX44*$EJ44))/($EK44),"")</f>
        <v>0.70960135333548291</v>
      </c>
      <c r="AZ44" s="64" t="str">
        <f t="shared" si="31"/>
        <v/>
      </c>
      <c r="BA44" s="279" t="str">
        <f t="array" ref="BA44">_xlfn.IFNA(INDEX('DMR 001C NEW'!$A$3:$O$9999,MATCH(('001-C DMR'!$AQ$6:$AZ$6&amp;'001-C DMR'!BA$10&amp;'001-C DMR'!$B44),('DMR 001C NEW'!$E$3:$E$1112&amp;'DMR 001C NEW'!$B$3:$B$1112&amp;'DMR 001C NEW'!$A$3:$A$1112),0),MATCH('001-C DMR'!$BA$11,'DMR 001C NEW'!$A$2:$O$2,0)),"")</f>
        <v/>
      </c>
      <c r="BB44" s="280" t="str">
        <f t="array" ref="BB44">_xlfn.IFNA(INDEX('DMR 001C NEW'!$A$3:$O$9999,MATCH(('001-C DMR'!$AQ$6:$AZ$6&amp;'001-C DMR'!BB$10&amp;'001-C DMR'!$B44),('DMR 001C NEW'!$E$3:$E$1112&amp;'DMR 001C NEW'!$B$3:$B$1112&amp;'DMR 001C NEW'!$A$3:$A$1112),0),MATCH('001-C DMR'!$BA$11,'DMR 001C NEW'!$A$2:$O$2,0)),"")</f>
        <v/>
      </c>
      <c r="BC44" s="280" t="str">
        <f t="array" ref="BC44">_xlfn.IFNA(INDEX('DMR 001C NEW'!$A$3:$O$9999,MATCH(('001-C DMR'!$AQ$6:$AZ$6&amp;'001-C DMR'!BC$10&amp;'001-C DMR'!$B44),('DMR 001C NEW'!$E$3:$E$1112&amp;'DMR 001C NEW'!$B$3:$B$1112&amp;'DMR 001C NEW'!$A$3:$A$1112),0),MATCH('001-C DMR'!$BA$11,'DMR 001C NEW'!$A$2:$O$2,0)),"")</f>
        <v/>
      </c>
      <c r="BD44" s="280" t="str">
        <f t="array" ref="BD44">_xlfn.IFNA(INDEX('DMR 001C NEW'!$A$3:$O$9999,MATCH(('001-C DMR'!$AQ$6:$AZ$6&amp;'001-C DMR'!BD$10&amp;'001-C DMR'!$B44),('DMR 001C NEW'!$E$3:$E$1112&amp;'DMR 001C NEW'!$B$3:$B$1112&amp;'DMR 001C NEW'!$A$3:$A$1112),0),MATCH('001-C DMR'!$BA$11,'DMR 001C NEW'!$A$2:$O$2,0)),"")</f>
        <v/>
      </c>
      <c r="BE44" s="280" t="str">
        <f t="array" ref="BE44">_xlfn.IFNA(INDEX('DMR 001C NEW'!$A$3:$O$9999,MATCH(('001-C DMR'!$AQ$6:$AZ$6&amp;'001-C DMR'!BE$10&amp;'001-C DMR'!$B44),('DMR 001C NEW'!$E$3:$E$1112&amp;'DMR 001C NEW'!$B$3:$B$1112&amp;'DMR 001C NEW'!$A$3:$A$1112),0),MATCH('001-C DMR'!$BA$11,'DMR 001C NEW'!$A$2:$O$2,0)),"")</f>
        <v/>
      </c>
      <c r="BF44" s="281" t="str">
        <f t="array" ref="BF44">_xlfn.IFNA(INDEX('DMR 001C NEW'!$A$3:$O$9999,MATCH(('001-C DMR'!$AQ$6:$AZ$6&amp;'001-C DMR'!BF$10&amp;'001-C DMR'!$B44),('DMR 001C NEW'!$E$3:$E$1112&amp;'DMR 001C NEW'!$B$3:$B$1112&amp;'DMR 001C NEW'!$A$3:$A$1112),0),MATCH('001-C DMR'!$BA$11,'DMR 001C NEW'!$A$2:$O$2,0)),"")</f>
        <v/>
      </c>
      <c r="BH44" s="58">
        <f t="array" ref="BH44">_xlfn.IFNA((INDEX('DMR 001C NEW'!$A$3:$O$9999,MATCH(('001-C DMR'!$BG$6&amp;'001-C DMR'!$BG$10&amp;'001-C DMR'!$B44),('DMR 001C NEW'!$E$3:$E$7246&amp;'DMR 001C NEW'!$B$3:$B$7246&amp;'DMR 001C NEW'!$A$3:$A$7246),0),MATCH('001-C DMR'!$BH$11,'DMR 001C NEW'!$A$2:$O$2,0))),"")</f>
        <v>0.06</v>
      </c>
      <c r="BI44" s="58">
        <f t="array" ref="BI44">_xlfn.IFNA(INDEX('DMR 001C NEW'!$A$3:$O$9999,MATCH(('001-C DMR'!$BG$6&amp;'001-C DMR'!$BG$10&amp;'001-C DMR'!$B44),('DMR 001C NEW'!$E$3:$E$7246&amp;'DMR 001C NEW'!$B$3:$B$7246&amp;'DMR 001C NEW'!$A$3:$A$7246),0),MATCH('001-C DMR'!$BI$11,'DMR 001C NEW'!$A$2:$O$2,0)),"")</f>
        <v>5.96</v>
      </c>
      <c r="BJ44" s="58">
        <f t="shared" si="7"/>
        <v>5.96</v>
      </c>
      <c r="BK44" s="57" t="str">
        <f>IF(BM44&lt;BL44,"&lt;","")</f>
        <v/>
      </c>
      <c r="BL44" s="58">
        <f t="array" ref="BL44">_xlfn.IFNA((INDEX('DMR 001C NEW'!$A$3:$O$9999,MATCH(('001-C DMR'!$BG$6&amp;'001-C DMR'!$BK$10&amp;'001-C DMR'!$B44),('DMR 001C NEW'!$E$3:$E$7246&amp;'DMR 001C NEW'!$B$3:$B$7246&amp;'DMR 001C NEW'!$A$3:$A$7246),0),MATCH('001-C DMR'!$BH$11,'DMR 001C NEW'!$A$2:$O$2,0))),"")</f>
        <v>0.06</v>
      </c>
      <c r="BM44" s="58">
        <f t="array" ref="BM44">_xlfn.IFNA(INDEX('DMR 001C NEW'!$A$3:$O$9999,MATCH(('001-C DMR'!$BG$6&amp;'001-C DMR'!$BK$10&amp;'001-C DMR'!$B44),('DMR 001C NEW'!$E$3:$E$7246&amp;'DMR 001C NEW'!$B$3:$B$7246&amp;'DMR 001C NEW'!$A$3:$A$7246),0),MATCH('001-C DMR'!$BI$11,'DMR 001C NEW'!$A$2:$O$2,0)),"")</f>
        <v>6.36</v>
      </c>
      <c r="BN44" s="58">
        <f t="shared" si="9"/>
        <v>6.36</v>
      </c>
      <c r="BO44" s="56">
        <f t="array" ref="BO44">IFERROR((($BJ44*$EI44)+($BN44*$EJ44))/($EK44),"")</f>
        <v>6.2372255945595789</v>
      </c>
      <c r="BP44" s="29"/>
      <c r="BQ44" s="280" t="str">
        <f t="array" ref="BQ44">_xlfn.IFNA(INDEX('DMR 001C NEW'!$A$3:$O$999,MATCH(('001-C DMR'!$BG$6&amp;'001-C DMR'!BQ$10&amp;'001-C DMR'!$B44),('DMR 001C NEW'!$E$3:$E$1112&amp;'DMR 001C NEW'!$B$3:$B$1112&amp;'DMR 001C NEW'!$A$3:$A$1112),0),MATCH('001-C DMR'!$BQ$11,'DMR 001C NEW'!$A$2:$O$2,0)),"")</f>
        <v/>
      </c>
      <c r="BR44" s="280" t="str">
        <f t="array" ref="BR44">_xlfn.IFNA(INDEX('DMR 001C NEW'!$A$3:$O$999,MATCH(('001-C DMR'!$BG$6&amp;'001-C DMR'!BR$10&amp;'001-C DMR'!$B44),('DMR 001C NEW'!$E$3:$E$1112&amp;'DMR 001C NEW'!$B$3:$B$1112&amp;'DMR 001C NEW'!$A$3:$A$1112),0),MATCH('001-C DMR'!$BQ$11,'DMR 001C NEW'!$A$2:$O$2,0)),"")</f>
        <v/>
      </c>
      <c r="BS44" s="280" t="str">
        <f t="array" ref="BS44">_xlfn.IFNA(INDEX('DMR 001C NEW'!$A$3:$O$999,MATCH(('001-C DMR'!$BG$6&amp;'001-C DMR'!BS$10&amp;'001-C DMR'!$B44),('DMR 001C NEW'!$E$3:$E$1112&amp;'DMR 001C NEW'!$B$3:$B$1112&amp;'DMR 001C NEW'!$A$3:$A$1112),0),MATCH('001-C DMR'!$BQ$11,'DMR 001C NEW'!$A$2:$O$2,0)),"")</f>
        <v/>
      </c>
      <c r="BT44" s="280" t="str">
        <f t="array" ref="BT44">_xlfn.IFNA(INDEX('DMR 001C NEW'!$A$3:$O$999,MATCH(('001-C DMR'!$BG$6&amp;'001-C DMR'!BT$10&amp;'001-C DMR'!$B44),('DMR 001C NEW'!$E$3:$E$1112&amp;'DMR 001C NEW'!$B$3:$B$1112&amp;'DMR 001C NEW'!$A$3:$A$1112),0),MATCH('001-C DMR'!$BQ$11,'DMR 001C NEW'!$A$2:$O$2,0)),"")</f>
        <v/>
      </c>
      <c r="BU44" s="280" t="str">
        <f t="array" ref="BU44">_xlfn.IFNA(INDEX('DMR 001C NEW'!$A$3:$O$999,MATCH(('001-C DMR'!$BG$6&amp;'001-C DMR'!BU$10&amp;'001-C DMR'!$B44),('DMR 001C NEW'!$E$3:$E$1112&amp;'DMR 001C NEW'!$B$3:$B$1112&amp;'DMR 001C NEW'!$A$3:$A$1112),0),MATCH('001-C DMR'!$BQ$11,'DMR 001C NEW'!$A$2:$O$2,0)),"")</f>
        <v/>
      </c>
      <c r="BV44" s="280" t="str">
        <f t="array" ref="BV44">_xlfn.IFNA(INDEX('DMR 001C NEW'!$A$3:$O$999,MATCH(('001-C DMR'!$BG$6&amp;'001-C DMR'!BV$10&amp;'001-C DMR'!$B44),('DMR 001C NEW'!$E$3:$E$1112&amp;'DMR 001C NEW'!$B$3:$B$1112&amp;'DMR 001C NEW'!$A$3:$A$1112),0),MATCH('001-C DMR'!$BQ$11,'DMR 001C NEW'!$A$2:$O$2,0)),"")</f>
        <v/>
      </c>
      <c r="BW44" s="41"/>
      <c r="BX44" s="41"/>
      <c r="BY44" s="57" t="str">
        <f t="shared" si="45"/>
        <v/>
      </c>
      <c r="BZ44" s="58" t="str">
        <f t="array" ref="BZ44">_xlfn.IFNA((INDEX('DMR 001C NEW'!$A$3:$O$9999,MATCH(('001-C DMR'!$BY$6&amp;'001-C DMR'!$BY$10&amp;'001-C DMR'!$B44),('DMR 001C NEW'!$E$3:$E$7246&amp;'DMR 001C NEW'!$B$3:$B$7246&amp;'DMR 001C NEW'!$A$3:$A$7246),0),MATCH('001-C DMR'!$BZ$11,'DMR 001C NEW'!$A$2:$O$2,0))),"")</f>
        <v/>
      </c>
      <c r="CA44" s="138" t="str">
        <f t="array" ref="CA44">_xlfn.IFNA(INDEX('DMR 001C NEW'!$A$3:$O$9999,MATCH(('001-C DMR'!$BY$6&amp;'001-C DMR'!$BY$10&amp;'001-C DMR'!$B44),('DMR 001C NEW'!$E$3:$E$7246&amp;'DMR 001C NEW'!$B$3:$B$7246&amp;'DMR 001C NEW'!$A$3:$A$7246),0),MATCH('001-C DMR'!$CA$11,'DMR 001C NEW'!$A$2:$O$2,0)),"")</f>
        <v/>
      </c>
      <c r="CB44" s="57" t="str">
        <f t="shared" si="46"/>
        <v/>
      </c>
      <c r="CC44" s="58" t="str">
        <f t="array" ref="CC44">_xlfn.IFNA((INDEX('DMR 001C NEW'!$A$3:$O$9999,MATCH(('001-C DMR'!$BY$6&amp;'001-C DMR'!$CB$10&amp;'001-C DMR'!$B44),('DMR 001C NEW'!$E$3:$E$7246&amp;'DMR 001C NEW'!$B$3:$B$7246&amp;'DMR 001C NEW'!$A$3:$A$7246),0),MATCH('001-C DMR'!$BZ$11,'DMR 001C NEW'!$A$2:$O$2,0))),"")</f>
        <v/>
      </c>
      <c r="CD44" s="138" t="str">
        <f t="array" ref="CD44">_xlfn.IFNA(INDEX('DMR 001C NEW'!$A$3:$O$9999,MATCH(('001-C DMR'!$BY$6&amp;'001-C DMR'!$CB$10&amp;'001-C DMR'!$B44),('DMR 001C NEW'!$E$3:$E$7246&amp;'DMR 001C NEW'!$B$3:$B$7246&amp;'DMR 001C NEW'!$A$3:$A$7246),0),MATCH('001-C DMR'!$CA$11,'DMR 001C NEW'!$A$2:$O$2,0)),"")</f>
        <v/>
      </c>
      <c r="CE44" s="138" t="str">
        <f t="array" ref="CE44">IFERROR((($CA44*$EI44)+($CD44*$EJ44))/($EK44),"")</f>
        <v/>
      </c>
      <c r="CF44" s="64" t="str">
        <f t="shared" si="47"/>
        <v/>
      </c>
      <c r="CG44" s="280" t="str">
        <f t="array" ref="CG44">_xlfn.IFNA(INDEX('DMR 001C NEW'!$A$3:$O$999,MATCH(('001-C DMR'!$BY$6&amp;'001-C DMR'!CG$10&amp;'001-C DMR'!$B44),('DMR 001C NEW'!$E$3:$E$1112&amp;'DMR 001C NEW'!$B$3:$B$1112&amp;'DMR 001C NEW'!$A$3:$A$1112),0),MATCH('001-C DMR'!$CA$11,'DMR 001C NEW'!$A$2:$O$2,0)),"")</f>
        <v/>
      </c>
      <c r="CH44" s="280" t="str">
        <f t="array" ref="CH44">_xlfn.IFNA(INDEX('DMR 001C NEW'!$A$3:$O$999,MATCH(('001-C DMR'!$BY$6&amp;'001-C DMR'!CH$10&amp;'001-C DMR'!$B44),('DMR 001C NEW'!$E$3:$E$1112&amp;'DMR 001C NEW'!$B$3:$B$1112&amp;'DMR 001C NEW'!$A$3:$A$1112),0),MATCH('001-C DMR'!$CA$11,'DMR 001C NEW'!$A$2:$O$2,0)),"")</f>
        <v/>
      </c>
      <c r="CI44" s="280" t="str">
        <f t="array" ref="CI44">_xlfn.IFNA(INDEX('DMR 001C NEW'!$A$3:$O$999,MATCH(('001-C DMR'!$BY$6&amp;'001-C DMR'!CI$10&amp;'001-C DMR'!$B44),('DMR 001C NEW'!$E$3:$E$1112&amp;'DMR 001C NEW'!$B$3:$B$1112&amp;'DMR 001C NEW'!$A$3:$A$1112),0),MATCH('001-C DMR'!$CA$11,'DMR 001C NEW'!$A$2:$O$2,0)),"")</f>
        <v/>
      </c>
      <c r="CJ44" s="280" t="str">
        <f t="array" ref="CJ44">_xlfn.IFNA(INDEX('DMR 001C NEW'!$A$3:$O$999,MATCH(('001-C DMR'!$BY$6&amp;'001-C DMR'!CJ$10&amp;'001-C DMR'!$B44),('DMR 001C NEW'!$E$3:$E$1112&amp;'DMR 001C NEW'!$B$3:$B$1112&amp;'DMR 001C NEW'!$A$3:$A$1112),0),MATCH('001-C DMR'!$CA$11,'DMR 001C NEW'!$A$2:$O$2,0)),"")</f>
        <v/>
      </c>
      <c r="CK44" s="280" t="str">
        <f t="array" ref="CK44">_xlfn.IFNA(INDEX('DMR 001C NEW'!$A$3:$O$999,MATCH(('001-C DMR'!$BY$6&amp;'001-C DMR'!CK$10&amp;'001-C DMR'!$B44),('DMR 001C NEW'!$E$3:$E$1112&amp;'DMR 001C NEW'!$B$3:$B$1112&amp;'DMR 001C NEW'!$A$3:$A$1112),0),MATCH('001-C DMR'!$CA$11,'DMR 001C NEW'!$A$2:$O$2,0)),"")</f>
        <v/>
      </c>
      <c r="CL44" s="280" t="str">
        <f t="array" ref="CL44">_xlfn.IFNA(INDEX('DMR 001C NEW'!$A$3:$O$999,MATCH(('001-C DMR'!$BY$6&amp;'001-C DMR'!CL$10&amp;'001-C DMR'!$B44),('DMR 001C NEW'!$E$3:$E$1112&amp;'DMR 001C NEW'!$B$3:$B$1112&amp;'DMR 001C NEW'!$A$3:$A$1112),0),MATCH('001-C DMR'!$CA$11,'DMR 001C NEW'!$A$2:$O$2,0)),"")</f>
        <v/>
      </c>
      <c r="CM44" s="38"/>
      <c r="CN44" s="138" t="str">
        <f t="array" ref="CN44">_xlfn.IFNA((INDEX('DMR 001C NEW'!$A$3:$O$9999,MATCH(('001-C DMR'!$CM$6&amp;'001-C DMR'!$CM$10&amp;'001-C DMR'!$B44),('DMR 001C NEW'!$E$3:$E$9018&amp;'DMR 001C NEW'!$B$3:$B$9018&amp;'DMR 001C NEW'!$A$3:$A$9018),0),MATCH('001-C DMR'!$CN$11,'DMR 001C NEW'!$A$2:$O$2,0))*1000),"")</f>
        <v/>
      </c>
      <c r="CO44" s="138" t="str">
        <f t="array" ref="CO44">_xlfn.IFNA(INDEX('DMR 001C NEW'!$A$3:$O$9999,MATCH(('001-C DMR'!$CM$6&amp;'001-C DMR'!$CM$10&amp;'001-C DMR'!$B44),('DMR 001C NEW'!$E$3:$E$9018&amp;'DMR 001C NEW'!$B$3:$B$9018&amp;'DMR 001C NEW'!$A$3:$A$9018),0),MATCH('001-C DMR'!$CO$11,'DMR 001C NEW'!$A$2:$O$2,0))*1000,"")</f>
        <v/>
      </c>
      <c r="CP44" s="138" t="str">
        <f t="shared" si="13"/>
        <v/>
      </c>
      <c r="CQ44" s="64" t="str">
        <f t="shared" si="34"/>
        <v/>
      </c>
      <c r="CR44" s="280" t="str">
        <f t="array" ref="CR44">_xlfn.IFNA(INDEX('DMR 001C NEW'!$A$3:$O$999,MATCH(('001-C DMR'!$CM$6&amp;'001-C DMR'!CR$10&amp;'001-C DMR'!$B44),('DMR 001C NEW'!$E$3:$E$1112&amp;'DMR 001C NEW'!$B$3:$B$1112&amp;'DMR 001C NEW'!$A$3:$A$1112),0),MATCH('001-C DMR'!$CO$11,'DMR 001C NEW'!$A$2:$O$2,0)),"")</f>
        <v/>
      </c>
      <c r="CS44" s="280" t="str">
        <f t="array" ref="CS44">_xlfn.IFNA(INDEX('DMR 001C NEW'!$A$3:$O$999,MATCH(('001-C DMR'!$CM$6&amp;'001-C DMR'!CS$10&amp;'001-C DMR'!$B44),('DMR 001C NEW'!$E$3:$E$1112&amp;'DMR 001C NEW'!$B$3:$B$1112&amp;'DMR 001C NEW'!$A$3:$A$1112),0),MATCH('001-C DMR'!$CO$11,'DMR 001C NEW'!$A$2:$O$2,0)),"")</f>
        <v/>
      </c>
      <c r="CT44" s="280" t="str">
        <f t="array" ref="CT44">_xlfn.IFNA(INDEX('DMR 001C NEW'!$A$3:$O$999,MATCH(('001-C DMR'!$CM$6&amp;'001-C DMR'!CT$10&amp;'001-C DMR'!$B44),('DMR 001C NEW'!$E$3:$E$1112&amp;'DMR 001C NEW'!$B$3:$B$1112&amp;'DMR 001C NEW'!$A$3:$A$1112),0),MATCH('001-C DMR'!$CO$11,'DMR 001C NEW'!$A$2:$O$2,0)),"")</f>
        <v/>
      </c>
      <c r="CU44" s="280" t="str">
        <f t="array" ref="CU44">_xlfn.IFNA(INDEX('DMR 001C NEW'!$A$3:$O$999,MATCH(('001-C DMR'!$CM$6&amp;'001-C DMR'!CU$10&amp;'001-C DMR'!$B44),('DMR 001C NEW'!$E$3:$E$1112&amp;'DMR 001C NEW'!$B$3:$B$1112&amp;'DMR 001C NEW'!$A$3:$A$1112),0),MATCH('001-C DMR'!$CO$11,'DMR 001C NEW'!$A$2:$O$2,0)),"")</f>
        <v/>
      </c>
      <c r="CV44" s="280" t="str">
        <f t="array" ref="CV44">_xlfn.IFNA(INDEX('DMR 001C NEW'!$A$3:$O$999,MATCH(('001-C DMR'!$CM$6&amp;'001-C DMR'!CV$10&amp;'001-C DMR'!$B44),('DMR 001C NEW'!$E$3:$E$1112&amp;'DMR 001C NEW'!$B$3:$B$1112&amp;'DMR 001C NEW'!$A$3:$A$1112),0),MATCH('001-C DMR'!$CO$11,'DMR 001C NEW'!$A$2:$O$2,0)),"")</f>
        <v/>
      </c>
      <c r="CW44" s="280" t="str">
        <f t="array" ref="CW44">_xlfn.IFNA(INDEX('DMR 001C NEW'!$A$3:$O$999,MATCH(('001-C DMR'!$CM$6&amp;'001-C DMR'!CW$10&amp;'001-C DMR'!$B44),('DMR 001C NEW'!$E$3:$E$1112&amp;'DMR 001C NEW'!$B$3:$B$1112&amp;'DMR 001C NEW'!$A$3:$A$1112),0),MATCH('001-C DMR'!$CO$11,'DMR 001C NEW'!$A$2:$O$2,0)),"")</f>
        <v/>
      </c>
      <c r="CX44" s="280" t="str">
        <f t="array" ref="CX44">_xlfn.IFNA(INDEX('DMR 001C NEW'!$A$3:$O$999,MATCH(('001-C DMR'!$CM$6&amp;'001-C DMR'!CX$10&amp;'001-C DMR'!$B44),('DMR 001C NEW'!$E$3:$E$1112&amp;'DMR 001C NEW'!$B$3:$B$1112&amp;'DMR 001C NEW'!$A$3:$A$1112),0),MATCH('001-C DMR'!$CO$11,'DMR 001C NEW'!$A$2:$O$2,0)),"")</f>
        <v/>
      </c>
      <c r="CY44" s="94"/>
      <c r="CZ44" s="138" t="str">
        <f t="array" ref="CZ44">_xlfn.IFNA((INDEX('DMR 001C NEW'!$A$3:$O$9999,MATCH(('001-C DMR'!$CY$6&amp;'001-C DMR'!$CY$10&amp;'001-C DMR'!$B44),('DMR 001C NEW'!$E$3:$E$9018&amp;'DMR 001C NEW'!$B$3:$B$9018&amp;'DMR 001C NEW'!$A$3:$A$9018),0),MATCH('001-C DMR'!$CZ$11,'DMR 001C NEW'!$A$2:$O$2,0))*1000),"")</f>
        <v/>
      </c>
      <c r="DA44" s="138" t="str">
        <f t="array" ref="DA44">_xlfn.IFNA(INDEX('DMR 001C NEW'!$A$3:$O$9999,MATCH(('001-C DMR'!$CY$6&amp;'001-C DMR'!$CY$10&amp;'001-C DMR'!$B44),('DMR 001C NEW'!$E$3:$E$9018&amp;'DMR 001C NEW'!$B$3:$B$9018&amp;'DMR 001C NEW'!$A$3:$A$9018),0),MATCH('001-C DMR'!$DA$11,'DMR 001C NEW'!$A$2:$O$2,0))*1000,"")</f>
        <v/>
      </c>
      <c r="DB44" s="138" t="str">
        <f t="shared" si="15"/>
        <v/>
      </c>
      <c r="DC44" s="29"/>
      <c r="DD44" s="280" t="str">
        <f t="array" ref="DD44">_xlfn.IFNA(INDEX('DMR 001C NEW'!$A$3:$O$999,MATCH(('001-C DMR'!$CY$6&amp;'001-C DMR'!DD$10&amp;'001-C DMR'!$B44),('DMR 001C NEW'!$E$3:$E$1112&amp;'DMR 001C NEW'!$B$3:$B$1112&amp;'DMR 001C NEW'!$A$3:$A$1112),0),MATCH('001-C DMR'!$DA$11,'DMR 001C NEW'!$A$2:$O$2,0)),"")</f>
        <v/>
      </c>
      <c r="DE44" s="280" t="str">
        <f t="array" ref="DE44">_xlfn.IFNA(INDEX('DMR 001C NEW'!$A$3:$O$999,MATCH(('001-C DMR'!$CY$6&amp;'001-C DMR'!DE$10&amp;'001-C DMR'!$B44),('DMR 001C NEW'!$E$3:$E$1112&amp;'DMR 001C NEW'!$B$3:$B$1112&amp;'DMR 001C NEW'!$A$3:$A$1112),0),MATCH('001-C DMR'!$DA$11,'DMR 001C NEW'!$A$2:$O$2,0)),"")</f>
        <v/>
      </c>
      <c r="DF44" s="280" t="str">
        <f t="array" ref="DF44">_xlfn.IFNA(INDEX('DMR 001C NEW'!$A$3:$O$999,MATCH(('001-C DMR'!$CY$6&amp;'001-C DMR'!DF$10&amp;'001-C DMR'!$B44),('DMR 001C NEW'!$E$3:$E$1112&amp;'DMR 001C NEW'!$B$3:$B$1112&amp;'DMR 001C NEW'!$A$3:$A$1112),0),MATCH('001-C DMR'!$DA$11,'DMR 001C NEW'!$A$2:$O$2,0)),"")</f>
        <v/>
      </c>
      <c r="DG44" s="280" t="str">
        <f t="array" ref="DG44">_xlfn.IFNA(INDEX('DMR 001C NEW'!$A$3:$O$999,MATCH(('001-C DMR'!$CY$6&amp;'001-C DMR'!DG$10&amp;'001-C DMR'!$B44),('DMR 001C NEW'!$E$3:$E$1112&amp;'DMR 001C NEW'!$B$3:$B$1112&amp;'DMR 001C NEW'!$A$3:$A$1112),0),MATCH('001-C DMR'!$DA$11,'DMR 001C NEW'!$A$2:$O$2,0)),"")</f>
        <v/>
      </c>
      <c r="DH44" s="280" t="str">
        <f t="array" ref="DH44">_xlfn.IFNA(INDEX('DMR 001C NEW'!$A$3:$O$999,MATCH(('001-C DMR'!$CY$6&amp;'001-C DMR'!DH$10&amp;'001-C DMR'!$B44),('DMR 001C NEW'!$E$3:$E$1112&amp;'DMR 001C NEW'!$B$3:$B$1112&amp;'DMR 001C NEW'!$A$3:$A$1112),0),MATCH('001-C DMR'!$DA$11,'DMR 001C NEW'!$A$2:$O$2,0)),"")</f>
        <v/>
      </c>
      <c r="DI44" s="280" t="str">
        <f t="array" ref="DI44">_xlfn.IFNA(INDEX('DMR 001C NEW'!$A$3:$O$999,MATCH(('001-C DMR'!$CY$6&amp;'001-C DMR'!DI$10&amp;'001-C DMR'!$B44),('DMR 001C NEW'!$E$3:$E$1112&amp;'DMR 001C NEW'!$B$3:$B$1112&amp;'DMR 001C NEW'!$A$3:$A$1112),0),MATCH('001-C DMR'!$DA$11,'DMR 001C NEW'!$A$2:$O$2,0)),"")</f>
        <v/>
      </c>
      <c r="DJ44" s="280" t="str">
        <f t="array" ref="DJ44">_xlfn.IFNA(INDEX('DMR 001C NEW'!$A$3:$O$999,MATCH(('001-C DMR'!$CY$6&amp;'001-C DMR'!DJ$10&amp;'001-C DMR'!$B44),('DMR 001C NEW'!$E$3:$E$1112&amp;'DMR 001C NEW'!$B$3:$B$1112&amp;'DMR 001C NEW'!$A$3:$A$1112),0),MATCH('001-C DMR'!$DA$11,'DMR 001C NEW'!$A$2:$O$2,0)),"")</f>
        <v/>
      </c>
      <c r="DK44" s="61" t="str">
        <f t="shared" si="16"/>
        <v/>
      </c>
      <c r="DL44" s="58" t="str">
        <f t="array" ref="DL44">_xlfn.IFNA((INDEX('DMR 001C NEW'!$A$3:$O$9999,MATCH(('001-C DMR'!$DK$6&amp;'001-C DMR'!$DK$10&amp;'001-C DMR'!$B44),('DMR 001C NEW'!$E$3:$E$9018&amp;'DMR 001C NEW'!$B$3:$B$9018&amp;'DMR 001C NEW'!$A$3:$A$9018),0),MATCH('001-C DMR'!$DL$11,'DMR 001C NEW'!$A$2:$O$2,0))),"")</f>
        <v/>
      </c>
      <c r="DM44" s="58" t="str">
        <f t="array" ref="DM44">_xlfn.IFNA(INDEX('DMR 001C NEW'!$A$3:$O$9999,MATCH(('001-C DMR'!$DK$6&amp;'001-C DMR'!$DK$10&amp;'001-C DMR'!$B44),('DMR 001C NEW'!$E$3:$E$9018&amp;'DMR 001C NEW'!$B$3:$B$9018&amp;'DMR 001C NEW'!$A$3:$A$9018),0),MATCH('001-C DMR'!$DM$11,'DMR 001C NEW'!$A$2:$O$2,0)),"")</f>
        <v/>
      </c>
      <c r="DN44" s="58" t="str">
        <f t="shared" si="17"/>
        <v/>
      </c>
      <c r="DO44" s="225"/>
      <c r="DP44" s="226"/>
      <c r="DQ44" s="29"/>
      <c r="DR44" s="280" t="str">
        <f t="array" ref="DR44">_xlfn.IFNA(INDEX('DMR 001C NEW'!$A$3:$O$999,MATCH(('001-C DMR'!$DK$6&amp;'001-C DMR'!DR$10&amp;'001-C DMR'!$B44),('DMR 001C NEW'!$E$3:$E$1112&amp;'DMR 001C NEW'!$B$3:$B$1112&amp;'DMR 001C NEW'!$A$3:$A$1112),0),MATCH('001-C DMR'!$DR$11,'DMR 001C NEW'!$A$2:$O$2,0)),"")</f>
        <v/>
      </c>
      <c r="DS44" s="280" t="str">
        <f t="array" ref="DS44">_xlfn.IFNA(INDEX('DMR 001C NEW'!$A$3:$O$999,MATCH(('001-C DMR'!$DK$6&amp;'001-C DMR'!DS$10&amp;'001-C DMR'!$B44),('DMR 001C NEW'!$E$3:$E$1112&amp;'DMR 001C NEW'!$B$3:$B$1112&amp;'DMR 001C NEW'!$A$3:$A$1112),0),MATCH('001-C DMR'!$DR$11,'DMR 001C NEW'!$A$2:$O$2,0)),"")</f>
        <v/>
      </c>
      <c r="DT44" s="280" t="str">
        <f t="array" ref="DT44">_xlfn.IFNA(INDEX('DMR 001C NEW'!$A$3:$O$999,MATCH(('001-C DMR'!$DK$6&amp;'001-C DMR'!DT$10&amp;'001-C DMR'!$B44),('DMR 001C NEW'!$E$3:$E$1112&amp;'DMR 001C NEW'!$B$3:$B$1112&amp;'DMR 001C NEW'!$A$3:$A$1112),0),MATCH('001-C DMR'!$DR$11,'DMR 001C NEW'!$A$2:$O$2,0)),"")</f>
        <v/>
      </c>
      <c r="DU44" s="280" t="str">
        <f t="array" ref="DU44">_xlfn.IFNA(INDEX('DMR 001C NEW'!$A$3:$O$999,MATCH(('001-C DMR'!$DK$6&amp;'001-C DMR'!DU$10&amp;'001-C DMR'!$B44),('DMR 001C NEW'!$E$3:$E$1112&amp;'DMR 001C NEW'!$B$3:$B$1112&amp;'DMR 001C NEW'!$A$3:$A$1112),0),MATCH('001-C DMR'!$DR$11,'DMR 001C NEW'!$A$2:$O$2,0)),"")</f>
        <v/>
      </c>
      <c r="DV44" s="280" t="str">
        <f t="array" ref="DV44">_xlfn.IFNA(INDEX('DMR 001C NEW'!$A$3:$O$999,MATCH(('001-C DMR'!$DK$6&amp;'001-C DMR'!DV$10&amp;'001-C DMR'!$B44),('DMR 001C NEW'!$E$3:$E$1112&amp;'DMR 001C NEW'!$B$3:$B$1112&amp;'DMR 001C NEW'!$A$3:$A$1112),0),MATCH('001-C DMR'!$DR$11,'DMR 001C NEW'!$A$2:$O$2,0)),"")</f>
        <v/>
      </c>
      <c r="DW44" s="280" t="str">
        <f t="array" ref="DW44">_xlfn.IFNA(INDEX('DMR 001C NEW'!$A$3:$O$999,MATCH(('001-C DMR'!$DK$6&amp;'001-C DMR'!DW$10&amp;'001-C DMR'!$B44),('DMR 001C NEW'!$E$3:$E$1112&amp;'DMR 001C NEW'!$B$3:$B$1112&amp;'DMR 001C NEW'!$A$3:$A$1112),0),MATCH('001-C DMR'!$DR$11,'DMR 001C NEW'!$A$2:$O$2,0)),"")</f>
        <v/>
      </c>
      <c r="DX44" s="280" t="str">
        <f t="array" ref="DX44">_xlfn.IFNA(INDEX('DMR 001C NEW'!$A$3:$O$999,MATCH(('001-C DMR'!$DK$6&amp;'001-C DMR'!DX$10&amp;'001-C DMR'!$B44),('DMR 001C NEW'!$E$3:$E$1112&amp;'DMR 001C NEW'!$B$3:$B$1112&amp;'DMR 001C NEW'!$A$3:$A$1112),0),MATCH('001-C DMR'!$DR$11,'DMR 001C NEW'!$A$2:$O$2,0)),"")</f>
        <v/>
      </c>
      <c r="DY44" s="61" t="str">
        <f t="shared" si="28"/>
        <v/>
      </c>
      <c r="DZ44" s="249" t="str">
        <f t="array" ref="DZ44">_xlfn.IFNA((INDEX('DMR 001C NEW'!$A$3:$O$9999,MATCH(('001-C DMR'!$DY$6&amp;'001-C DMR'!$DY$10&amp;'001-C DMR'!$B44),('DMR 001C NEW'!$E$3:$E$9018&amp;'DMR 001C NEW'!$B$3:$B$9018&amp;'DMR 001C NEW'!$A$3:$A$9018),0),MATCH('001-C DMR'!$DZ$11,'DMR 001C NEW'!$A$2:$O$2,0))),"")</f>
        <v/>
      </c>
      <c r="EA44" s="249" t="str">
        <f t="array" ref="EA44">_xlfn.IFNA((INDEX('DMR 001C NEW'!$A$3:$O$9999,MATCH(('001-C DMR'!$DY$6&amp;'001-C DMR'!$DY$10&amp;'001-C DMR'!$B44),('DMR 001C NEW'!$E$3:$E$9018&amp;'DMR 001C NEW'!$B$3:$B$9018&amp;'DMR 001C NEW'!$A$3:$A$9018),0),MATCH('001-C DMR'!$EA$11,'DMR 001C NEW'!$A$2:$O$2,0))),"")</f>
        <v/>
      </c>
      <c r="EB44" s="249" t="str">
        <f t="array" ref="EB44">IF(EA44="SCRATCHED","",IF(EA44&lt;DZ44,0,EA44))</f>
        <v/>
      </c>
      <c r="EC44" s="249" t="str">
        <f t="shared" si="29"/>
        <v/>
      </c>
      <c r="ED44" s="249" t="str">
        <f t="array" ref="ED44">_xlfn.IFNA((INDEX('DMR 001C NEW'!$A$3:$O$9999,MATCH(('001-C DMR'!$DY$6&amp;'001-C DMR'!$EC$10&amp;'001-C DMR'!$B44),('DMR 001C NEW'!$E$3:$E$9018&amp;'DMR 001C NEW'!$B$3:$B$9018&amp;'DMR 001C NEW'!$A$3:$A$9018),0),MATCH('001-C DMR'!$DZ$11,'DMR 001C NEW'!$A$2:$O$2,0))),"")</f>
        <v/>
      </c>
      <c r="EE44" s="249" t="str">
        <f t="array" ref="EE44">_xlfn.IFNA((INDEX('DMR 001C NEW'!$A$3:$O$9999,MATCH(('001-C DMR'!$DY$6&amp;'001-C DMR'!$EC$10&amp;'001-C DMR'!$B44),('DMR 001C NEW'!$E$3:$E$9018&amp;'DMR 001C NEW'!$B$3:$B$9018&amp;'DMR 001C NEW'!$A$3:$A$9018),0),MATCH('001-C DMR'!$EE$11,'DMR 001C NEW'!$A$2:$O$2,0))),"")</f>
        <v/>
      </c>
      <c r="EF44" s="249" t="str">
        <f t="array" ref="EF44">IF(EE44="SCRATCHED","",IF(EE44&lt;ED44,0,EE44))</f>
        <v/>
      </c>
      <c r="EH44" s="29"/>
      <c r="EI44" s="194">
        <f t="array" ref="EI44">_xlfn.IFNA(INDEX('DMR Flows-Effluent'!$A$3:$F$186,MATCH(($EI$10&amp;$B44),('DMR Flows-Effluent'!$B$3:$B$186&amp;'DMR Flows-Effluent'!$A$3:$A$186),0),MATCH($EI$8,'DMR Flows-Effluent'!$A$2:$F$2,0)),"")</f>
        <v>36.269799999999996</v>
      </c>
      <c r="EJ44" s="56">
        <f t="array" ref="EJ44">_xlfn.IFNA(INDEX('DMR Flows-Effluent'!$A$3:$F$186,MATCH(($EJ$10&amp;$B44),('DMR Flows-Effluent'!$B$3:$B$186&amp;'DMR Flows-Effluent'!$A$3:$A$186),0),MATCH($EI$8,'DMR Flows-Effluent'!$A$2:$F$2,0)),"")</f>
        <v>81.897499999999994</v>
      </c>
      <c r="EK44" s="168">
        <f t="shared" si="19"/>
        <v>118.16729999999998</v>
      </c>
      <c r="EP44" s="38"/>
      <c r="EQ44" s="157">
        <f>'E.Coli Calculations'!R38</f>
        <v>254.77819185693642</v>
      </c>
      <c r="ER44" s="56" t="str">
        <f>'E.Coli Calculations'!S38</f>
        <v/>
      </c>
      <c r="ES44" s="64" t="str">
        <f t="shared" si="36"/>
        <v/>
      </c>
      <c r="ET44" s="38"/>
      <c r="EU44" s="58" t="str">
        <f t="array" ref="EU44">_xlfn.IFNA((INDEX('DMR 001C NEW'!$A$3:$O$9999,MATCH(('001-C DMR'!$ET$6&amp;'001-C DMR'!$ET$10&amp;'001-C DMR'!$B44),('DMR 001C NEW'!$E$3:$E$9018&amp;'DMR 001C NEW'!$B$3:$B$9018&amp;'DMR 001C NEW'!$A$3:$A$9018),0),MATCH('001-C DMR'!$EU$11,'DMR 001C NEW'!$A$2:$O$2,0))),"")</f>
        <v/>
      </c>
      <c r="EV44" s="58" t="str">
        <f t="array" ref="EV44">_xlfn.IFNA(INDEX('DMR 001C NEW'!$A$3:$O$9999,MATCH(('001-C DMR'!$ET$6&amp;'001-C DMR'!$ET$10&amp;'001-C DMR'!$B44),('DMR 001C NEW'!$E$3:$E$9018&amp;'DMR 001C NEW'!$B$3:$B$9018&amp;'DMR 001C NEW'!$A$3:$A$9018),0),MATCH('001-C DMR'!$EV$11,'DMR 001C NEW'!$A$2:$O$2,0)),"")</f>
        <v/>
      </c>
      <c r="EW44" s="56" t="str">
        <f t="shared" si="21"/>
        <v/>
      </c>
      <c r="EX44" s="29"/>
      <c r="EY44" s="279" t="str">
        <f t="array" ref="EY44">_xlfn.IFNA(INDEX('DMR 001C NEW'!$A$3:$O$999,MATCH(('001-C DMR'!$ET$6&amp;'001-C DMR'!EY$10&amp;'001-C DMR'!$B44),('DMR 001C NEW'!$E$3:$E$1112&amp;'DMR 001C NEW'!$B$3:$B$1112&amp;'DMR 001C NEW'!$A$3:$A$1112),0),MATCH('001-C DMR'!$EY$11,'DMR 001C NEW'!$A$2:$O$2,0)),"")</f>
        <v/>
      </c>
      <c r="EZ44" s="280" t="str">
        <f t="array" ref="EZ44">_xlfn.IFNA(INDEX('DMR 001C NEW'!$A$3:$O$999,MATCH(('001-C DMR'!$ET$6&amp;'001-C DMR'!EZ$10&amp;'001-C DMR'!$B44),('DMR 001C NEW'!$E$3:$E$1112&amp;'DMR 001C NEW'!$B$3:$B$1112&amp;'DMR 001C NEW'!$A$3:$A$1112),0),MATCH('001-C DMR'!$EY$11,'DMR 001C NEW'!$A$2:$O$2,0)),"")</f>
        <v/>
      </c>
      <c r="FA44" s="280" t="str">
        <f t="array" ref="FA44">_xlfn.IFNA(INDEX('DMR 001C NEW'!$A$3:$O$999,MATCH(('001-C DMR'!$ET$6&amp;'001-C DMR'!FA$10&amp;'001-C DMR'!$B44),('DMR 001C NEW'!$E$3:$E$1112&amp;'DMR 001C NEW'!$B$3:$B$1112&amp;'DMR 001C NEW'!$A$3:$A$1112),0),MATCH('001-C DMR'!$EY$11,'DMR 001C NEW'!$A$2:$O$2,0)),"")</f>
        <v/>
      </c>
      <c r="FB44" s="280" t="str">
        <f t="array" ref="FB44">_xlfn.IFNA(INDEX('DMR 001C NEW'!$A$3:$O$999,MATCH(('001-C DMR'!$ET$6&amp;'001-C DMR'!FB$10&amp;'001-C DMR'!$B44),('DMR 001C NEW'!$E$3:$E$1112&amp;'DMR 001C NEW'!$B$3:$B$1112&amp;'DMR 001C NEW'!$A$3:$A$1112),0),MATCH('001-C DMR'!$EY$11,'DMR 001C NEW'!$A$2:$O$2,0)),"")</f>
        <v/>
      </c>
      <c r="FC44" s="280" t="str">
        <f t="array" ref="FC44">_xlfn.IFNA(INDEX('DMR 001C NEW'!$A$3:$O$999,MATCH(('001-C DMR'!$ET$6&amp;'001-C DMR'!FC$10&amp;'001-C DMR'!$B44),('DMR 001C NEW'!$E$3:$E$1112&amp;'DMR 001C NEW'!$B$3:$B$1112&amp;'DMR 001C NEW'!$A$3:$A$1112),0),MATCH('001-C DMR'!$EY$11,'DMR 001C NEW'!$A$2:$O$2,0)),"")</f>
        <v/>
      </c>
      <c r="FD44" s="280" t="str">
        <f t="array" ref="FD44">_xlfn.IFNA(INDEX('DMR 001C NEW'!$A$3:$O$999,MATCH(('001-C DMR'!$ET$6&amp;'001-C DMR'!FD$10&amp;'001-C DMR'!$B44),('DMR 001C NEW'!$E$3:$E$1112&amp;'DMR 001C NEW'!$B$3:$B$1112&amp;'DMR 001C NEW'!$A$3:$A$1112),0),MATCH('001-C DMR'!$EY$11,'DMR 001C NEW'!$A$2:$O$2,0)),"")</f>
        <v/>
      </c>
      <c r="FE44" s="281" t="str">
        <f t="array" ref="FE44">_xlfn.IFNA(INDEX('DMR 001C NEW'!$A$3:$O$999,MATCH(('001-C DMR'!$ET$6&amp;'001-C DMR'!FE$10&amp;'001-C DMR'!$B44),('DMR 001C NEW'!$E$3:$E$1112&amp;'DMR 001C NEW'!$B$3:$B$1112&amp;'DMR 001C NEW'!$A$3:$A$1112),0),MATCH('001-C DMR'!$EY$11,'DMR 001C NEW'!$A$2:$O$2,0)),"")</f>
        <v/>
      </c>
      <c r="FG44" s="56">
        <f t="array" ref="FG44">_xlfn.IFNA(INDEX('DMR 001C NEW'!$A$3:$O$9999,MATCH(('001-C DMR'!$FF$6&amp;'001-C DMR'!$FF$10&amp;'001-C DMR'!$B44),('DMR 001C NEW'!$E$3:$E$7246&amp;'DMR 001C NEW'!$B$3:$B$7246&amp;'DMR 001C NEW'!$A$3:$A$7246),0),MATCH('001-C DMR'!$FG$11,'DMR 001C NEW'!$A$2:$O$2,0)),"")</f>
        <v>0</v>
      </c>
      <c r="FH44" s="56">
        <f t="array" ref="FH44">_xlfn.IFNA(INDEX('DMR 001C NEW'!$A$3:$O$9999,MATCH(('001-C DMR'!$FF$6&amp;'001-C DMR'!$FF$10&amp;'001-C DMR'!$B44),('DMR 001C NEW'!$E$3:$E$7246&amp;'DMR 001C NEW'!$B$3:$B$7246&amp;'DMR 001C NEW'!$A$3:$A$7246),0),MATCH('001-C DMR'!$FH$11,'DMR 001C NEW'!$A$2:$O$2,0)),"")</f>
        <v>4</v>
      </c>
      <c r="FJ44" s="56">
        <f t="array" ref="FJ44">_xlfn.IFNA(INDEX('DMR 001C NEW'!$A$3:$O$9999,MATCH(('001-C DMR'!$FF$6&amp;'001-C DMR'!$FI$10&amp;'001-C DMR'!$B44),('DMR 001C NEW'!$E$3:$E$7246&amp;'DMR 001C NEW'!$B$3:$B$7246&amp;'DMR 001C NEW'!$A$3:$A$7246),0),MATCH('001-C DMR'!$FG$11,'DMR 001C NEW'!$A$2:$O$2,0)),"")</f>
        <v>0</v>
      </c>
      <c r="FK44" s="56">
        <f t="array" ref="FK44">_xlfn.IFNA(INDEX('DMR 001C NEW'!$A$3:$O$9999,MATCH(('001-C DMR'!$FF$6&amp;'001-C DMR'!$FI$10&amp;'001-C DMR'!$B44),('DMR 001C NEW'!$E$3:$E$7246&amp;'DMR 001C NEW'!$B$3:$B$7246&amp;'DMR 001C NEW'!$A$3:$A$7246),0),MATCH('001-C DMR'!$FH$11,'DMR 001C NEW'!$A$2:$O$2,0)),"")</f>
        <v>5</v>
      </c>
      <c r="FL44" s="56">
        <f t="array" ref="FL44">IFERROR((($FH44*$EI44)+($FK44*$EJ44))/($EK44),"")</f>
        <v>4.6930639863989452</v>
      </c>
      <c r="FM44" s="56" t="str">
        <f t="shared" si="43"/>
        <v/>
      </c>
      <c r="FN44" s="64" t="str">
        <f t="shared" si="37"/>
        <v/>
      </c>
      <c r="FO44" s="41"/>
      <c r="FP44" s="280" t="str">
        <f t="array" ref="FP44">_xlfn.IFNA(INDEX('DMR 001C NEW'!$A$3:$O$999,MATCH(('001-C DMR'!$FF$6&amp;'001-C DMR'!FP$10&amp;'001-C DMR'!$B44),('DMR 001C NEW'!$E$3:$E$1112&amp;'DMR 001C NEW'!$B$3:$B$1112&amp;'DMR 001C NEW'!$A$3:$A$1112),0),MATCH('001-C DMR'!$FH$11,'DMR 001C NEW'!$A$2:$O$2,0)),"")</f>
        <v/>
      </c>
      <c r="FQ44" s="280" t="str">
        <f t="array" ref="FQ44">_xlfn.IFNA(INDEX('DMR 001C NEW'!$A$3:$O$999,MATCH(('001-C DMR'!$FF$6&amp;'001-C DMR'!FQ$10&amp;'001-C DMR'!$B44),('DMR 001C NEW'!$E$3:$E$1112&amp;'DMR 001C NEW'!$B$3:$B$1112&amp;'DMR 001C NEW'!$A$3:$A$1112),0),MATCH('001-C DMR'!$FH$11,'DMR 001C NEW'!$A$2:$O$2,0)),"")</f>
        <v/>
      </c>
      <c r="FR44" s="280" t="str">
        <f t="array" ref="FR44">_xlfn.IFNA(INDEX('DMR 001C NEW'!$A$3:$O$999,MATCH(('001-C DMR'!$FF$6&amp;'001-C DMR'!FR$10&amp;'001-C DMR'!$B44),('DMR 001C NEW'!$E$3:$E$1112&amp;'DMR 001C NEW'!$B$3:$B$1112&amp;'DMR 001C NEW'!$A$3:$A$1112),0),MATCH('001-C DMR'!$FH$11,'DMR 001C NEW'!$A$2:$O$2,0)),"")</f>
        <v/>
      </c>
      <c r="FS44" s="280" t="str">
        <f t="array" ref="FS44">_xlfn.IFNA(INDEX('DMR 001C NEW'!$A$3:$O$999,MATCH(('001-C DMR'!$FF$6&amp;'001-C DMR'!FS$10&amp;'001-C DMR'!$B44),('DMR 001C NEW'!$E$3:$E$1112&amp;'DMR 001C NEW'!$B$3:$B$1112&amp;'DMR 001C NEW'!$A$3:$A$1112),0),MATCH('001-C DMR'!$FH$11,'DMR 001C NEW'!$A$2:$O$2,0)),"")</f>
        <v/>
      </c>
      <c r="FT44" s="280" t="str">
        <f t="array" ref="FT44">_xlfn.IFNA(INDEX('DMR 001C NEW'!$A$3:$O$999,MATCH(('001-C DMR'!$FF$6&amp;'001-C DMR'!FT$10&amp;'001-C DMR'!$B44),('DMR 001C NEW'!$E$3:$E$1112&amp;'DMR 001C NEW'!$B$3:$B$1112&amp;'DMR 001C NEW'!$A$3:$A$1112),0),MATCH('001-C DMR'!$FH$11,'DMR 001C NEW'!$A$2:$O$2,0)),"")</f>
        <v/>
      </c>
      <c r="FU44" s="280" t="str">
        <f t="array" ref="FU44">_xlfn.IFNA(INDEX('DMR 001C NEW'!$A$3:$O$999,MATCH(('001-C DMR'!$FF$6&amp;'001-C DMR'!FU$10&amp;'001-C DMR'!$B44),('DMR 001C NEW'!$E$3:$E$1112&amp;'DMR 001C NEW'!$B$3:$B$1112&amp;'DMR 001C NEW'!$A$3:$A$1112),0),MATCH('001-C DMR'!$FH$11,'DMR 001C NEW'!$A$2:$O$2,0)),"")</f>
        <v/>
      </c>
      <c r="FV44" s="41"/>
      <c r="FW44" s="38"/>
      <c r="FX44" s="58" t="str">
        <f t="array" ref="FX44">_xlfn.IFNA(INDEX('DMR 001C NEW'!$A$3:$O$9999,MATCH(('001-C DMR'!$FW$6&amp;'001-C DMR'!$FW$10&amp;'001-C DMR'!$B44),('DMR 001C NEW'!$E$3:$E$7246&amp;'DMR 001C NEW'!$B$3:$B$7246&amp;'DMR 001C NEW'!$A$3:$A$7246),0),MATCH('001-C DMR'!$FX$11,'DMR 001C NEW'!$A$2:$O$2,0)),"")</f>
        <v/>
      </c>
      <c r="FY44" s="58" t="str">
        <f t="array" ref="FY44">_xlfn.IFNA(INDEX('DMR 001C NEW'!$A$3:$O$9999,MATCH(('001-C DMR'!$FW$6&amp;'001-C DMR'!$FW$10&amp;'001-C DMR'!$B44),('DMR 001C NEW'!$E$3:$E$7246&amp;'DMR 001C NEW'!$B$3:$B$7246&amp;'DMR 001C NEW'!$A$3:$A$7246),0),MATCH('001-C DMR'!$FY$11,'DMR 001C NEW'!$A$2:$O$2,0)),"")</f>
        <v/>
      </c>
      <c r="GA44" s="58" t="str">
        <f t="array" ref="GA44">_xlfn.IFNA(INDEX('DMR 001C NEW'!$A$3:$O$9999,MATCH(('001-C DMR'!$FW$6&amp;'001-C DMR'!$FZ$10&amp;'001-C DMR'!$B44),('DMR 001C NEW'!$E$3:$E$7246&amp;'DMR 001C NEW'!$B$3:$B$7246&amp;'DMR 001C NEW'!$A$3:$A$7246),0),MATCH('001-C DMR'!$FX$11,'DMR 001C NEW'!$A$2:$O$2,0)),"")</f>
        <v/>
      </c>
      <c r="GB44" s="58" t="str">
        <f t="array" ref="GB44">_xlfn.IFNA(INDEX('DMR 001C NEW'!$A$3:$O$9999,MATCH(('001-C DMR'!$FW$6&amp;'001-C DMR'!$FZ$10&amp;'001-C DMR'!$B44),('DMR 001C NEW'!$E$3:$E$7246&amp;'DMR 001C NEW'!$B$3:$B$7246&amp;'DMR 001C NEW'!$A$3:$A$7246),0),MATCH('001-C DMR'!$GB$11,'DMR 001C NEW'!$A$2:$O$2,0)),"")</f>
        <v/>
      </c>
      <c r="GC44" s="56" t="str">
        <f t="shared" si="4"/>
        <v/>
      </c>
      <c r="GD44" s="64" t="str">
        <f t="shared" si="38"/>
        <v/>
      </c>
      <c r="GE44" s="279" t="str">
        <f t="array" ref="GE44">_xlfn.IFNA(INDEX('DMR 001C NEW'!$A$3:$O$999,MATCH(('001-C DMR'!$FW$6&amp;'001-C DMR'!GE$10&amp;'001-C DMR'!$B44),('DMR 001C NEW'!$E$3:$E$1112&amp;'DMR 001C NEW'!$B$3:$B$1112&amp;'DMR 001C NEW'!$A$3:$A$1112),0),MATCH('001-C DMR'!$FY$11,'DMR 001C NEW'!$A$2:$O$2,0)),"")</f>
        <v/>
      </c>
      <c r="GF44" s="280" t="str">
        <f t="array" ref="GF44">_xlfn.IFNA(INDEX('DMR 001C NEW'!$A$3:$O$999,MATCH(('001-C DMR'!$FW$6&amp;'001-C DMR'!GF$10&amp;'001-C DMR'!$B44),('DMR 001C NEW'!$E$3:$E$1112&amp;'DMR 001C NEW'!$B$3:$B$1112&amp;'DMR 001C NEW'!$A$3:$A$1112),0),MATCH('001-C DMR'!$FY$11,'DMR 001C NEW'!$A$2:$O$2,0)),"")</f>
        <v/>
      </c>
      <c r="GG44" s="280" t="str">
        <f t="array" ref="GG44">_xlfn.IFNA(INDEX('DMR 001C NEW'!$A$3:$O$999,MATCH(('001-C DMR'!$FW$6&amp;'001-C DMR'!GG$10&amp;'001-C DMR'!$B44),('DMR 001C NEW'!$E$3:$E$1112&amp;'DMR 001C NEW'!$B$3:$B$1112&amp;'DMR 001C NEW'!$A$3:$A$1112),0),MATCH('001-C DMR'!$FY$11,'DMR 001C NEW'!$A$2:$O$2,0)),"")</f>
        <v/>
      </c>
      <c r="GH44" s="280" t="str">
        <f t="array" ref="GH44">_xlfn.IFNA(INDEX('DMR 001C NEW'!$A$3:$O$999,MATCH(('001-C DMR'!$FW$6&amp;'001-C DMR'!GH$10&amp;'001-C DMR'!$B44),('DMR 001C NEW'!$E$3:$E$1112&amp;'DMR 001C NEW'!$B$3:$B$1112&amp;'DMR 001C NEW'!$A$3:$A$1112),0),MATCH('001-C DMR'!$FY$11,'DMR 001C NEW'!$A$2:$O$2,0)),"")</f>
        <v/>
      </c>
      <c r="GI44" s="280" t="str">
        <f t="array" ref="GI44">_xlfn.IFNA(INDEX('DMR 001C NEW'!$A$3:$O$999,MATCH(('001-C DMR'!$FW$6&amp;'001-C DMR'!GI$10&amp;'001-C DMR'!$B44),('DMR 001C NEW'!$E$3:$E$1112&amp;'DMR 001C NEW'!$B$3:$B$1112&amp;'DMR 001C NEW'!$A$3:$A$1112),0),MATCH('001-C DMR'!$FY$11,'DMR 001C NEW'!$A$2:$O$2,0)),"")</f>
        <v/>
      </c>
      <c r="GJ44" s="281" t="str">
        <f t="array" ref="GJ44">_xlfn.IFNA(INDEX('DMR 001C NEW'!$A$3:$O$999,MATCH(('001-C DMR'!$FW$6&amp;'001-C DMR'!GJ$10&amp;'001-C DMR'!$B44),('DMR 001C NEW'!$E$3:$E$1112&amp;'DMR 001C NEW'!$B$3:$B$1112&amp;'DMR 001C NEW'!$A$3:$A$1112),0),MATCH('001-C DMR'!$FY$11,'DMR 001C NEW'!$A$2:$O$2,0)),"")</f>
        <v/>
      </c>
      <c r="GK44" s="58" t="str">
        <f t="array" ref="GK44">_xlfn.IFNA(INDEX('DMR 001C NEW'!$A$3:$O$9999,MATCH(('001-C DMR'!$GK$6&amp;'001-C DMR'!$GK$10&amp;'001-C DMR'!$B44),('DMR 001C NEW'!$E$3:$E$9018&amp;'DMR 001C NEW'!$B$3:$B$9018&amp;'DMR 001C NEW'!$A$3:$A$9018),0),MATCH('001-C DMR'!$GK$11,'DMR 001C NEW'!$A$2:$O$2,0)),"")</f>
        <v>n</v>
      </c>
      <c r="GL44" s="58" t="str">
        <f t="array" ref="GL44">_xlfn.IFNA(INDEX('DMR 001C NEW'!$A$3:$O$9999,MATCH(('001-C DMR'!$GK$6&amp;'001-C DMR'!$GL$10&amp;'001-C DMR'!$B44),('DMR 001C NEW'!$E$3:$E$9018&amp;'DMR 001C NEW'!$B$3:$B$9018&amp;'DMR 001C NEW'!$A$3:$A$9018),0),MATCH('001-C DMR'!$GK$11,'DMR 001C NEW'!$A$2:$O$2,0)),"")</f>
        <v>n</v>
      </c>
      <c r="GN44" s="64" t="str">
        <f t="shared" si="44"/>
        <v/>
      </c>
    </row>
    <row r="45" spans="1:196" x14ac:dyDescent="0.25">
      <c r="A45" s="67" t="str">
        <f t="shared" si="5"/>
        <v>Fri</v>
      </c>
      <c r="B45" s="216">
        <f t="shared" si="26"/>
        <v>43707</v>
      </c>
      <c r="C45" s="93">
        <f t="array" ref="C45">INDEX('DMR 001C NEW'!$A$3:$N$10020,MATCH(('001-C DMR'!$C$6:$K$6&amp;'001-C DMR'!$C$10:$E$10&amp;'001-C DMR'!$B45),('DMR 001C NEW'!$E$3:$E$7246&amp;'DMR 001C NEW'!$B$3:$B$7246&amp;'DMR 001C NEW'!$A$3:$A$7246),0),MATCH('001-C DMR'!$C$11,'DMR 001C NEW'!$A$2:$O$2,0))</f>
        <v>5.8</v>
      </c>
      <c r="D45" s="56" t="str">
        <f t="array" ref="D45">INDEX('DMR 001C NEW'!$A$3:$N$11771,MATCH(('001-C DMR'!$C$6:$K$6&amp;'001-C DMR'!$C$10:$E$10&amp;'001-C DMR'!$B45),('DMR 001C NEW'!$E$3:$E$9018&amp;'DMR 001C NEW'!$B$3:$B$9018&amp;'DMR 001C NEW'!$A$3:$A$9018),0),MATCH('001-C DMR'!$D$11,'DMR 001C NEW'!$A$2:$O$2,0))</f>
        <v>AE70960</v>
      </c>
      <c r="E45" s="56">
        <f t="array" ref="E45">INDEX('DMR 001C NEW'!$A$3:$N$9999,MATCH(('001-C DMR'!$E$11&amp;'001-C DMR'!$C$10:$E$10&amp;'001-C DMR'!$B45&amp;$D45),('DMR 001C NEW'!$E$3:$E$7246&amp;'DMR 001C NEW'!$B$3:$B$7246&amp;'DMR 001C NEW'!$A$3:$A$7246&amp;'DMR 001C NEW'!$M$3:$M$7188),0),MATCH($C$11,'DMR 001C NEW'!$A$2:$O$2,0))</f>
        <v>32.18</v>
      </c>
      <c r="F45" s="56">
        <f t="array" ref="F45">INDEX('DMR 001C NEW'!$A$3:$N$9999,MATCH('001-C DMR'!$C$6:$K$6&amp;'001-C DMR'!$F$10&amp;'001-C DMR'!$B45,('DMR 001C NEW'!$E$3:$E$7246&amp;'DMR 001C NEW'!$B$3:$B$7246&amp;'DMR 001C NEW'!$A$3:$A$7246),0),MATCH('001-C DMR'!$C$11,'DMR 001C NEW'!$A$2:$O$2,0))</f>
        <v>6.5</v>
      </c>
      <c r="G45" s="56" t="str">
        <f t="array" ref="G45">INDEX('DMR 001C NEW'!$A$3:$N$3865,MATCH(('001-C DMR'!$C$6:$K$6&amp;'001-C DMR'!$F$10&amp;'001-C DMR'!$B45),('DMR 001C NEW'!$E$3:$E$1112&amp;'DMR 001C NEW'!$B$3:$B$1112&amp;'DMR 001C NEW'!$A$3:$A$1112),0),MATCH('001-C DMR'!$D$11,'DMR 001C NEW'!$A$2:$O$2,0))</f>
        <v>AE70961</v>
      </c>
      <c r="H45" s="56">
        <f t="array" ref="H45">INDEX('DMR 001C NEW'!$A$3:$N$9999,MATCH(('001-C DMR'!$E$11&amp;'001-C DMR'!$F$10&amp;'001-C DMR'!$B45&amp;$G45),('DMR 001C NEW'!$E$3:$E$7246&amp;'DMR 001C NEW'!$B$3:$B$7246&amp;'DMR 001C NEW'!$A$3:$A$7246&amp;'DMR 001C NEW'!$M$3:$M$7188),0),MATCH($C$11,'DMR 001C NEW'!$A$2:$O$2,0))</f>
        <v>101.17</v>
      </c>
      <c r="I45" s="56">
        <f t="shared" si="0"/>
        <v>6.3310761154855646</v>
      </c>
      <c r="J45" s="58" t="str">
        <f t="shared" si="39"/>
        <v/>
      </c>
      <c r="K45" s="64" t="str">
        <f t="shared" si="40"/>
        <v/>
      </c>
      <c r="L45" s="262" t="str">
        <f t="array" ref="L45">_xlfn.IFNA(INDEX('DMR 001C NEW'!$A$3:$N$3865,MATCH(('001-C DMR'!$C$6:$K$6&amp;'001-C DMR'!L$10&amp;'001-C DMR'!$B45),('DMR 001C NEW'!$E$3:$E$1112&amp;'DMR 001C NEW'!$B$3:$B$1112&amp;'DMR 001C NEW'!$A$3:$A$1112),0),MATCH('001-C DMR'!$C$11,'DMR 001C NEW'!$A$2:$O$2,0)),"")</f>
        <v/>
      </c>
      <c r="M45" s="262" t="str">
        <f t="array" ref="M45">_xlfn.IFNA(INDEX('DMR 001C NEW'!$A$3:$N$3865,MATCH(('001-C DMR'!$C$6:$K$6&amp;'001-C DMR'!M$10&amp;'001-C DMR'!$B45),('DMR 001C NEW'!$E$3:$E$1112&amp;'DMR 001C NEW'!$B$3:$B$1112&amp;'DMR 001C NEW'!$A$3:$A$1112),0),MATCH('001-C DMR'!$C$11,'DMR 001C NEW'!$A$2:$O$2,0)),"")</f>
        <v/>
      </c>
      <c r="N45" s="262" t="str">
        <f t="array" ref="N45">_xlfn.IFNA(INDEX('DMR 001C NEW'!$A$3:$N$3865,MATCH(('001-C DMR'!$C$6:$K$6&amp;'001-C DMR'!N$10&amp;'001-C DMR'!$B45),('DMR 001C NEW'!$E$3:$E$1112&amp;'DMR 001C NEW'!$B$3:$B$1112&amp;'DMR 001C NEW'!$A$3:$A$1112),0),MATCH('001-C DMR'!$C$11,'DMR 001C NEW'!$A$2:$O$2,0)),"")</f>
        <v/>
      </c>
      <c r="O45" s="262" t="str">
        <f t="array" ref="O45">_xlfn.IFNA(INDEX('DMR 001C NEW'!$A$3:$N$3865,MATCH(('001-C DMR'!$C$6:$K$6&amp;'001-C DMR'!O$10&amp;'001-C DMR'!$B45),('DMR 001C NEW'!$E$3:$E$1112&amp;'DMR 001C NEW'!$B$3:$B$1112&amp;'DMR 001C NEW'!$A$3:$A$1112),0),MATCH('001-C DMR'!$C$11,'DMR 001C NEW'!$A$2:$O$2,0)),"")</f>
        <v/>
      </c>
      <c r="P45" s="262" t="str">
        <f t="array" ref="P45">_xlfn.IFNA(INDEX('DMR 001C NEW'!$A$3:$N$3865,MATCH(('001-C DMR'!$C$6:$K$6&amp;'001-C DMR'!P$10&amp;'001-C DMR'!$B45),('DMR 001C NEW'!$E$3:$E$1112&amp;'DMR 001C NEW'!$B$3:$B$1112&amp;'DMR 001C NEW'!$A$3:$A$1112),0),MATCH('001-C DMR'!$C$11,'DMR 001C NEW'!$A$2:$O$2,0)),"")</f>
        <v/>
      </c>
      <c r="R45" s="38"/>
      <c r="S45" s="56">
        <f t="array" ref="S45">_xlfn.IFNA(INDEX('DMR 001C NEW'!$A$3:$N$11771,MATCH(('001-C DMR'!$R$6:$T$6&amp;'001-C DMR'!$R$10&amp;'001-C DMR'!$B45),('DMR 001C NEW'!$E$3:$E$9018&amp;'DMR 001C NEW'!$B$3:$B$9018&amp;'DMR 001C NEW'!$A$3:$A$9018),0),MATCH('001-C DMR'!$S$11,'DMR 001C NEW'!$A$2:$O$2,0)),"")</f>
        <v>7.1</v>
      </c>
      <c r="T45" s="64" t="str">
        <f t="shared" si="41"/>
        <v/>
      </c>
      <c r="U45" s="262" t="str">
        <f t="array" ref="U45">_xlfn.IFNA(INDEX('DMR 001C NEW'!$A$3:$O$591,MATCH('001-C DMR'!$R$6:$T$6&amp;'001-C DMR'!U$10&amp;'001-C DMR'!$B45,('DMR 001C NEW'!$E$3:$E$704&amp;'DMR 001C NEW'!$B$3:$B$704&amp;'DMR 001C NEW'!$A$3:$A$704),0),MATCH('001-C DMR'!$U$11,'DMR 001C NEW'!$A$2:$O$2,0)),"")</f>
        <v/>
      </c>
      <c r="V45" s="262" t="str">
        <f t="array" ref="V45">_xlfn.IFNA(INDEX('DMR 001C NEW'!$A$3:$O$591,MATCH('001-C DMR'!$R$6:$T$6&amp;'001-C DMR'!V$10&amp;'001-C DMR'!$B45,('DMR 001C NEW'!$E$3:$E$704&amp;'DMR 001C NEW'!$B$3:$B$704&amp;'DMR 001C NEW'!$A$3:$A$704),0),MATCH('001-C DMR'!$U$11,'DMR 001C NEW'!$A$2:$O$2,0)),"")</f>
        <v/>
      </c>
      <c r="W45" s="262" t="str">
        <f t="array" ref="W45">_xlfn.IFNA(INDEX('DMR 001C NEW'!$A$3:$O$591,MATCH('001-C DMR'!$R$6:$T$6&amp;'001-C DMR'!W$10&amp;'001-C DMR'!$B45,('DMR 001C NEW'!$E$3:$E$704&amp;'DMR 001C NEW'!$B$3:$B$704&amp;'DMR 001C NEW'!$A$3:$A$704),0),MATCH('001-C DMR'!$U$11,'DMR 001C NEW'!$A$2:$O$2,0)),"")</f>
        <v/>
      </c>
      <c r="X45" s="262" t="str">
        <f t="array" ref="X45">_xlfn.IFNA(INDEX('DMR 001C NEW'!$A$3:$O$591,MATCH('001-C DMR'!$R$6:$T$6&amp;'001-C DMR'!X$10&amp;'001-C DMR'!$B45,('DMR 001C NEW'!$E$3:$E$704&amp;'DMR 001C NEW'!$B$3:$B$704&amp;'DMR 001C NEW'!$A$3:$A$704),0),MATCH('001-C DMR'!$U$11,'DMR 001C NEW'!$A$2:$O$2,0)),"")</f>
        <v/>
      </c>
      <c r="Y45" s="262" t="str">
        <f t="array" ref="Y45">_xlfn.IFNA(INDEX('DMR 001C NEW'!$A$3:$O$591,MATCH('001-C DMR'!$R$6:$T$6&amp;'001-C DMR'!Y$10&amp;'001-C DMR'!$B45,('DMR 001C NEW'!$E$3:$E$704&amp;'DMR 001C NEW'!$B$3:$B$704&amp;'DMR 001C NEW'!$A$3:$A$704),0),MATCH('001-C DMR'!$U$11,'DMR 001C NEW'!$A$2:$O$2,0)),"")</f>
        <v/>
      </c>
      <c r="Z45" s="262" t="str">
        <f t="array" ref="Z45">_xlfn.IFNA(INDEX('DMR 001C NEW'!$A$3:$O$591,MATCH('001-C DMR'!$R$6:$T$6&amp;'001-C DMR'!Z$10&amp;'001-C DMR'!$B45,('DMR 001C NEW'!$E$3:$E$704&amp;'DMR 001C NEW'!$B$3:$B$704&amp;'DMR 001C NEW'!$A$3:$A$704),0),MATCH('001-C DMR'!$U$11,'DMR 001C NEW'!$A$2:$O$2,0)),"")</f>
        <v/>
      </c>
      <c r="AA45" s="262" t="str">
        <f t="array" ref="AA45">_xlfn.IFNA(INDEX('DMR 001C NEW'!$A$3:$O$591,MATCH('001-C DMR'!$R$6:$T$6&amp;'001-C DMR'!AA$10&amp;'001-C DMR'!$B45,('DMR 001C NEW'!$E$3:$E$704&amp;'DMR 001C NEW'!$B$3:$B$704&amp;'DMR 001C NEW'!$A$3:$A$704),0),MATCH('001-C DMR'!$U$11,'DMR 001C NEW'!$A$2:$O$2,0)),"")</f>
        <v/>
      </c>
      <c r="AB45" s="61" t="str">
        <f t="array" ref="AB45">IF(AD45&lt;AC45,"&lt;","")</f>
        <v/>
      </c>
      <c r="AC45" s="56">
        <f t="array" ref="AC45">_xlfn.IFNA(INDEX('DMR 001C NEW'!$A$3:$O$9999,MATCH(('001-C DMR'!$AB$6:$AJ$6&amp;'001-C DMR'!$AB$10:$AD$10&amp;'001-C DMR'!$B45),('DMR 001C NEW'!$E$3:$E$7246&amp;'DMR 001C NEW'!$B$3:$B$7246&amp;'DMR 001C NEW'!$A$3:$A$7246),0),MATCH('001-C DMR'!$AC$11,'DMR 001C NEW'!$A$2:$O$2,0)),"")</f>
        <v>3</v>
      </c>
      <c r="AD45" s="56">
        <f t="array" ref="AD45">_xlfn.IFNA(INDEX('DMR 001C NEW'!$A$3:$O$9999,MATCH(('001-C DMR'!$AB$6:$AJ$6&amp;'001-C DMR'!$AB$10:$AD$10&amp;'001-C DMR'!$B45),('DMR 001C NEW'!$E$3:$E$7246&amp;'DMR 001C NEW'!$B$3:$B$7246&amp;'DMR 001C NEW'!$A$3:$A$7246),0),MATCH('001-C DMR'!$AD$11,'DMR 001C NEW'!$A$2:$O$2,0)),"")</f>
        <v>13</v>
      </c>
      <c r="AE45" s="57" t="str">
        <f t="array" ref="AE45">IF(AG45&lt;AF45,"&lt;","")</f>
        <v/>
      </c>
      <c r="AF45" s="56">
        <f t="array" ref="AF45">_xlfn.IFNA(INDEX('DMR 001C NEW'!$A$3:$O$9999,MATCH(('001-C DMR'!$AB$6:$AJ$6&amp;'001-C DMR'!$AE$10&amp;'001-C DMR'!$B45),('DMR 001C NEW'!$E$3:$E$9018&amp;'DMR 001C NEW'!$B$3:$B$9018&amp;'DMR 001C NEW'!$A$3:$A$9018),0),MATCH('001-C DMR'!$AF$11,'DMR 001C NEW'!$A$2:$O$2,0)),"")</f>
        <v>3</v>
      </c>
      <c r="AG45" s="56">
        <f t="array" ref="AG45">_xlfn.IFNA(INDEX('DMR 001C NEW'!$A$3:$O$9999,MATCH(('001-C DMR'!$AB$6:$AJ$6&amp;'001-C DMR'!$AE$10&amp;'001-C DMR'!$B45),('DMR 001C NEW'!$E$3:$E$9018&amp;'DMR 001C NEW'!$B$3:$B$9018&amp;'DMR 001C NEW'!$A$3:$A$9018),0),MATCH('001-C DMR'!$AG$11,'DMR 001C NEW'!$A$2:$O$2,0)),"")</f>
        <v>12</v>
      </c>
      <c r="AH45" s="56">
        <f t="array" ref="AH45">IFERROR((($AD45*$EI45)+($AG45*$EJ45))/($EK45),"")</f>
        <v>12.300216926157221</v>
      </c>
      <c r="AI45" s="56" t="str">
        <f t="shared" si="42"/>
        <v/>
      </c>
      <c r="AJ45" s="64" t="str">
        <f t="shared" si="30"/>
        <v/>
      </c>
      <c r="AK45" s="262" t="str">
        <f t="array" ref="AK45">_xlfn.IFNA(INDEX('DMR 001C NEW'!$A$3:$O$999,MATCH(('001-C DMR'!$AB$6:$AJ$6&amp;'001-C DMR'!AK$10&amp;'001-C DMR'!$B45),('DMR 001C NEW'!$E$3:$E$1112&amp;'DMR 001C NEW'!$B$3:$B$1112&amp;'DMR 001C NEW'!$A$3:$A$1112),0),MATCH('001-C DMR'!$AD$11,'DMR 001C NEW'!$A$2:$O$2,0)),"")</f>
        <v/>
      </c>
      <c r="AL45" s="262" t="str">
        <f t="array" ref="AL45">_xlfn.IFNA(INDEX('DMR 001C NEW'!$A$3:$O$999,MATCH(('001-C DMR'!$AB$6:$AJ$6&amp;'001-C DMR'!AL$10&amp;'001-C DMR'!$B45),('DMR 001C NEW'!$E$3:$E$1112&amp;'DMR 001C NEW'!$B$3:$B$1112&amp;'DMR 001C NEW'!$A$3:$A$1112),0),MATCH('001-C DMR'!$AD$11,'DMR 001C NEW'!$A$2:$O$2,0)),"")</f>
        <v/>
      </c>
      <c r="AM45" s="262" t="str">
        <f t="array" ref="AM45">_xlfn.IFNA(INDEX('DMR 001C NEW'!$A$3:$O$999,MATCH(('001-C DMR'!$AB$6:$AJ$6&amp;'001-C DMR'!AM$10&amp;'001-C DMR'!$B45),('DMR 001C NEW'!$E$3:$E$1112&amp;'DMR 001C NEW'!$B$3:$B$1112&amp;'DMR 001C NEW'!$A$3:$A$1112),0),MATCH('001-C DMR'!$AD$11,'DMR 001C NEW'!$A$2:$O$2,0)),"")</f>
        <v/>
      </c>
      <c r="AN45" s="262" t="str">
        <f t="array" ref="AN45">_xlfn.IFNA(INDEX('DMR 001C NEW'!$A$3:$O$999,MATCH(('001-C DMR'!$AB$6:$AJ$6&amp;'001-C DMR'!AN$10&amp;'001-C DMR'!$B45),('DMR 001C NEW'!$E$3:$E$1112&amp;'DMR 001C NEW'!$B$3:$B$1112&amp;'DMR 001C NEW'!$A$3:$A$1112),0),MATCH('001-C DMR'!$AD$11,'DMR 001C NEW'!$A$2:$O$2,0)),"")</f>
        <v/>
      </c>
      <c r="AO45" s="262" t="str">
        <f t="array" ref="AO45">_xlfn.IFNA(INDEX('DMR 001C NEW'!$A$3:$O$999,MATCH(('001-C DMR'!$AB$6:$AJ$6&amp;'001-C DMR'!AO$10&amp;'001-C DMR'!$B45),('DMR 001C NEW'!$E$3:$E$1112&amp;'DMR 001C NEW'!$B$3:$B$1112&amp;'DMR 001C NEW'!$A$3:$A$1112),0),MATCH('001-C DMR'!$AD$11,'DMR 001C NEW'!$A$2:$O$2,0)),"")</f>
        <v/>
      </c>
      <c r="AP45" s="262" t="str">
        <f t="array" ref="AP45">_xlfn.IFNA(INDEX('DMR 001C NEW'!$A$3:$O$999,MATCH(('001-C DMR'!$AB$6:$AJ$6&amp;'001-C DMR'!AP$10&amp;'001-C DMR'!$B45),('DMR 001C NEW'!$E$3:$E$1112&amp;'DMR 001C NEW'!$B$3:$B$1112&amp;'DMR 001C NEW'!$A$3:$A$1112),0),MATCH('001-C DMR'!$AD$11,'DMR 001C NEW'!$A$2:$O$2,0)),"")</f>
        <v/>
      </c>
      <c r="AQ45" s="38"/>
      <c r="AR45" s="58">
        <f t="array" ref="AR45">_xlfn.IFNA((INDEX('DMR 001C NEW'!$A$3:$O$9999,MATCH(('001-C DMR'!$AQ$6:$AZ$6&amp;'001-C DMR'!$AQ$10:$AS$10&amp;'001-C DMR'!$B45),('DMR 001C NEW'!$E$3:$E$7246&amp;'DMR 001C NEW'!$B$3:$B$7246&amp;'DMR 001C NEW'!$A$3:$A$7246),0),MATCH('001-C DMR'!$AR$11,'DMR 001C NEW'!$A$2:$O$2,0))),"")</f>
        <v>0.15</v>
      </c>
      <c r="AS45" s="58">
        <f t="array" ref="AS45">_xlfn.IFNA(INDEX('DMR 001C NEW'!$A$3:$O$9999,MATCH(('001-C DMR'!$AQ$6:$AZ$6&amp;'001-C DMR'!$AQ$10:$AS$10&amp;'001-C DMR'!$B45),('DMR 001C NEW'!$E$3:$E$7246&amp;'DMR 001C NEW'!$B$3:$B$7246&amp;'DMR 001C NEW'!$A$3:$A$7246),0),MATCH('001-C DMR'!$AS$11,'DMR 001C NEW'!$A$2:$O$2,0)),"")</f>
        <v>0.54</v>
      </c>
      <c r="AT45" s="58">
        <f t="shared" si="27"/>
        <v>0.54</v>
      </c>
      <c r="AV45" s="58">
        <f t="array" ref="AV45">_xlfn.IFNA((INDEX('DMR 001C NEW'!$A$3:$O$9999,MATCH(('001-C DMR'!$AQ$6:$AZ$6&amp;'001-C DMR'!$AU$10&amp;'001-C DMR'!$B45),('DMR 001C NEW'!$E$3:$E$7246&amp;'DMR 001C NEW'!$B$3:$B$7246&amp;'DMR 001C NEW'!$A$3:$A$7246),0),MATCH('001-C DMR'!$AR$11,'DMR 001C NEW'!$A$2:$O$2,0))),"")</f>
        <v>0.15</v>
      </c>
      <c r="AW45" s="58">
        <f t="array" ref="AW45">_xlfn.IFNA(INDEX('DMR 001C NEW'!$A$3:$O$9999,MATCH(('001-C DMR'!$AQ$6:$AZ$6&amp;'001-C DMR'!$AU$10&amp;'001-C DMR'!$B45),('DMR 001C NEW'!$E$3:$E$7246&amp;'DMR 001C NEW'!$B$3:$B$7246&amp;'DMR 001C NEW'!$A$3:$A$7246),0),MATCH('001-C DMR'!$AW$11,'DMR 001C NEW'!$A$2:$O$2,0)),"")</f>
        <v>1.88</v>
      </c>
      <c r="AX45" s="58">
        <f t="shared" si="6"/>
        <v>1.88</v>
      </c>
      <c r="AY45" s="56">
        <f t="array" ref="AY45">IFERROR((($AT45*$EI45)+($AX45*$EJ45))/($EK45),"")</f>
        <v>1.477709318949322</v>
      </c>
      <c r="AZ45" s="64" t="str">
        <f t="shared" si="31"/>
        <v/>
      </c>
      <c r="BA45" s="279" t="str">
        <f t="array" ref="BA45">_xlfn.IFNA(INDEX('DMR 001C NEW'!$A$3:$O$9999,MATCH(('001-C DMR'!$AQ$6:$AZ$6&amp;'001-C DMR'!BA$10&amp;'001-C DMR'!$B45),('DMR 001C NEW'!$E$3:$E$1112&amp;'DMR 001C NEW'!$B$3:$B$1112&amp;'DMR 001C NEW'!$A$3:$A$1112),0),MATCH('001-C DMR'!$BA$11,'DMR 001C NEW'!$A$2:$O$2,0)),"")</f>
        <v/>
      </c>
      <c r="BB45" s="280" t="str">
        <f t="array" ref="BB45">_xlfn.IFNA(INDEX('DMR 001C NEW'!$A$3:$O$9999,MATCH(('001-C DMR'!$AQ$6:$AZ$6&amp;'001-C DMR'!BB$10&amp;'001-C DMR'!$B45),('DMR 001C NEW'!$E$3:$E$1112&amp;'DMR 001C NEW'!$B$3:$B$1112&amp;'DMR 001C NEW'!$A$3:$A$1112),0),MATCH('001-C DMR'!$BA$11,'DMR 001C NEW'!$A$2:$O$2,0)),"")</f>
        <v/>
      </c>
      <c r="BC45" s="280" t="str">
        <f t="array" ref="BC45">_xlfn.IFNA(INDEX('DMR 001C NEW'!$A$3:$O$9999,MATCH(('001-C DMR'!$AQ$6:$AZ$6&amp;'001-C DMR'!BC$10&amp;'001-C DMR'!$B45),('DMR 001C NEW'!$E$3:$E$1112&amp;'DMR 001C NEW'!$B$3:$B$1112&amp;'DMR 001C NEW'!$A$3:$A$1112),0),MATCH('001-C DMR'!$BA$11,'DMR 001C NEW'!$A$2:$O$2,0)),"")</f>
        <v/>
      </c>
      <c r="BD45" s="280" t="str">
        <f t="array" ref="BD45">_xlfn.IFNA(INDEX('DMR 001C NEW'!$A$3:$O$9999,MATCH(('001-C DMR'!$AQ$6:$AZ$6&amp;'001-C DMR'!BD$10&amp;'001-C DMR'!$B45),('DMR 001C NEW'!$E$3:$E$1112&amp;'DMR 001C NEW'!$B$3:$B$1112&amp;'DMR 001C NEW'!$A$3:$A$1112),0),MATCH('001-C DMR'!$BA$11,'DMR 001C NEW'!$A$2:$O$2,0)),"")</f>
        <v/>
      </c>
      <c r="BE45" s="280" t="str">
        <f t="array" ref="BE45">_xlfn.IFNA(INDEX('DMR 001C NEW'!$A$3:$O$9999,MATCH(('001-C DMR'!$AQ$6:$AZ$6&amp;'001-C DMR'!BE$10&amp;'001-C DMR'!$B45),('DMR 001C NEW'!$E$3:$E$1112&amp;'DMR 001C NEW'!$B$3:$B$1112&amp;'DMR 001C NEW'!$A$3:$A$1112),0),MATCH('001-C DMR'!$BA$11,'DMR 001C NEW'!$A$2:$O$2,0)),"")</f>
        <v/>
      </c>
      <c r="BF45" s="281" t="str">
        <f t="array" ref="BF45">_xlfn.IFNA(INDEX('DMR 001C NEW'!$A$3:$O$9999,MATCH(('001-C DMR'!$AQ$6:$AZ$6&amp;'001-C DMR'!BF$10&amp;'001-C DMR'!$B45),('DMR 001C NEW'!$E$3:$E$1112&amp;'DMR 001C NEW'!$B$3:$B$1112&amp;'DMR 001C NEW'!$A$3:$A$1112),0),MATCH('001-C DMR'!$BA$11,'DMR 001C NEW'!$A$2:$O$2,0)),"")</f>
        <v/>
      </c>
      <c r="BH45" s="58">
        <f t="array" ref="BH45">_xlfn.IFNA((INDEX('DMR 001C NEW'!$A$3:$O$9999,MATCH(('001-C DMR'!$BG$6&amp;'001-C DMR'!$BG$10&amp;'001-C DMR'!$B45),('DMR 001C NEW'!$E$3:$E$7246&amp;'DMR 001C NEW'!$B$3:$B$7246&amp;'DMR 001C NEW'!$A$3:$A$7246),0),MATCH('001-C DMR'!$BH$11,'DMR 001C NEW'!$A$2:$O$2,0))),"")</f>
        <v>0.12</v>
      </c>
      <c r="BI45" s="58">
        <f t="array" ref="BI45">_xlfn.IFNA(INDEX('DMR 001C NEW'!$A$3:$O$9999,MATCH(('001-C DMR'!$BG$6&amp;'001-C DMR'!$BG$10&amp;'001-C DMR'!$B45),('DMR 001C NEW'!$E$3:$E$7246&amp;'DMR 001C NEW'!$B$3:$B$7246&amp;'DMR 001C NEW'!$A$3:$A$7246),0),MATCH('001-C DMR'!$BI$11,'DMR 001C NEW'!$A$2:$O$2,0)),"")</f>
        <v>5.72</v>
      </c>
      <c r="BJ45" s="58">
        <f t="shared" si="7"/>
        <v>5.72</v>
      </c>
      <c r="BK45" s="57" t="str">
        <f>IF(BM45&lt;BL45,"&lt;","")</f>
        <v/>
      </c>
      <c r="BL45" s="58">
        <f t="array" ref="BL45">_xlfn.IFNA((INDEX('DMR 001C NEW'!$A$3:$O$9999,MATCH(('001-C DMR'!$BG$6&amp;'001-C DMR'!$BK$10&amp;'001-C DMR'!$B45),('DMR 001C NEW'!$E$3:$E$7246&amp;'DMR 001C NEW'!$B$3:$B$7246&amp;'DMR 001C NEW'!$A$3:$A$7246),0),MATCH('001-C DMR'!$BH$11,'DMR 001C NEW'!$A$2:$O$2,0))),"")</f>
        <v>0.06</v>
      </c>
      <c r="BM45" s="58">
        <f t="array" ref="BM45">_xlfn.IFNA(INDEX('DMR 001C NEW'!$A$3:$O$9999,MATCH(('001-C DMR'!$BG$6&amp;'001-C DMR'!$BK$10&amp;'001-C DMR'!$B45),('DMR 001C NEW'!$E$3:$E$7246&amp;'DMR 001C NEW'!$B$3:$B$7246&amp;'DMR 001C NEW'!$A$3:$A$7246),0),MATCH('001-C DMR'!$BI$11,'DMR 001C NEW'!$A$2:$O$2,0)),"")</f>
        <v>6.36</v>
      </c>
      <c r="BN45" s="58">
        <f t="shared" si="9"/>
        <v>6.36</v>
      </c>
      <c r="BO45" s="56">
        <f t="array" ref="BO45">IFERROR((($BJ45*$EI45)+($BN45*$EJ45))/($EK45),"")</f>
        <v>6.1678611672593773</v>
      </c>
      <c r="BP45" s="29"/>
      <c r="BQ45" s="280" t="str">
        <f t="array" ref="BQ45">_xlfn.IFNA(INDEX('DMR 001C NEW'!$A$3:$O$999,MATCH(('001-C DMR'!$BG$6&amp;'001-C DMR'!BQ$10&amp;'001-C DMR'!$B45),('DMR 001C NEW'!$E$3:$E$1112&amp;'DMR 001C NEW'!$B$3:$B$1112&amp;'DMR 001C NEW'!$A$3:$A$1112),0),MATCH('001-C DMR'!$BQ$11,'DMR 001C NEW'!$A$2:$O$2,0)),"")</f>
        <v/>
      </c>
      <c r="BR45" s="280" t="str">
        <f t="array" ref="BR45">_xlfn.IFNA(INDEX('DMR 001C NEW'!$A$3:$O$999,MATCH(('001-C DMR'!$BG$6&amp;'001-C DMR'!BR$10&amp;'001-C DMR'!$B45),('DMR 001C NEW'!$E$3:$E$1112&amp;'DMR 001C NEW'!$B$3:$B$1112&amp;'DMR 001C NEW'!$A$3:$A$1112),0),MATCH('001-C DMR'!$BQ$11,'DMR 001C NEW'!$A$2:$O$2,0)),"")</f>
        <v/>
      </c>
      <c r="BS45" s="280" t="str">
        <f t="array" ref="BS45">_xlfn.IFNA(INDEX('DMR 001C NEW'!$A$3:$O$999,MATCH(('001-C DMR'!$BG$6&amp;'001-C DMR'!BS$10&amp;'001-C DMR'!$B45),('DMR 001C NEW'!$E$3:$E$1112&amp;'DMR 001C NEW'!$B$3:$B$1112&amp;'DMR 001C NEW'!$A$3:$A$1112),0),MATCH('001-C DMR'!$BQ$11,'DMR 001C NEW'!$A$2:$O$2,0)),"")</f>
        <v/>
      </c>
      <c r="BT45" s="280" t="str">
        <f t="array" ref="BT45">_xlfn.IFNA(INDEX('DMR 001C NEW'!$A$3:$O$999,MATCH(('001-C DMR'!$BG$6&amp;'001-C DMR'!BT$10&amp;'001-C DMR'!$B45),('DMR 001C NEW'!$E$3:$E$1112&amp;'DMR 001C NEW'!$B$3:$B$1112&amp;'DMR 001C NEW'!$A$3:$A$1112),0),MATCH('001-C DMR'!$BQ$11,'DMR 001C NEW'!$A$2:$O$2,0)),"")</f>
        <v/>
      </c>
      <c r="BU45" s="280" t="str">
        <f t="array" ref="BU45">_xlfn.IFNA(INDEX('DMR 001C NEW'!$A$3:$O$999,MATCH(('001-C DMR'!$BG$6&amp;'001-C DMR'!BU$10&amp;'001-C DMR'!$B45),('DMR 001C NEW'!$E$3:$E$1112&amp;'DMR 001C NEW'!$B$3:$B$1112&amp;'DMR 001C NEW'!$A$3:$A$1112),0),MATCH('001-C DMR'!$BQ$11,'DMR 001C NEW'!$A$2:$O$2,0)),"")</f>
        <v/>
      </c>
      <c r="BV45" s="280" t="str">
        <f t="array" ref="BV45">_xlfn.IFNA(INDEX('DMR 001C NEW'!$A$3:$O$999,MATCH(('001-C DMR'!$BG$6&amp;'001-C DMR'!BV$10&amp;'001-C DMR'!$B45),('DMR 001C NEW'!$E$3:$E$1112&amp;'DMR 001C NEW'!$B$3:$B$1112&amp;'DMR 001C NEW'!$A$3:$A$1112),0),MATCH('001-C DMR'!$BQ$11,'DMR 001C NEW'!$A$2:$O$2,0)),"")</f>
        <v/>
      </c>
      <c r="BW45" s="41"/>
      <c r="BX45" s="41"/>
      <c r="BY45" s="57" t="str">
        <f t="shared" si="45"/>
        <v/>
      </c>
      <c r="BZ45" s="58" t="str">
        <f t="array" ref="BZ45">_xlfn.IFNA((INDEX('DMR 001C NEW'!$A$3:$O$9999,MATCH(('001-C DMR'!$BY$6&amp;'001-C DMR'!$BY$10&amp;'001-C DMR'!$B45),('DMR 001C NEW'!$E$3:$E$7246&amp;'DMR 001C NEW'!$B$3:$B$7246&amp;'DMR 001C NEW'!$A$3:$A$7246),0),MATCH('001-C DMR'!$BZ$11,'DMR 001C NEW'!$A$2:$O$2,0))),"")</f>
        <v/>
      </c>
      <c r="CA45" s="138" t="str">
        <f t="array" ref="CA45">_xlfn.IFNA(INDEX('DMR 001C NEW'!$A$3:$O$9999,MATCH(('001-C DMR'!$BY$6&amp;'001-C DMR'!$BY$10&amp;'001-C DMR'!$B45),('DMR 001C NEW'!$E$3:$E$7246&amp;'DMR 001C NEW'!$B$3:$B$7246&amp;'DMR 001C NEW'!$A$3:$A$7246),0),MATCH('001-C DMR'!$CA$11,'DMR 001C NEW'!$A$2:$O$2,0)),"")</f>
        <v/>
      </c>
      <c r="CB45" s="57" t="str">
        <f t="shared" si="46"/>
        <v/>
      </c>
      <c r="CC45" s="58" t="str">
        <f t="array" ref="CC45">_xlfn.IFNA((INDEX('DMR 001C NEW'!$A$3:$O$9999,MATCH(('001-C DMR'!$BY$6&amp;'001-C DMR'!$CB$10&amp;'001-C DMR'!$B45),('DMR 001C NEW'!$E$3:$E$7246&amp;'DMR 001C NEW'!$B$3:$B$7246&amp;'DMR 001C NEW'!$A$3:$A$7246),0),MATCH('001-C DMR'!$BZ$11,'DMR 001C NEW'!$A$2:$O$2,0))),"")</f>
        <v/>
      </c>
      <c r="CD45" s="138" t="str">
        <f t="array" ref="CD45">_xlfn.IFNA(INDEX('DMR 001C NEW'!$A$3:$O$9999,MATCH(('001-C DMR'!$BY$6&amp;'001-C DMR'!$CB$10&amp;'001-C DMR'!$B45),('DMR 001C NEW'!$E$3:$E$7246&amp;'DMR 001C NEW'!$B$3:$B$7246&amp;'DMR 001C NEW'!$A$3:$A$7246),0),MATCH('001-C DMR'!$CA$11,'DMR 001C NEW'!$A$2:$O$2,0)),"")</f>
        <v/>
      </c>
      <c r="CE45" s="138" t="str">
        <f t="array" ref="CE45">IFERROR((($CA45*$EI45)+($CD45*$EJ45))/($EK45),"")</f>
        <v/>
      </c>
      <c r="CF45" s="64" t="str">
        <f t="shared" si="47"/>
        <v/>
      </c>
      <c r="CG45" s="280" t="str">
        <f t="array" ref="CG45">_xlfn.IFNA(INDEX('DMR 001C NEW'!$A$3:$O$999,MATCH(('001-C DMR'!$BY$6&amp;'001-C DMR'!CG$10&amp;'001-C DMR'!$B45),('DMR 001C NEW'!$E$3:$E$1112&amp;'DMR 001C NEW'!$B$3:$B$1112&amp;'DMR 001C NEW'!$A$3:$A$1112),0),MATCH('001-C DMR'!$CA$11,'DMR 001C NEW'!$A$2:$O$2,0)),"")</f>
        <v/>
      </c>
      <c r="CH45" s="280" t="str">
        <f t="array" ref="CH45">_xlfn.IFNA(INDEX('DMR 001C NEW'!$A$3:$O$999,MATCH(('001-C DMR'!$BY$6&amp;'001-C DMR'!CH$10&amp;'001-C DMR'!$B45),('DMR 001C NEW'!$E$3:$E$1112&amp;'DMR 001C NEW'!$B$3:$B$1112&amp;'DMR 001C NEW'!$A$3:$A$1112),0),MATCH('001-C DMR'!$CA$11,'DMR 001C NEW'!$A$2:$O$2,0)),"")</f>
        <v/>
      </c>
      <c r="CI45" s="280" t="str">
        <f t="array" ref="CI45">_xlfn.IFNA(INDEX('DMR 001C NEW'!$A$3:$O$999,MATCH(('001-C DMR'!$BY$6&amp;'001-C DMR'!CI$10&amp;'001-C DMR'!$B45),('DMR 001C NEW'!$E$3:$E$1112&amp;'DMR 001C NEW'!$B$3:$B$1112&amp;'DMR 001C NEW'!$A$3:$A$1112),0),MATCH('001-C DMR'!$CA$11,'DMR 001C NEW'!$A$2:$O$2,0)),"")</f>
        <v/>
      </c>
      <c r="CJ45" s="280" t="str">
        <f t="array" ref="CJ45">_xlfn.IFNA(INDEX('DMR 001C NEW'!$A$3:$O$999,MATCH(('001-C DMR'!$BY$6&amp;'001-C DMR'!CJ$10&amp;'001-C DMR'!$B45),('DMR 001C NEW'!$E$3:$E$1112&amp;'DMR 001C NEW'!$B$3:$B$1112&amp;'DMR 001C NEW'!$A$3:$A$1112),0),MATCH('001-C DMR'!$CA$11,'DMR 001C NEW'!$A$2:$O$2,0)),"")</f>
        <v/>
      </c>
      <c r="CK45" s="280" t="str">
        <f t="array" ref="CK45">_xlfn.IFNA(INDEX('DMR 001C NEW'!$A$3:$O$999,MATCH(('001-C DMR'!$BY$6&amp;'001-C DMR'!CK$10&amp;'001-C DMR'!$B45),('DMR 001C NEW'!$E$3:$E$1112&amp;'DMR 001C NEW'!$B$3:$B$1112&amp;'DMR 001C NEW'!$A$3:$A$1112),0),MATCH('001-C DMR'!$CA$11,'DMR 001C NEW'!$A$2:$O$2,0)),"")</f>
        <v/>
      </c>
      <c r="CL45" s="280" t="str">
        <f t="array" ref="CL45">_xlfn.IFNA(INDEX('DMR 001C NEW'!$A$3:$O$999,MATCH(('001-C DMR'!$BY$6&amp;'001-C DMR'!CL$10&amp;'001-C DMR'!$B45),('DMR 001C NEW'!$E$3:$E$1112&amp;'DMR 001C NEW'!$B$3:$B$1112&amp;'DMR 001C NEW'!$A$3:$A$1112),0),MATCH('001-C DMR'!$CA$11,'DMR 001C NEW'!$A$2:$O$2,0)),"")</f>
        <v/>
      </c>
      <c r="CM45" s="38"/>
      <c r="CN45" s="138" t="str">
        <f t="array" ref="CN45">_xlfn.IFNA((INDEX('DMR 001C NEW'!$A$3:$O$9999,MATCH(('001-C DMR'!$CM$6&amp;'001-C DMR'!$CM$10&amp;'001-C DMR'!$B45),('DMR 001C NEW'!$E$3:$E$9018&amp;'DMR 001C NEW'!$B$3:$B$9018&amp;'DMR 001C NEW'!$A$3:$A$9018),0),MATCH('001-C DMR'!$CN$11,'DMR 001C NEW'!$A$2:$O$2,0))*1000),"")</f>
        <v/>
      </c>
      <c r="CO45" s="138" t="str">
        <f t="array" ref="CO45">_xlfn.IFNA(INDEX('DMR 001C NEW'!$A$3:$O$9999,MATCH(('001-C DMR'!$CM$6&amp;'001-C DMR'!$CM$10&amp;'001-C DMR'!$B45),('DMR 001C NEW'!$E$3:$E$9018&amp;'DMR 001C NEW'!$B$3:$B$9018&amp;'DMR 001C NEW'!$A$3:$A$9018),0),MATCH('001-C DMR'!$CO$11,'DMR 001C NEW'!$A$2:$O$2,0))*1000,"")</f>
        <v/>
      </c>
      <c r="CP45" s="138" t="str">
        <f t="shared" si="13"/>
        <v/>
      </c>
      <c r="CQ45" s="64" t="str">
        <f t="shared" si="34"/>
        <v/>
      </c>
      <c r="CR45" s="280" t="str">
        <f t="array" ref="CR45">_xlfn.IFNA(INDEX('DMR 001C NEW'!$A$3:$O$999,MATCH(('001-C DMR'!$CM$6&amp;'001-C DMR'!CR$10&amp;'001-C DMR'!$B45),('DMR 001C NEW'!$E$3:$E$1112&amp;'DMR 001C NEW'!$B$3:$B$1112&amp;'DMR 001C NEW'!$A$3:$A$1112),0),MATCH('001-C DMR'!$CO$11,'DMR 001C NEW'!$A$2:$O$2,0)),"")</f>
        <v/>
      </c>
      <c r="CS45" s="280" t="str">
        <f t="array" ref="CS45">_xlfn.IFNA(INDEX('DMR 001C NEW'!$A$3:$O$999,MATCH(('001-C DMR'!$CM$6&amp;'001-C DMR'!CS$10&amp;'001-C DMR'!$B45),('DMR 001C NEW'!$E$3:$E$1112&amp;'DMR 001C NEW'!$B$3:$B$1112&amp;'DMR 001C NEW'!$A$3:$A$1112),0),MATCH('001-C DMR'!$CO$11,'DMR 001C NEW'!$A$2:$O$2,0)),"")</f>
        <v/>
      </c>
      <c r="CT45" s="280" t="str">
        <f t="array" ref="CT45">_xlfn.IFNA(INDEX('DMR 001C NEW'!$A$3:$O$999,MATCH(('001-C DMR'!$CM$6&amp;'001-C DMR'!CT$10&amp;'001-C DMR'!$B45),('DMR 001C NEW'!$E$3:$E$1112&amp;'DMR 001C NEW'!$B$3:$B$1112&amp;'DMR 001C NEW'!$A$3:$A$1112),0),MATCH('001-C DMR'!$CO$11,'DMR 001C NEW'!$A$2:$O$2,0)),"")</f>
        <v/>
      </c>
      <c r="CU45" s="280" t="str">
        <f t="array" ref="CU45">_xlfn.IFNA(INDEX('DMR 001C NEW'!$A$3:$O$999,MATCH(('001-C DMR'!$CM$6&amp;'001-C DMR'!CU$10&amp;'001-C DMR'!$B45),('DMR 001C NEW'!$E$3:$E$1112&amp;'DMR 001C NEW'!$B$3:$B$1112&amp;'DMR 001C NEW'!$A$3:$A$1112),0),MATCH('001-C DMR'!$CO$11,'DMR 001C NEW'!$A$2:$O$2,0)),"")</f>
        <v/>
      </c>
      <c r="CV45" s="280" t="str">
        <f t="array" ref="CV45">_xlfn.IFNA(INDEX('DMR 001C NEW'!$A$3:$O$999,MATCH(('001-C DMR'!$CM$6&amp;'001-C DMR'!CV$10&amp;'001-C DMR'!$B45),('DMR 001C NEW'!$E$3:$E$1112&amp;'DMR 001C NEW'!$B$3:$B$1112&amp;'DMR 001C NEW'!$A$3:$A$1112),0),MATCH('001-C DMR'!$CO$11,'DMR 001C NEW'!$A$2:$O$2,0)),"")</f>
        <v/>
      </c>
      <c r="CW45" s="280" t="str">
        <f t="array" ref="CW45">_xlfn.IFNA(INDEX('DMR 001C NEW'!$A$3:$O$999,MATCH(('001-C DMR'!$CM$6&amp;'001-C DMR'!CW$10&amp;'001-C DMR'!$B45),('DMR 001C NEW'!$E$3:$E$1112&amp;'DMR 001C NEW'!$B$3:$B$1112&amp;'DMR 001C NEW'!$A$3:$A$1112),0),MATCH('001-C DMR'!$CO$11,'DMR 001C NEW'!$A$2:$O$2,0)),"")</f>
        <v/>
      </c>
      <c r="CX45" s="280" t="str">
        <f t="array" ref="CX45">_xlfn.IFNA(INDEX('DMR 001C NEW'!$A$3:$O$999,MATCH(('001-C DMR'!$CM$6&amp;'001-C DMR'!CX$10&amp;'001-C DMR'!$B45),('DMR 001C NEW'!$E$3:$E$1112&amp;'DMR 001C NEW'!$B$3:$B$1112&amp;'DMR 001C NEW'!$A$3:$A$1112),0),MATCH('001-C DMR'!$CO$11,'DMR 001C NEW'!$A$2:$O$2,0)),"")</f>
        <v/>
      </c>
      <c r="CY45" s="94"/>
      <c r="CZ45" s="138" t="str">
        <f t="array" ref="CZ45">_xlfn.IFNA((INDEX('DMR 001C NEW'!$A$3:$O$9999,MATCH(('001-C DMR'!$CY$6&amp;'001-C DMR'!$CY$10&amp;'001-C DMR'!$B45),('DMR 001C NEW'!$E$3:$E$9018&amp;'DMR 001C NEW'!$B$3:$B$9018&amp;'DMR 001C NEW'!$A$3:$A$9018),0),MATCH('001-C DMR'!$CZ$11,'DMR 001C NEW'!$A$2:$O$2,0))*1000),"")</f>
        <v/>
      </c>
      <c r="DA45" s="138" t="str">
        <f t="array" ref="DA45">_xlfn.IFNA(INDEX('DMR 001C NEW'!$A$3:$O$9999,MATCH(('001-C DMR'!$CY$6&amp;'001-C DMR'!$CY$10&amp;'001-C DMR'!$B45),('DMR 001C NEW'!$E$3:$E$9018&amp;'DMR 001C NEW'!$B$3:$B$9018&amp;'DMR 001C NEW'!$A$3:$A$9018),0),MATCH('001-C DMR'!$DA$11,'DMR 001C NEW'!$A$2:$O$2,0))*1000,"")</f>
        <v/>
      </c>
      <c r="DB45" s="138" t="str">
        <f t="shared" si="15"/>
        <v/>
      </c>
      <c r="DC45" s="29"/>
      <c r="DD45" s="280" t="str">
        <f t="array" ref="DD45">_xlfn.IFNA(INDEX('DMR 001C NEW'!$A$3:$O$999,MATCH(('001-C DMR'!$CY$6&amp;'001-C DMR'!DD$10&amp;'001-C DMR'!$B45),('DMR 001C NEW'!$E$3:$E$1112&amp;'DMR 001C NEW'!$B$3:$B$1112&amp;'DMR 001C NEW'!$A$3:$A$1112),0),MATCH('001-C DMR'!$DA$11,'DMR 001C NEW'!$A$2:$O$2,0)),"")</f>
        <v/>
      </c>
      <c r="DE45" s="280" t="str">
        <f t="array" ref="DE45">_xlfn.IFNA(INDEX('DMR 001C NEW'!$A$3:$O$999,MATCH(('001-C DMR'!$CY$6&amp;'001-C DMR'!DE$10&amp;'001-C DMR'!$B45),('DMR 001C NEW'!$E$3:$E$1112&amp;'DMR 001C NEW'!$B$3:$B$1112&amp;'DMR 001C NEW'!$A$3:$A$1112),0),MATCH('001-C DMR'!$DA$11,'DMR 001C NEW'!$A$2:$O$2,0)),"")</f>
        <v/>
      </c>
      <c r="DF45" s="280" t="str">
        <f t="array" ref="DF45">_xlfn.IFNA(INDEX('DMR 001C NEW'!$A$3:$O$999,MATCH(('001-C DMR'!$CY$6&amp;'001-C DMR'!DF$10&amp;'001-C DMR'!$B45),('DMR 001C NEW'!$E$3:$E$1112&amp;'DMR 001C NEW'!$B$3:$B$1112&amp;'DMR 001C NEW'!$A$3:$A$1112),0),MATCH('001-C DMR'!$DA$11,'DMR 001C NEW'!$A$2:$O$2,0)),"")</f>
        <v/>
      </c>
      <c r="DG45" s="280" t="str">
        <f t="array" ref="DG45">_xlfn.IFNA(INDEX('DMR 001C NEW'!$A$3:$O$999,MATCH(('001-C DMR'!$CY$6&amp;'001-C DMR'!DG$10&amp;'001-C DMR'!$B45),('DMR 001C NEW'!$E$3:$E$1112&amp;'DMR 001C NEW'!$B$3:$B$1112&amp;'DMR 001C NEW'!$A$3:$A$1112),0),MATCH('001-C DMR'!$DA$11,'DMR 001C NEW'!$A$2:$O$2,0)),"")</f>
        <v/>
      </c>
      <c r="DH45" s="280" t="str">
        <f t="array" ref="DH45">_xlfn.IFNA(INDEX('DMR 001C NEW'!$A$3:$O$999,MATCH(('001-C DMR'!$CY$6&amp;'001-C DMR'!DH$10&amp;'001-C DMR'!$B45),('DMR 001C NEW'!$E$3:$E$1112&amp;'DMR 001C NEW'!$B$3:$B$1112&amp;'DMR 001C NEW'!$A$3:$A$1112),0),MATCH('001-C DMR'!$DA$11,'DMR 001C NEW'!$A$2:$O$2,0)),"")</f>
        <v/>
      </c>
      <c r="DI45" s="280" t="str">
        <f t="array" ref="DI45">_xlfn.IFNA(INDEX('DMR 001C NEW'!$A$3:$O$999,MATCH(('001-C DMR'!$CY$6&amp;'001-C DMR'!DI$10&amp;'001-C DMR'!$B45),('DMR 001C NEW'!$E$3:$E$1112&amp;'DMR 001C NEW'!$B$3:$B$1112&amp;'DMR 001C NEW'!$A$3:$A$1112),0),MATCH('001-C DMR'!$DA$11,'DMR 001C NEW'!$A$2:$O$2,0)),"")</f>
        <v/>
      </c>
      <c r="DJ45" s="280" t="str">
        <f t="array" ref="DJ45">_xlfn.IFNA(INDEX('DMR 001C NEW'!$A$3:$O$999,MATCH(('001-C DMR'!$CY$6&amp;'001-C DMR'!DJ$10&amp;'001-C DMR'!$B45),('DMR 001C NEW'!$E$3:$E$1112&amp;'DMR 001C NEW'!$B$3:$B$1112&amp;'DMR 001C NEW'!$A$3:$A$1112),0),MATCH('001-C DMR'!$DA$11,'DMR 001C NEW'!$A$2:$O$2,0)),"")</f>
        <v/>
      </c>
      <c r="DK45" s="61" t="str">
        <f t="shared" si="16"/>
        <v/>
      </c>
      <c r="DL45" s="58" t="str">
        <f t="array" ref="DL45">_xlfn.IFNA((INDEX('DMR 001C NEW'!$A$3:$O$9999,MATCH(('001-C DMR'!$DK$6&amp;'001-C DMR'!$DK$10&amp;'001-C DMR'!$B45),('DMR 001C NEW'!$E$3:$E$9018&amp;'DMR 001C NEW'!$B$3:$B$9018&amp;'DMR 001C NEW'!$A$3:$A$9018),0),MATCH('001-C DMR'!$DL$11,'DMR 001C NEW'!$A$2:$O$2,0))),"")</f>
        <v/>
      </c>
      <c r="DM45" s="58" t="str">
        <f t="array" ref="DM45">_xlfn.IFNA(INDEX('DMR 001C NEW'!$A$3:$O$9999,MATCH(('001-C DMR'!$DK$6&amp;'001-C DMR'!$DK$10&amp;'001-C DMR'!$B45),('DMR 001C NEW'!$E$3:$E$9018&amp;'DMR 001C NEW'!$B$3:$B$9018&amp;'DMR 001C NEW'!$A$3:$A$9018),0),MATCH('001-C DMR'!$DM$11,'DMR 001C NEW'!$A$2:$O$2,0)),"")</f>
        <v/>
      </c>
      <c r="DN45" s="58" t="str">
        <f t="shared" si="17"/>
        <v/>
      </c>
      <c r="DO45" s="225"/>
      <c r="DP45" s="226"/>
      <c r="DQ45" s="29"/>
      <c r="DR45" s="280" t="str">
        <f t="array" ref="DR45">_xlfn.IFNA(INDEX('DMR 001C NEW'!$A$3:$O$999,MATCH(('001-C DMR'!$DK$6&amp;'001-C DMR'!DR$10&amp;'001-C DMR'!$B45),('DMR 001C NEW'!$E$3:$E$1112&amp;'DMR 001C NEW'!$B$3:$B$1112&amp;'DMR 001C NEW'!$A$3:$A$1112),0),MATCH('001-C DMR'!$DR$11,'DMR 001C NEW'!$A$2:$O$2,0)),"")</f>
        <v/>
      </c>
      <c r="DS45" s="280" t="str">
        <f t="array" ref="DS45">_xlfn.IFNA(INDEX('DMR 001C NEW'!$A$3:$O$999,MATCH(('001-C DMR'!$DK$6&amp;'001-C DMR'!DS$10&amp;'001-C DMR'!$B45),('DMR 001C NEW'!$E$3:$E$1112&amp;'DMR 001C NEW'!$B$3:$B$1112&amp;'DMR 001C NEW'!$A$3:$A$1112),0),MATCH('001-C DMR'!$DR$11,'DMR 001C NEW'!$A$2:$O$2,0)),"")</f>
        <v/>
      </c>
      <c r="DT45" s="280" t="str">
        <f t="array" ref="DT45">_xlfn.IFNA(INDEX('DMR 001C NEW'!$A$3:$O$999,MATCH(('001-C DMR'!$DK$6&amp;'001-C DMR'!DT$10&amp;'001-C DMR'!$B45),('DMR 001C NEW'!$E$3:$E$1112&amp;'DMR 001C NEW'!$B$3:$B$1112&amp;'DMR 001C NEW'!$A$3:$A$1112),0),MATCH('001-C DMR'!$DR$11,'DMR 001C NEW'!$A$2:$O$2,0)),"")</f>
        <v/>
      </c>
      <c r="DU45" s="280" t="str">
        <f t="array" ref="DU45">_xlfn.IFNA(INDEX('DMR 001C NEW'!$A$3:$O$999,MATCH(('001-C DMR'!$DK$6&amp;'001-C DMR'!DU$10&amp;'001-C DMR'!$B45),('DMR 001C NEW'!$E$3:$E$1112&amp;'DMR 001C NEW'!$B$3:$B$1112&amp;'DMR 001C NEW'!$A$3:$A$1112),0),MATCH('001-C DMR'!$DR$11,'DMR 001C NEW'!$A$2:$O$2,0)),"")</f>
        <v/>
      </c>
      <c r="DV45" s="280" t="str">
        <f t="array" ref="DV45">_xlfn.IFNA(INDEX('DMR 001C NEW'!$A$3:$O$999,MATCH(('001-C DMR'!$DK$6&amp;'001-C DMR'!DV$10&amp;'001-C DMR'!$B45),('DMR 001C NEW'!$E$3:$E$1112&amp;'DMR 001C NEW'!$B$3:$B$1112&amp;'DMR 001C NEW'!$A$3:$A$1112),0),MATCH('001-C DMR'!$DR$11,'DMR 001C NEW'!$A$2:$O$2,0)),"")</f>
        <v/>
      </c>
      <c r="DW45" s="280" t="str">
        <f t="array" ref="DW45">_xlfn.IFNA(INDEX('DMR 001C NEW'!$A$3:$O$999,MATCH(('001-C DMR'!$DK$6&amp;'001-C DMR'!DW$10&amp;'001-C DMR'!$B45),('DMR 001C NEW'!$E$3:$E$1112&amp;'DMR 001C NEW'!$B$3:$B$1112&amp;'DMR 001C NEW'!$A$3:$A$1112),0),MATCH('001-C DMR'!$DR$11,'DMR 001C NEW'!$A$2:$O$2,0)),"")</f>
        <v/>
      </c>
      <c r="DX45" s="280" t="str">
        <f t="array" ref="DX45">_xlfn.IFNA(INDEX('DMR 001C NEW'!$A$3:$O$999,MATCH(('001-C DMR'!$DK$6&amp;'001-C DMR'!DX$10&amp;'001-C DMR'!$B45),('DMR 001C NEW'!$E$3:$E$1112&amp;'DMR 001C NEW'!$B$3:$B$1112&amp;'DMR 001C NEW'!$A$3:$A$1112),0),MATCH('001-C DMR'!$DR$11,'DMR 001C NEW'!$A$2:$O$2,0)),"")</f>
        <v/>
      </c>
      <c r="DY45" s="61" t="str">
        <f t="shared" si="28"/>
        <v/>
      </c>
      <c r="DZ45" s="249" t="str">
        <f t="array" ref="DZ45">_xlfn.IFNA((INDEX('DMR 001C NEW'!$A$3:$O$9999,MATCH(('001-C DMR'!$DY$6&amp;'001-C DMR'!$DY$10&amp;'001-C DMR'!$B45),('DMR 001C NEW'!$E$3:$E$9018&amp;'DMR 001C NEW'!$B$3:$B$9018&amp;'DMR 001C NEW'!$A$3:$A$9018),0),MATCH('001-C DMR'!$DZ$11,'DMR 001C NEW'!$A$2:$O$2,0))),"")</f>
        <v/>
      </c>
      <c r="EA45" s="249" t="str">
        <f t="array" ref="EA45">_xlfn.IFNA((INDEX('DMR 001C NEW'!$A$3:$O$9999,MATCH(('001-C DMR'!$DY$6&amp;'001-C DMR'!$DY$10&amp;'001-C DMR'!$B45),('DMR 001C NEW'!$E$3:$E$9018&amp;'DMR 001C NEW'!$B$3:$B$9018&amp;'DMR 001C NEW'!$A$3:$A$9018),0),MATCH('001-C DMR'!$EA$11,'DMR 001C NEW'!$A$2:$O$2,0))),"")</f>
        <v/>
      </c>
      <c r="EB45" s="249" t="str">
        <f t="array" ref="EB45">IF(EA45="SCRATCHED","",IF(EA45&lt;DZ45,0,EA45))</f>
        <v/>
      </c>
      <c r="EC45" s="249" t="str">
        <f t="shared" si="29"/>
        <v/>
      </c>
      <c r="ED45" s="249" t="str">
        <f t="array" ref="ED45">_xlfn.IFNA((INDEX('DMR 001C NEW'!$A$3:$O$9999,MATCH(('001-C DMR'!$DY$6&amp;'001-C DMR'!$EC$10&amp;'001-C DMR'!$B45),('DMR 001C NEW'!$E$3:$E$9018&amp;'DMR 001C NEW'!$B$3:$B$9018&amp;'DMR 001C NEW'!$A$3:$A$9018),0),MATCH('001-C DMR'!$DZ$11,'DMR 001C NEW'!$A$2:$O$2,0))),"")</f>
        <v/>
      </c>
      <c r="EE45" s="249" t="str">
        <f t="array" ref="EE45">_xlfn.IFNA((INDEX('DMR 001C NEW'!$A$3:$O$9999,MATCH(('001-C DMR'!$DY$6&amp;'001-C DMR'!$EC$10&amp;'001-C DMR'!$B45),('DMR 001C NEW'!$E$3:$E$9018&amp;'DMR 001C NEW'!$B$3:$B$9018&amp;'DMR 001C NEW'!$A$3:$A$9018),0),MATCH('001-C DMR'!$EE$11,'DMR 001C NEW'!$A$2:$O$2,0))),"")</f>
        <v/>
      </c>
      <c r="EF45" s="249" t="str">
        <f t="array" ref="EF45">IF(EE45="SCRATCHED","",IF(EE45&lt;ED45,0,EE45))</f>
        <v/>
      </c>
      <c r="EH45" s="29"/>
      <c r="EI45" s="194">
        <f t="array" ref="EI45">_xlfn.IFNA(INDEX('DMR Flows-Effluent'!$A$3:$F$186,MATCH(($EI$10&amp;$B45),('DMR Flows-Effluent'!$B$3:$B$186&amp;'DMR Flows-Effluent'!$A$3:$A$186),0),MATCH($EI$8,'DMR Flows-Effluent'!$A$2:$F$2,0)),"")</f>
        <v>34.502099999999999</v>
      </c>
      <c r="EJ45" s="56">
        <f t="array" ref="EJ45">_xlfn.IFNA(INDEX('DMR Flows-Effluent'!$A$3:$F$186,MATCH(($EJ$10&amp;$B45),('DMR Flows-Effluent'!$B$3:$B$186&amp;'DMR Flows-Effluent'!$A$3:$A$186),0),MATCH($EI$8,'DMR Flows-Effluent'!$A$2:$F$2,0)),"")</f>
        <v>80.421800000000005</v>
      </c>
      <c r="EK45" s="168">
        <f t="shared" si="19"/>
        <v>114.9239</v>
      </c>
      <c r="EP45" s="38"/>
      <c r="EQ45" s="157">
        <f>'E.Coli Calculations'!R39</f>
        <v>117.5134255619448</v>
      </c>
      <c r="ER45" s="56" t="str">
        <f>'E.Coli Calculations'!S39</f>
        <v/>
      </c>
      <c r="ES45" s="64" t="str">
        <f t="shared" si="36"/>
        <v/>
      </c>
      <c r="ET45" s="38"/>
      <c r="EU45" s="58" t="str">
        <f t="array" ref="EU45">_xlfn.IFNA((INDEX('DMR 001C NEW'!$A$3:$O$9999,MATCH(('001-C DMR'!$ET$6&amp;'001-C DMR'!$ET$10&amp;'001-C DMR'!$B45),('DMR 001C NEW'!$E$3:$E$9018&amp;'DMR 001C NEW'!$B$3:$B$9018&amp;'DMR 001C NEW'!$A$3:$A$9018),0),MATCH('001-C DMR'!$EU$11,'DMR 001C NEW'!$A$2:$O$2,0))),"")</f>
        <v/>
      </c>
      <c r="EV45" s="58" t="str">
        <f t="array" ref="EV45">_xlfn.IFNA(INDEX('DMR 001C NEW'!$A$3:$O$9999,MATCH(('001-C DMR'!$ET$6&amp;'001-C DMR'!$ET$10&amp;'001-C DMR'!$B45),('DMR 001C NEW'!$E$3:$E$9018&amp;'DMR 001C NEW'!$B$3:$B$9018&amp;'DMR 001C NEW'!$A$3:$A$9018),0),MATCH('001-C DMR'!$EV$11,'DMR 001C NEW'!$A$2:$O$2,0)),"")</f>
        <v/>
      </c>
      <c r="EW45" s="56" t="str">
        <f t="shared" si="21"/>
        <v/>
      </c>
      <c r="EX45" s="29"/>
      <c r="EY45" s="279" t="str">
        <f t="array" ref="EY45">_xlfn.IFNA(INDEX('DMR 001C NEW'!$A$3:$O$999,MATCH(('001-C DMR'!$ET$6&amp;'001-C DMR'!EY$10&amp;'001-C DMR'!$B45),('DMR 001C NEW'!$E$3:$E$1112&amp;'DMR 001C NEW'!$B$3:$B$1112&amp;'DMR 001C NEW'!$A$3:$A$1112),0),MATCH('001-C DMR'!$EY$11,'DMR 001C NEW'!$A$2:$O$2,0)),"")</f>
        <v/>
      </c>
      <c r="EZ45" s="280" t="str">
        <f t="array" ref="EZ45">_xlfn.IFNA(INDEX('DMR 001C NEW'!$A$3:$O$999,MATCH(('001-C DMR'!$ET$6&amp;'001-C DMR'!EZ$10&amp;'001-C DMR'!$B45),('DMR 001C NEW'!$E$3:$E$1112&amp;'DMR 001C NEW'!$B$3:$B$1112&amp;'DMR 001C NEW'!$A$3:$A$1112),0),MATCH('001-C DMR'!$EY$11,'DMR 001C NEW'!$A$2:$O$2,0)),"")</f>
        <v/>
      </c>
      <c r="FA45" s="280" t="str">
        <f t="array" ref="FA45">_xlfn.IFNA(INDEX('DMR 001C NEW'!$A$3:$O$999,MATCH(('001-C DMR'!$ET$6&amp;'001-C DMR'!FA$10&amp;'001-C DMR'!$B45),('DMR 001C NEW'!$E$3:$E$1112&amp;'DMR 001C NEW'!$B$3:$B$1112&amp;'DMR 001C NEW'!$A$3:$A$1112),0),MATCH('001-C DMR'!$EY$11,'DMR 001C NEW'!$A$2:$O$2,0)),"")</f>
        <v/>
      </c>
      <c r="FB45" s="280" t="str">
        <f t="array" ref="FB45">_xlfn.IFNA(INDEX('DMR 001C NEW'!$A$3:$O$999,MATCH(('001-C DMR'!$ET$6&amp;'001-C DMR'!FB$10&amp;'001-C DMR'!$B45),('DMR 001C NEW'!$E$3:$E$1112&amp;'DMR 001C NEW'!$B$3:$B$1112&amp;'DMR 001C NEW'!$A$3:$A$1112),0),MATCH('001-C DMR'!$EY$11,'DMR 001C NEW'!$A$2:$O$2,0)),"")</f>
        <v/>
      </c>
      <c r="FC45" s="280" t="str">
        <f t="array" ref="FC45">_xlfn.IFNA(INDEX('DMR 001C NEW'!$A$3:$O$999,MATCH(('001-C DMR'!$ET$6&amp;'001-C DMR'!FC$10&amp;'001-C DMR'!$B45),('DMR 001C NEW'!$E$3:$E$1112&amp;'DMR 001C NEW'!$B$3:$B$1112&amp;'DMR 001C NEW'!$A$3:$A$1112),0),MATCH('001-C DMR'!$EY$11,'DMR 001C NEW'!$A$2:$O$2,0)),"")</f>
        <v/>
      </c>
      <c r="FD45" s="280" t="str">
        <f t="array" ref="FD45">_xlfn.IFNA(INDEX('DMR 001C NEW'!$A$3:$O$999,MATCH(('001-C DMR'!$ET$6&amp;'001-C DMR'!FD$10&amp;'001-C DMR'!$B45),('DMR 001C NEW'!$E$3:$E$1112&amp;'DMR 001C NEW'!$B$3:$B$1112&amp;'DMR 001C NEW'!$A$3:$A$1112),0),MATCH('001-C DMR'!$EY$11,'DMR 001C NEW'!$A$2:$O$2,0)),"")</f>
        <v/>
      </c>
      <c r="FE45" s="281" t="str">
        <f t="array" ref="FE45">_xlfn.IFNA(INDEX('DMR 001C NEW'!$A$3:$O$999,MATCH(('001-C DMR'!$ET$6&amp;'001-C DMR'!FE$10&amp;'001-C DMR'!$B45),('DMR 001C NEW'!$E$3:$E$1112&amp;'DMR 001C NEW'!$B$3:$B$1112&amp;'DMR 001C NEW'!$A$3:$A$1112),0),MATCH('001-C DMR'!$EY$11,'DMR 001C NEW'!$A$2:$O$2,0)),"")</f>
        <v/>
      </c>
      <c r="FG45" s="56">
        <f t="array" ref="FG45">_xlfn.IFNA(INDEX('DMR 001C NEW'!$A$3:$O$9999,MATCH(('001-C DMR'!$FF$6&amp;'001-C DMR'!$FF$10&amp;'001-C DMR'!$B45),('DMR 001C NEW'!$E$3:$E$7246&amp;'DMR 001C NEW'!$B$3:$B$7246&amp;'DMR 001C NEW'!$A$3:$A$7246),0),MATCH('001-C DMR'!$FG$11,'DMR 001C NEW'!$A$2:$O$2,0)),"")</f>
        <v>0</v>
      </c>
      <c r="FH45" s="56">
        <f t="array" ref="FH45">_xlfn.IFNA(INDEX('DMR 001C NEW'!$A$3:$O$9999,MATCH(('001-C DMR'!$FF$6&amp;'001-C DMR'!$FF$10&amp;'001-C DMR'!$B45),('DMR 001C NEW'!$E$3:$E$7246&amp;'DMR 001C NEW'!$B$3:$B$7246&amp;'DMR 001C NEW'!$A$3:$A$7246),0),MATCH('001-C DMR'!$FH$11,'DMR 001C NEW'!$A$2:$O$2,0)),"")</f>
        <v>4</v>
      </c>
      <c r="FJ45" s="56">
        <f t="array" ref="FJ45">_xlfn.IFNA(INDEX('DMR 001C NEW'!$A$3:$O$9999,MATCH(('001-C DMR'!$FF$6&amp;'001-C DMR'!$FI$10&amp;'001-C DMR'!$B45),('DMR 001C NEW'!$E$3:$E$7246&amp;'DMR 001C NEW'!$B$3:$B$7246&amp;'DMR 001C NEW'!$A$3:$A$7246),0),MATCH('001-C DMR'!$FG$11,'DMR 001C NEW'!$A$2:$O$2,0)),"")</f>
        <v>0</v>
      </c>
      <c r="FK45" s="56">
        <f t="array" ref="FK45">_xlfn.IFNA(INDEX('DMR 001C NEW'!$A$3:$O$9999,MATCH(('001-C DMR'!$FF$6&amp;'001-C DMR'!$FI$10&amp;'001-C DMR'!$B45),('DMR 001C NEW'!$E$3:$E$7246&amp;'DMR 001C NEW'!$B$3:$B$7246&amp;'DMR 001C NEW'!$A$3:$A$7246),0),MATCH('001-C DMR'!$FH$11,'DMR 001C NEW'!$A$2:$O$2,0)),"")</f>
        <v>5</v>
      </c>
      <c r="FL45" s="56">
        <f t="array" ref="FL45">IFERROR((($FH45*$EI45)+($FK45*$EJ45))/($EK45),"")</f>
        <v>4.6997830738427782</v>
      </c>
      <c r="FM45" s="56" t="str">
        <f t="shared" si="43"/>
        <v/>
      </c>
      <c r="FN45" s="64" t="str">
        <f t="shared" si="37"/>
        <v/>
      </c>
      <c r="FO45" s="41"/>
      <c r="FP45" s="280" t="str">
        <f t="array" ref="FP45">_xlfn.IFNA(INDEX('DMR 001C NEW'!$A$3:$O$999,MATCH(('001-C DMR'!$FF$6&amp;'001-C DMR'!FP$10&amp;'001-C DMR'!$B45),('DMR 001C NEW'!$E$3:$E$1112&amp;'DMR 001C NEW'!$B$3:$B$1112&amp;'DMR 001C NEW'!$A$3:$A$1112),0),MATCH('001-C DMR'!$FH$11,'DMR 001C NEW'!$A$2:$O$2,0)),"")</f>
        <v/>
      </c>
      <c r="FQ45" s="280" t="str">
        <f t="array" ref="FQ45">_xlfn.IFNA(INDEX('DMR 001C NEW'!$A$3:$O$999,MATCH(('001-C DMR'!$FF$6&amp;'001-C DMR'!FQ$10&amp;'001-C DMR'!$B45),('DMR 001C NEW'!$E$3:$E$1112&amp;'DMR 001C NEW'!$B$3:$B$1112&amp;'DMR 001C NEW'!$A$3:$A$1112),0),MATCH('001-C DMR'!$FH$11,'DMR 001C NEW'!$A$2:$O$2,0)),"")</f>
        <v/>
      </c>
      <c r="FR45" s="280" t="str">
        <f t="array" ref="FR45">_xlfn.IFNA(INDEX('DMR 001C NEW'!$A$3:$O$999,MATCH(('001-C DMR'!$FF$6&amp;'001-C DMR'!FR$10&amp;'001-C DMR'!$B45),('DMR 001C NEW'!$E$3:$E$1112&amp;'DMR 001C NEW'!$B$3:$B$1112&amp;'DMR 001C NEW'!$A$3:$A$1112),0),MATCH('001-C DMR'!$FH$11,'DMR 001C NEW'!$A$2:$O$2,0)),"")</f>
        <v/>
      </c>
      <c r="FS45" s="280" t="str">
        <f t="array" ref="FS45">_xlfn.IFNA(INDEX('DMR 001C NEW'!$A$3:$O$999,MATCH(('001-C DMR'!$FF$6&amp;'001-C DMR'!FS$10&amp;'001-C DMR'!$B45),('DMR 001C NEW'!$E$3:$E$1112&amp;'DMR 001C NEW'!$B$3:$B$1112&amp;'DMR 001C NEW'!$A$3:$A$1112),0),MATCH('001-C DMR'!$FH$11,'DMR 001C NEW'!$A$2:$O$2,0)),"")</f>
        <v/>
      </c>
      <c r="FT45" s="280" t="str">
        <f t="array" ref="FT45">_xlfn.IFNA(INDEX('DMR 001C NEW'!$A$3:$O$999,MATCH(('001-C DMR'!$FF$6&amp;'001-C DMR'!FT$10&amp;'001-C DMR'!$B45),('DMR 001C NEW'!$E$3:$E$1112&amp;'DMR 001C NEW'!$B$3:$B$1112&amp;'DMR 001C NEW'!$A$3:$A$1112),0),MATCH('001-C DMR'!$FH$11,'DMR 001C NEW'!$A$2:$O$2,0)),"")</f>
        <v/>
      </c>
      <c r="FU45" s="280" t="str">
        <f t="array" ref="FU45">_xlfn.IFNA(INDEX('DMR 001C NEW'!$A$3:$O$999,MATCH(('001-C DMR'!$FF$6&amp;'001-C DMR'!FU$10&amp;'001-C DMR'!$B45),('DMR 001C NEW'!$E$3:$E$1112&amp;'DMR 001C NEW'!$B$3:$B$1112&amp;'DMR 001C NEW'!$A$3:$A$1112),0),MATCH('001-C DMR'!$FH$11,'DMR 001C NEW'!$A$2:$O$2,0)),"")</f>
        <v/>
      </c>
      <c r="FV45" s="41"/>
      <c r="FW45" s="38"/>
      <c r="FX45" s="58" t="str">
        <f t="array" ref="FX45">_xlfn.IFNA(INDEX('DMR 001C NEW'!$A$3:$O$9999,MATCH(('001-C DMR'!$FW$6&amp;'001-C DMR'!$FW$10&amp;'001-C DMR'!$B45),('DMR 001C NEW'!$E$3:$E$7246&amp;'DMR 001C NEW'!$B$3:$B$7246&amp;'DMR 001C NEW'!$A$3:$A$7246),0),MATCH('001-C DMR'!$FX$11,'DMR 001C NEW'!$A$2:$O$2,0)),"")</f>
        <v/>
      </c>
      <c r="FY45" s="58" t="str">
        <f t="array" ref="FY45">_xlfn.IFNA(INDEX('DMR 001C NEW'!$A$3:$O$9999,MATCH(('001-C DMR'!$FW$6&amp;'001-C DMR'!$FW$10&amp;'001-C DMR'!$B45),('DMR 001C NEW'!$E$3:$E$7246&amp;'DMR 001C NEW'!$B$3:$B$7246&amp;'DMR 001C NEW'!$A$3:$A$7246),0),MATCH('001-C DMR'!$FY$11,'DMR 001C NEW'!$A$2:$O$2,0)),"")</f>
        <v/>
      </c>
      <c r="GA45" s="58" t="str">
        <f t="array" ref="GA45">_xlfn.IFNA(INDEX('DMR 001C NEW'!$A$3:$O$9999,MATCH(('001-C DMR'!$FW$6&amp;'001-C DMR'!$FZ$10&amp;'001-C DMR'!$B45),('DMR 001C NEW'!$E$3:$E$7246&amp;'DMR 001C NEW'!$B$3:$B$7246&amp;'DMR 001C NEW'!$A$3:$A$7246),0),MATCH('001-C DMR'!$FX$11,'DMR 001C NEW'!$A$2:$O$2,0)),"")</f>
        <v/>
      </c>
      <c r="GB45" s="58" t="str">
        <f t="array" ref="GB45">_xlfn.IFNA(INDEX('DMR 001C NEW'!$A$3:$O$9999,MATCH(('001-C DMR'!$FW$6&amp;'001-C DMR'!$FZ$10&amp;'001-C DMR'!$B45),('DMR 001C NEW'!$E$3:$E$7246&amp;'DMR 001C NEW'!$B$3:$B$7246&amp;'DMR 001C NEW'!$A$3:$A$7246),0),MATCH('001-C DMR'!$GB$11,'DMR 001C NEW'!$A$2:$O$2,0)),"")</f>
        <v/>
      </c>
      <c r="GC45" s="56" t="str">
        <f t="shared" si="4"/>
        <v/>
      </c>
      <c r="GD45" s="64" t="str">
        <f t="shared" si="38"/>
        <v/>
      </c>
      <c r="GE45" s="279" t="str">
        <f t="array" ref="GE45">_xlfn.IFNA(INDEX('DMR 001C NEW'!$A$3:$O$999,MATCH(('001-C DMR'!$FW$6&amp;'001-C DMR'!GE$10&amp;'001-C DMR'!$B45),('DMR 001C NEW'!$E$3:$E$1112&amp;'DMR 001C NEW'!$B$3:$B$1112&amp;'DMR 001C NEW'!$A$3:$A$1112),0),MATCH('001-C DMR'!$FY$11,'DMR 001C NEW'!$A$2:$O$2,0)),"")</f>
        <v/>
      </c>
      <c r="GF45" s="280" t="str">
        <f t="array" ref="GF45">_xlfn.IFNA(INDEX('DMR 001C NEW'!$A$3:$O$999,MATCH(('001-C DMR'!$FW$6&amp;'001-C DMR'!GF$10&amp;'001-C DMR'!$B45),('DMR 001C NEW'!$E$3:$E$1112&amp;'DMR 001C NEW'!$B$3:$B$1112&amp;'DMR 001C NEW'!$A$3:$A$1112),0),MATCH('001-C DMR'!$FY$11,'DMR 001C NEW'!$A$2:$O$2,0)),"")</f>
        <v/>
      </c>
      <c r="GG45" s="280" t="str">
        <f t="array" ref="GG45">_xlfn.IFNA(INDEX('DMR 001C NEW'!$A$3:$O$999,MATCH(('001-C DMR'!$FW$6&amp;'001-C DMR'!GG$10&amp;'001-C DMR'!$B45),('DMR 001C NEW'!$E$3:$E$1112&amp;'DMR 001C NEW'!$B$3:$B$1112&amp;'DMR 001C NEW'!$A$3:$A$1112),0),MATCH('001-C DMR'!$FY$11,'DMR 001C NEW'!$A$2:$O$2,0)),"")</f>
        <v/>
      </c>
      <c r="GH45" s="280" t="str">
        <f t="array" ref="GH45">_xlfn.IFNA(INDEX('DMR 001C NEW'!$A$3:$O$999,MATCH(('001-C DMR'!$FW$6&amp;'001-C DMR'!GH$10&amp;'001-C DMR'!$B45),('DMR 001C NEW'!$E$3:$E$1112&amp;'DMR 001C NEW'!$B$3:$B$1112&amp;'DMR 001C NEW'!$A$3:$A$1112),0),MATCH('001-C DMR'!$FY$11,'DMR 001C NEW'!$A$2:$O$2,0)),"")</f>
        <v/>
      </c>
      <c r="GI45" s="280" t="str">
        <f t="array" ref="GI45">_xlfn.IFNA(INDEX('DMR 001C NEW'!$A$3:$O$999,MATCH(('001-C DMR'!$FW$6&amp;'001-C DMR'!GI$10&amp;'001-C DMR'!$B45),('DMR 001C NEW'!$E$3:$E$1112&amp;'DMR 001C NEW'!$B$3:$B$1112&amp;'DMR 001C NEW'!$A$3:$A$1112),0),MATCH('001-C DMR'!$FY$11,'DMR 001C NEW'!$A$2:$O$2,0)),"")</f>
        <v/>
      </c>
      <c r="GJ45" s="281" t="str">
        <f t="array" ref="GJ45">_xlfn.IFNA(INDEX('DMR 001C NEW'!$A$3:$O$999,MATCH(('001-C DMR'!$FW$6&amp;'001-C DMR'!GJ$10&amp;'001-C DMR'!$B45),('DMR 001C NEW'!$E$3:$E$1112&amp;'DMR 001C NEW'!$B$3:$B$1112&amp;'DMR 001C NEW'!$A$3:$A$1112),0),MATCH('001-C DMR'!$FY$11,'DMR 001C NEW'!$A$2:$O$2,0)),"")</f>
        <v/>
      </c>
      <c r="GK45" s="58" t="str">
        <f t="array" ref="GK45">_xlfn.IFNA(INDEX('DMR 001C NEW'!$A$3:$O$9999,MATCH(('001-C DMR'!$GK$6&amp;'001-C DMR'!$GK$10&amp;'001-C DMR'!$B45),('DMR 001C NEW'!$E$3:$E$9018&amp;'DMR 001C NEW'!$B$3:$B$9018&amp;'DMR 001C NEW'!$A$3:$A$9018),0),MATCH('001-C DMR'!$GK$11,'DMR 001C NEW'!$A$2:$O$2,0)),"")</f>
        <v>n</v>
      </c>
      <c r="GL45" s="58" t="str">
        <f t="array" ref="GL45">_xlfn.IFNA(INDEX('DMR 001C NEW'!$A$3:$O$9999,MATCH(('001-C DMR'!$GK$6&amp;'001-C DMR'!$GL$10&amp;'001-C DMR'!$B45),('DMR 001C NEW'!$E$3:$E$9018&amp;'DMR 001C NEW'!$B$3:$B$9018&amp;'DMR 001C NEW'!$A$3:$A$9018),0),MATCH('001-C DMR'!$GK$11,'DMR 001C NEW'!$A$2:$O$2,0)),"")</f>
        <v>n</v>
      </c>
      <c r="GN45" s="64" t="str">
        <f t="shared" si="44"/>
        <v/>
      </c>
    </row>
    <row r="46" spans="1:196" x14ac:dyDescent="0.25">
      <c r="A46" s="67" t="str">
        <f t="shared" si="5"/>
        <v>Sat</v>
      </c>
      <c r="B46" s="216">
        <f t="shared" si="26"/>
        <v>43708</v>
      </c>
      <c r="C46" s="93">
        <f t="array" ref="C46">INDEX('DMR 001C NEW'!$A$3:$N$10020,MATCH(('001-C DMR'!$C$6:$K$6&amp;'001-C DMR'!$C$10:$E$10&amp;'001-C DMR'!$B46),('DMR 001C NEW'!$E$3:$E$7246&amp;'DMR 001C NEW'!$B$3:$B$7246&amp;'DMR 001C NEW'!$A$3:$A$7246),0),MATCH('001-C DMR'!$C$11,'DMR 001C NEW'!$A$2:$O$2,0))</f>
        <v>5.9</v>
      </c>
      <c r="D46" s="56" t="str">
        <f t="array" ref="D46">INDEX('DMR 001C NEW'!$A$3:$N$11771,MATCH(('001-C DMR'!$C$6:$K$6&amp;'001-C DMR'!$C$10:$E$10&amp;'001-C DMR'!$B46),('DMR 001C NEW'!$E$3:$E$9018&amp;'DMR 001C NEW'!$B$3:$B$9018&amp;'DMR 001C NEW'!$A$3:$A$9018),0),MATCH('001-C DMR'!$D$11,'DMR 001C NEW'!$A$2:$O$2,0))</f>
        <v>AE71030</v>
      </c>
      <c r="E46" s="56">
        <f t="array" ref="E46">INDEX('DMR 001C NEW'!$A$3:$N$9999,MATCH(('001-C DMR'!$E$11&amp;'001-C DMR'!$C$10:$E$10&amp;'001-C DMR'!$B46&amp;$D46),('DMR 001C NEW'!$E$3:$E$7246&amp;'DMR 001C NEW'!$B$3:$B$7246&amp;'DMR 001C NEW'!$A$3:$A$7246&amp;'DMR 001C NEW'!$M$3:$M$7188),0),MATCH($C$11,'DMR 001C NEW'!$A$2:$O$2,0))</f>
        <v>21.13</v>
      </c>
      <c r="F46" s="56">
        <f t="array" ref="F46">INDEX('DMR 001C NEW'!$A$3:$N$9999,MATCH('001-C DMR'!$C$6:$K$6&amp;'001-C DMR'!$F$10&amp;'001-C DMR'!$B46,('DMR 001C NEW'!$E$3:$E$7246&amp;'DMR 001C NEW'!$B$3:$B$7246&amp;'DMR 001C NEW'!$A$3:$A$7246),0),MATCH('001-C DMR'!$C$11,'DMR 001C NEW'!$A$2:$O$2,0))</f>
        <v>6.7</v>
      </c>
      <c r="G46" s="56" t="str">
        <f t="array" ref="G46">INDEX('DMR 001C NEW'!$A$3:$N$3865,MATCH(('001-C DMR'!$C$6:$K$6&amp;'001-C DMR'!$F$10&amp;'001-C DMR'!$B46),('DMR 001C NEW'!$E$3:$E$1112&amp;'DMR 001C NEW'!$B$3:$B$1112&amp;'DMR 001C NEW'!$A$3:$A$1112),0),MATCH('001-C DMR'!$D$11,'DMR 001C NEW'!$A$2:$O$2,0))</f>
        <v>AE71031</v>
      </c>
      <c r="H46" s="56">
        <f t="array" ref="H46">INDEX('DMR 001C NEW'!$A$3:$N$9999,MATCH(('001-C DMR'!$E$11&amp;'001-C DMR'!$F$10&amp;'001-C DMR'!$B46&amp;$G46),('DMR 001C NEW'!$E$3:$E$7246&amp;'DMR 001C NEW'!$B$3:$B$7246&amp;'DMR 001C NEW'!$A$3:$A$7246&amp;'DMR 001C NEW'!$M$3:$M$7188),0),MATCH($C$11,'DMR 001C NEW'!$A$2:$O$2,0))</f>
        <v>48.68</v>
      </c>
      <c r="I46" s="56">
        <f t="shared" si="0"/>
        <v>6.4578570405386042</v>
      </c>
      <c r="J46" s="58">
        <f t="shared" si="39"/>
        <v>6.3296749270711432</v>
      </c>
      <c r="K46" s="64">
        <f t="shared" si="40"/>
        <v>7</v>
      </c>
      <c r="L46" s="262" t="str">
        <f t="array" ref="L46">_xlfn.IFNA(INDEX('DMR 001C NEW'!$A$3:$N$3865,MATCH(('001-C DMR'!$C$6:$K$6&amp;'001-C DMR'!L$10&amp;'001-C DMR'!$B46),('DMR 001C NEW'!$E$3:$E$1112&amp;'DMR 001C NEW'!$B$3:$B$1112&amp;'DMR 001C NEW'!$A$3:$A$1112),0),MATCH('001-C DMR'!$C$11,'DMR 001C NEW'!$A$2:$O$2,0)),"")</f>
        <v/>
      </c>
      <c r="M46" s="262" t="str">
        <f t="array" ref="M46">_xlfn.IFNA(INDEX('DMR 001C NEW'!$A$3:$N$3865,MATCH(('001-C DMR'!$C$6:$K$6&amp;'001-C DMR'!M$10&amp;'001-C DMR'!$B46),('DMR 001C NEW'!$E$3:$E$1112&amp;'DMR 001C NEW'!$B$3:$B$1112&amp;'DMR 001C NEW'!$A$3:$A$1112),0),MATCH('001-C DMR'!$C$11,'DMR 001C NEW'!$A$2:$O$2,0)),"")</f>
        <v/>
      </c>
      <c r="N46" s="262" t="str">
        <f t="array" ref="N46">_xlfn.IFNA(INDEX('DMR 001C NEW'!$A$3:$N$3865,MATCH(('001-C DMR'!$C$6:$K$6&amp;'001-C DMR'!N$10&amp;'001-C DMR'!$B46),('DMR 001C NEW'!$E$3:$E$1112&amp;'DMR 001C NEW'!$B$3:$B$1112&amp;'DMR 001C NEW'!$A$3:$A$1112),0),MATCH('001-C DMR'!$C$11,'DMR 001C NEW'!$A$2:$O$2,0)),"")</f>
        <v/>
      </c>
      <c r="O46" s="262" t="str">
        <f t="array" ref="O46">_xlfn.IFNA(INDEX('DMR 001C NEW'!$A$3:$N$3865,MATCH(('001-C DMR'!$C$6:$K$6&amp;'001-C DMR'!O$10&amp;'001-C DMR'!$B46),('DMR 001C NEW'!$E$3:$E$1112&amp;'DMR 001C NEW'!$B$3:$B$1112&amp;'DMR 001C NEW'!$A$3:$A$1112),0),MATCH('001-C DMR'!$C$11,'DMR 001C NEW'!$A$2:$O$2,0)),"")</f>
        <v/>
      </c>
      <c r="P46" s="262" t="str">
        <f t="array" ref="P46">_xlfn.IFNA(INDEX('DMR 001C NEW'!$A$3:$N$3865,MATCH(('001-C DMR'!$C$6:$K$6&amp;'001-C DMR'!P$10&amp;'001-C DMR'!$B46),('DMR 001C NEW'!$E$3:$E$1112&amp;'DMR 001C NEW'!$B$3:$B$1112&amp;'DMR 001C NEW'!$A$3:$A$1112),0),MATCH('001-C DMR'!$C$11,'DMR 001C NEW'!$A$2:$O$2,0)),"")</f>
        <v/>
      </c>
      <c r="R46" s="38"/>
      <c r="S46" s="56">
        <f t="array" ref="S46">_xlfn.IFNA(INDEX('DMR 001C NEW'!$A$3:$N$11771,MATCH(('001-C DMR'!$R$6:$T$6&amp;'001-C DMR'!$R$10&amp;'001-C DMR'!$B46),('DMR 001C NEW'!$E$3:$E$9018&amp;'DMR 001C NEW'!$B$3:$B$9018&amp;'DMR 001C NEW'!$A$3:$A$9018),0),MATCH('001-C DMR'!$S$11,'DMR 001C NEW'!$A$2:$O$2,0)),"")</f>
        <v>7.1</v>
      </c>
      <c r="T46" s="64">
        <f t="shared" si="41"/>
        <v>7</v>
      </c>
      <c r="U46" s="262" t="str">
        <f t="array" ref="U46">_xlfn.IFNA(INDEX('DMR 001C NEW'!$A$3:$O$591,MATCH('001-C DMR'!$R$6:$T$6&amp;'001-C DMR'!U$10&amp;'001-C DMR'!$B46,('DMR 001C NEW'!$E$3:$E$704&amp;'DMR 001C NEW'!$B$3:$B$704&amp;'DMR 001C NEW'!$A$3:$A$704),0),MATCH('001-C DMR'!$U$11,'DMR 001C NEW'!$A$2:$O$2,0)),"")</f>
        <v/>
      </c>
      <c r="V46" s="262" t="str">
        <f t="array" ref="V46">_xlfn.IFNA(INDEX('DMR 001C NEW'!$A$3:$O$591,MATCH('001-C DMR'!$R$6:$T$6&amp;'001-C DMR'!V$10&amp;'001-C DMR'!$B46,('DMR 001C NEW'!$E$3:$E$704&amp;'DMR 001C NEW'!$B$3:$B$704&amp;'DMR 001C NEW'!$A$3:$A$704),0),MATCH('001-C DMR'!$U$11,'DMR 001C NEW'!$A$2:$O$2,0)),"")</f>
        <v/>
      </c>
      <c r="W46" s="262" t="str">
        <f t="array" ref="W46">_xlfn.IFNA(INDEX('DMR 001C NEW'!$A$3:$O$591,MATCH('001-C DMR'!$R$6:$T$6&amp;'001-C DMR'!W$10&amp;'001-C DMR'!$B46,('DMR 001C NEW'!$E$3:$E$704&amp;'DMR 001C NEW'!$B$3:$B$704&amp;'DMR 001C NEW'!$A$3:$A$704),0),MATCH('001-C DMR'!$U$11,'DMR 001C NEW'!$A$2:$O$2,0)),"")</f>
        <v/>
      </c>
      <c r="X46" s="262" t="str">
        <f t="array" ref="X46">_xlfn.IFNA(INDEX('DMR 001C NEW'!$A$3:$O$591,MATCH('001-C DMR'!$R$6:$T$6&amp;'001-C DMR'!X$10&amp;'001-C DMR'!$B46,('DMR 001C NEW'!$E$3:$E$704&amp;'DMR 001C NEW'!$B$3:$B$704&amp;'DMR 001C NEW'!$A$3:$A$704),0),MATCH('001-C DMR'!$U$11,'DMR 001C NEW'!$A$2:$O$2,0)),"")</f>
        <v/>
      </c>
      <c r="Y46" s="262" t="str">
        <f t="array" ref="Y46">_xlfn.IFNA(INDEX('DMR 001C NEW'!$A$3:$O$591,MATCH('001-C DMR'!$R$6:$T$6&amp;'001-C DMR'!Y$10&amp;'001-C DMR'!$B46,('DMR 001C NEW'!$E$3:$E$704&amp;'DMR 001C NEW'!$B$3:$B$704&amp;'DMR 001C NEW'!$A$3:$A$704),0),MATCH('001-C DMR'!$U$11,'DMR 001C NEW'!$A$2:$O$2,0)),"")</f>
        <v/>
      </c>
      <c r="Z46" s="262" t="str">
        <f t="array" ref="Z46">_xlfn.IFNA(INDEX('DMR 001C NEW'!$A$3:$O$591,MATCH('001-C DMR'!$R$6:$T$6&amp;'001-C DMR'!Z$10&amp;'001-C DMR'!$B46,('DMR 001C NEW'!$E$3:$E$704&amp;'DMR 001C NEW'!$B$3:$B$704&amp;'DMR 001C NEW'!$A$3:$A$704),0),MATCH('001-C DMR'!$U$11,'DMR 001C NEW'!$A$2:$O$2,0)),"")</f>
        <v/>
      </c>
      <c r="AA46" s="262" t="str">
        <f t="array" ref="AA46">_xlfn.IFNA(INDEX('DMR 001C NEW'!$A$3:$O$591,MATCH('001-C DMR'!$R$6:$T$6&amp;'001-C DMR'!AA$10&amp;'001-C DMR'!$B46,('DMR 001C NEW'!$E$3:$E$704&amp;'DMR 001C NEW'!$B$3:$B$704&amp;'DMR 001C NEW'!$A$3:$A$704),0),MATCH('001-C DMR'!$U$11,'DMR 001C NEW'!$A$2:$O$2,0)),"")</f>
        <v/>
      </c>
      <c r="AB46" s="61" t="str">
        <f t="array" ref="AB46">IF(AD46&lt;AC46,"&lt;","")</f>
        <v/>
      </c>
      <c r="AC46" s="56">
        <f t="array" ref="AC46">_xlfn.IFNA(INDEX('DMR 001C NEW'!$A$3:$O$9999,MATCH(('001-C DMR'!$AB$6:$AJ$6&amp;'001-C DMR'!$AB$10:$AD$10&amp;'001-C DMR'!$B46),('DMR 001C NEW'!$E$3:$E$7246&amp;'DMR 001C NEW'!$B$3:$B$7246&amp;'DMR 001C NEW'!$A$3:$A$7246),0),MATCH('001-C DMR'!$AC$11,'DMR 001C NEW'!$A$2:$O$2,0)),"")</f>
        <v>3</v>
      </c>
      <c r="AD46" s="56">
        <f t="array" ref="AD46">_xlfn.IFNA(INDEX('DMR 001C NEW'!$A$3:$O$9999,MATCH(('001-C DMR'!$AB$6:$AJ$6&amp;'001-C DMR'!$AB$10:$AD$10&amp;'001-C DMR'!$B46),('DMR 001C NEW'!$E$3:$E$7246&amp;'DMR 001C NEW'!$B$3:$B$7246&amp;'DMR 001C NEW'!$A$3:$A$7246),0),MATCH('001-C DMR'!$AD$11,'DMR 001C NEW'!$A$2:$O$2,0)),"")</f>
        <v>12</v>
      </c>
      <c r="AE46" s="57" t="str">
        <f t="array" ref="AE46">IF(AG46&lt;AF46,"&lt;","")</f>
        <v/>
      </c>
      <c r="AF46" s="56">
        <f t="array" ref="AF46">_xlfn.IFNA(INDEX('DMR 001C NEW'!$A$3:$O$9999,MATCH(('001-C DMR'!$AB$6:$AJ$6&amp;'001-C DMR'!$AE$10&amp;'001-C DMR'!$B46),('DMR 001C NEW'!$E$3:$E$9018&amp;'DMR 001C NEW'!$B$3:$B$9018&amp;'DMR 001C NEW'!$A$3:$A$9018),0),MATCH('001-C DMR'!$AF$11,'DMR 001C NEW'!$A$2:$O$2,0)),"")</f>
        <v>3</v>
      </c>
      <c r="AG46" s="56">
        <f t="array" ref="AG46">_xlfn.IFNA(INDEX('DMR 001C NEW'!$A$3:$O$9999,MATCH(('001-C DMR'!$AB$6:$AJ$6&amp;'001-C DMR'!$AE$10&amp;'001-C DMR'!$B46),('DMR 001C NEW'!$E$3:$E$9018&amp;'DMR 001C NEW'!$B$3:$B$9018&amp;'DMR 001C NEW'!$A$3:$A$9018),0),MATCH('001-C DMR'!$AG$11,'DMR 001C NEW'!$A$2:$O$2,0)),"")</f>
        <v>9</v>
      </c>
      <c r="AH46" s="56">
        <f t="array" ref="AH46">IFERROR((($AD46*$EI46)+($AG46*$EJ46))/($EK46),"")</f>
        <v>9.9849009750470366</v>
      </c>
      <c r="AI46" s="56">
        <f t="shared" si="42"/>
        <v>12.040584347062225</v>
      </c>
      <c r="AJ46" s="64">
        <f t="shared" si="30"/>
        <v>7</v>
      </c>
      <c r="AK46" s="262" t="str">
        <f t="array" ref="AK46">_xlfn.IFNA(INDEX('DMR 001C NEW'!$A$3:$O$999,MATCH(('001-C DMR'!$AB$6:$AJ$6&amp;'001-C DMR'!AK$10&amp;'001-C DMR'!$B46),('DMR 001C NEW'!$E$3:$E$1112&amp;'DMR 001C NEW'!$B$3:$B$1112&amp;'DMR 001C NEW'!$A$3:$A$1112),0),MATCH('001-C DMR'!$AD$11,'DMR 001C NEW'!$A$2:$O$2,0)),"")</f>
        <v/>
      </c>
      <c r="AL46" s="262" t="str">
        <f t="array" ref="AL46">_xlfn.IFNA(INDEX('DMR 001C NEW'!$A$3:$O$999,MATCH(('001-C DMR'!$AB$6:$AJ$6&amp;'001-C DMR'!AL$10&amp;'001-C DMR'!$B46),('DMR 001C NEW'!$E$3:$E$1112&amp;'DMR 001C NEW'!$B$3:$B$1112&amp;'DMR 001C NEW'!$A$3:$A$1112),0),MATCH('001-C DMR'!$AD$11,'DMR 001C NEW'!$A$2:$O$2,0)),"")</f>
        <v/>
      </c>
      <c r="AM46" s="262" t="str">
        <f t="array" ref="AM46">_xlfn.IFNA(INDEX('DMR 001C NEW'!$A$3:$O$999,MATCH(('001-C DMR'!$AB$6:$AJ$6&amp;'001-C DMR'!AM$10&amp;'001-C DMR'!$B46),('DMR 001C NEW'!$E$3:$E$1112&amp;'DMR 001C NEW'!$B$3:$B$1112&amp;'DMR 001C NEW'!$A$3:$A$1112),0),MATCH('001-C DMR'!$AD$11,'DMR 001C NEW'!$A$2:$O$2,0)),"")</f>
        <v/>
      </c>
      <c r="AN46" s="262" t="str">
        <f t="array" ref="AN46">_xlfn.IFNA(INDEX('DMR 001C NEW'!$A$3:$O$999,MATCH(('001-C DMR'!$AB$6:$AJ$6&amp;'001-C DMR'!AN$10&amp;'001-C DMR'!$B46),('DMR 001C NEW'!$E$3:$E$1112&amp;'DMR 001C NEW'!$B$3:$B$1112&amp;'DMR 001C NEW'!$A$3:$A$1112),0),MATCH('001-C DMR'!$AD$11,'DMR 001C NEW'!$A$2:$O$2,0)),"")</f>
        <v/>
      </c>
      <c r="AO46" s="262" t="str">
        <f t="array" ref="AO46">_xlfn.IFNA(INDEX('DMR 001C NEW'!$A$3:$O$999,MATCH(('001-C DMR'!$AB$6:$AJ$6&amp;'001-C DMR'!AO$10&amp;'001-C DMR'!$B46),('DMR 001C NEW'!$E$3:$E$1112&amp;'DMR 001C NEW'!$B$3:$B$1112&amp;'DMR 001C NEW'!$A$3:$A$1112),0),MATCH('001-C DMR'!$AD$11,'DMR 001C NEW'!$A$2:$O$2,0)),"")</f>
        <v/>
      </c>
      <c r="AP46" s="262" t="str">
        <f t="array" ref="AP46">_xlfn.IFNA(INDEX('DMR 001C NEW'!$A$3:$O$999,MATCH(('001-C DMR'!$AB$6:$AJ$6&amp;'001-C DMR'!AP$10&amp;'001-C DMR'!$B46),('DMR 001C NEW'!$E$3:$E$1112&amp;'DMR 001C NEW'!$B$3:$B$1112&amp;'DMR 001C NEW'!$A$3:$A$1112),0),MATCH('001-C DMR'!$AD$11,'DMR 001C NEW'!$A$2:$O$2,0)),"")</f>
        <v/>
      </c>
      <c r="AQ46" s="38"/>
      <c r="AR46" s="58" t="str">
        <f t="array" ref="AR46">_xlfn.IFNA((INDEX('DMR 001C NEW'!$A$3:$O$9999,MATCH(('001-C DMR'!$AQ$6:$AZ$6&amp;'001-C DMR'!$AQ$10:$AS$10&amp;'001-C DMR'!$B46),('DMR 001C NEW'!$E$3:$E$7246&amp;'DMR 001C NEW'!$B$3:$B$7246&amp;'DMR 001C NEW'!$A$3:$A$7246),0),MATCH('001-C DMR'!$AR$11,'DMR 001C NEW'!$A$2:$O$2,0))),"")</f>
        <v/>
      </c>
      <c r="AS46" s="58" t="str">
        <f t="array" ref="AS46">_xlfn.IFNA(INDEX('DMR 001C NEW'!$A$3:$O$9999,MATCH(('001-C DMR'!$AQ$6:$AZ$6&amp;'001-C DMR'!$AQ$10:$AS$10&amp;'001-C DMR'!$B46),('DMR 001C NEW'!$E$3:$E$7246&amp;'DMR 001C NEW'!$B$3:$B$7246&amp;'DMR 001C NEW'!$A$3:$A$7246),0),MATCH('001-C DMR'!$AS$11,'DMR 001C NEW'!$A$2:$O$2,0)),"")</f>
        <v/>
      </c>
      <c r="AT46" s="58" t="str">
        <f t="shared" si="27"/>
        <v/>
      </c>
      <c r="AV46" s="58" t="str">
        <f t="array" ref="AV46">_xlfn.IFNA((INDEX('DMR 001C NEW'!$A$3:$O$9999,MATCH(('001-C DMR'!$AQ$6:$AZ$6&amp;'001-C DMR'!$AU$10&amp;'001-C DMR'!$B46),('DMR 001C NEW'!$E$3:$E$7246&amp;'DMR 001C NEW'!$B$3:$B$7246&amp;'DMR 001C NEW'!$A$3:$A$7246),0),MATCH('001-C DMR'!$AR$11,'DMR 001C NEW'!$A$2:$O$2,0))),"")</f>
        <v/>
      </c>
      <c r="AW46" s="58" t="str">
        <f t="array" ref="AW46">_xlfn.IFNA(INDEX('DMR 001C NEW'!$A$3:$O$9999,MATCH(('001-C DMR'!$AQ$6:$AZ$6&amp;'001-C DMR'!$AU$10&amp;'001-C DMR'!$B46),('DMR 001C NEW'!$E$3:$E$7246&amp;'DMR 001C NEW'!$B$3:$B$7246&amp;'DMR 001C NEW'!$A$3:$A$7246),0),MATCH('001-C DMR'!$AW$11,'DMR 001C NEW'!$A$2:$O$2,0)),"")</f>
        <v/>
      </c>
      <c r="AX46" s="58" t="str">
        <f t="shared" si="6"/>
        <v/>
      </c>
      <c r="AY46" s="56" t="str">
        <f t="array" ref="AY46">IFERROR((($AT46*$EI46)+($AX46*$EJ46))/($EK46),"")</f>
        <v/>
      </c>
      <c r="AZ46" s="64">
        <f t="shared" si="31"/>
        <v>3</v>
      </c>
      <c r="BA46" s="279" t="str">
        <f t="array" ref="BA46">_xlfn.IFNA(INDEX('DMR 001C NEW'!$A$3:$O$9999,MATCH(('001-C DMR'!$AQ$6:$AZ$6&amp;'001-C DMR'!BA$10&amp;'001-C DMR'!$B46),('DMR 001C NEW'!$E$3:$E$1112&amp;'DMR 001C NEW'!$B$3:$B$1112&amp;'DMR 001C NEW'!$A$3:$A$1112),0),MATCH('001-C DMR'!$BA$11,'DMR 001C NEW'!$A$2:$O$2,0)),"")</f>
        <v/>
      </c>
      <c r="BB46" s="280" t="str">
        <f t="array" ref="BB46">_xlfn.IFNA(INDEX('DMR 001C NEW'!$A$3:$O$9999,MATCH(('001-C DMR'!$AQ$6:$AZ$6&amp;'001-C DMR'!BB$10&amp;'001-C DMR'!$B46),('DMR 001C NEW'!$E$3:$E$1112&amp;'DMR 001C NEW'!$B$3:$B$1112&amp;'DMR 001C NEW'!$A$3:$A$1112),0),MATCH('001-C DMR'!$BA$11,'DMR 001C NEW'!$A$2:$O$2,0)),"")</f>
        <v/>
      </c>
      <c r="BC46" s="280" t="str">
        <f t="array" ref="BC46">_xlfn.IFNA(INDEX('DMR 001C NEW'!$A$3:$O$9999,MATCH(('001-C DMR'!$AQ$6:$AZ$6&amp;'001-C DMR'!BC$10&amp;'001-C DMR'!$B46),('DMR 001C NEW'!$E$3:$E$1112&amp;'DMR 001C NEW'!$B$3:$B$1112&amp;'DMR 001C NEW'!$A$3:$A$1112),0),MATCH('001-C DMR'!$BA$11,'DMR 001C NEW'!$A$2:$O$2,0)),"")</f>
        <v/>
      </c>
      <c r="BD46" s="280" t="str">
        <f t="array" ref="BD46">_xlfn.IFNA(INDEX('DMR 001C NEW'!$A$3:$O$9999,MATCH(('001-C DMR'!$AQ$6:$AZ$6&amp;'001-C DMR'!BD$10&amp;'001-C DMR'!$B46),('DMR 001C NEW'!$E$3:$E$1112&amp;'DMR 001C NEW'!$B$3:$B$1112&amp;'DMR 001C NEW'!$A$3:$A$1112),0),MATCH('001-C DMR'!$BA$11,'DMR 001C NEW'!$A$2:$O$2,0)),"")</f>
        <v/>
      </c>
      <c r="BE46" s="280" t="str">
        <f t="array" ref="BE46">_xlfn.IFNA(INDEX('DMR 001C NEW'!$A$3:$O$9999,MATCH(('001-C DMR'!$AQ$6:$AZ$6&amp;'001-C DMR'!BE$10&amp;'001-C DMR'!$B46),('DMR 001C NEW'!$E$3:$E$1112&amp;'DMR 001C NEW'!$B$3:$B$1112&amp;'DMR 001C NEW'!$A$3:$A$1112),0),MATCH('001-C DMR'!$BA$11,'DMR 001C NEW'!$A$2:$O$2,0)),"")</f>
        <v/>
      </c>
      <c r="BF46" s="281" t="str">
        <f t="array" ref="BF46">_xlfn.IFNA(INDEX('DMR 001C NEW'!$A$3:$O$9999,MATCH(('001-C DMR'!$AQ$6:$AZ$6&amp;'001-C DMR'!BF$10&amp;'001-C DMR'!$B46),('DMR 001C NEW'!$E$3:$E$1112&amp;'DMR 001C NEW'!$B$3:$B$1112&amp;'DMR 001C NEW'!$A$3:$A$1112),0),MATCH('001-C DMR'!$BA$11,'DMR 001C NEW'!$A$2:$O$2,0)),"")</f>
        <v/>
      </c>
      <c r="BH46" s="58" t="str">
        <f t="array" ref="BH46">_xlfn.IFNA((INDEX('DMR 001C NEW'!$A$3:$O$9999,MATCH(('001-C DMR'!$BG$6&amp;'001-C DMR'!$BG$10&amp;'001-C DMR'!$B46),('DMR 001C NEW'!$E$3:$E$7246&amp;'DMR 001C NEW'!$B$3:$B$7246&amp;'DMR 001C NEW'!$A$3:$A$7246),0),MATCH('001-C DMR'!$BH$11,'DMR 001C NEW'!$A$2:$O$2,0))),"")</f>
        <v/>
      </c>
      <c r="BI46" s="58" t="str">
        <f t="array" ref="BI46">_xlfn.IFNA(INDEX('DMR 001C NEW'!$A$3:$O$9999,MATCH(('001-C DMR'!$BG$6&amp;'001-C DMR'!$BG$10&amp;'001-C DMR'!$B46),('DMR 001C NEW'!$E$3:$E$7246&amp;'DMR 001C NEW'!$B$3:$B$7246&amp;'DMR 001C NEW'!$A$3:$A$7246),0),MATCH('001-C DMR'!$BI$11,'DMR 001C NEW'!$A$2:$O$2,0)),"")</f>
        <v/>
      </c>
      <c r="BJ46" s="58" t="str">
        <f t="shared" si="7"/>
        <v/>
      </c>
      <c r="BK46" s="57" t="str">
        <f>IF(BM46&lt;BL46,"&lt;","")</f>
        <v/>
      </c>
      <c r="BL46" s="58" t="str">
        <f t="array" ref="BL46">_xlfn.IFNA((INDEX('DMR 001C NEW'!$A$3:$O$9999,MATCH(('001-C DMR'!$BG$6&amp;'001-C DMR'!$BK$10&amp;'001-C DMR'!$B46),('DMR 001C NEW'!$E$3:$E$7246&amp;'DMR 001C NEW'!$B$3:$B$7246&amp;'DMR 001C NEW'!$A$3:$A$7246),0),MATCH('001-C DMR'!$BH$11,'DMR 001C NEW'!$A$2:$O$2,0))),"")</f>
        <v/>
      </c>
      <c r="BM46" s="58" t="str">
        <f t="array" ref="BM46">_xlfn.IFNA(INDEX('DMR 001C NEW'!$A$3:$O$9999,MATCH(('001-C DMR'!$BG$6&amp;'001-C DMR'!$BK$10&amp;'001-C DMR'!$B46),('DMR 001C NEW'!$E$3:$E$7246&amp;'DMR 001C NEW'!$B$3:$B$7246&amp;'DMR 001C NEW'!$A$3:$A$7246),0),MATCH('001-C DMR'!$BI$11,'DMR 001C NEW'!$A$2:$O$2,0)),"")</f>
        <v/>
      </c>
      <c r="BN46" s="58" t="str">
        <f t="shared" si="9"/>
        <v/>
      </c>
      <c r="BO46" s="56" t="str">
        <f t="array" ref="BO46">IFERROR((($BJ46*$EI46)+($BN46*$EJ46))/($EK46),"")</f>
        <v/>
      </c>
      <c r="BP46" s="29"/>
      <c r="BQ46" s="280" t="str">
        <f t="array" ref="BQ46">_xlfn.IFNA(INDEX('DMR 001C NEW'!$A$3:$O$999,MATCH(('001-C DMR'!$BG$6&amp;'001-C DMR'!BQ$10&amp;'001-C DMR'!$B46),('DMR 001C NEW'!$E$3:$E$1112&amp;'DMR 001C NEW'!$B$3:$B$1112&amp;'DMR 001C NEW'!$A$3:$A$1112),0),MATCH('001-C DMR'!$BQ$11,'DMR 001C NEW'!$A$2:$O$2,0)),"")</f>
        <v/>
      </c>
      <c r="BR46" s="280" t="str">
        <f t="array" ref="BR46">_xlfn.IFNA(INDEX('DMR 001C NEW'!$A$3:$O$999,MATCH(('001-C DMR'!$BG$6&amp;'001-C DMR'!BR$10&amp;'001-C DMR'!$B46),('DMR 001C NEW'!$E$3:$E$1112&amp;'DMR 001C NEW'!$B$3:$B$1112&amp;'DMR 001C NEW'!$A$3:$A$1112),0),MATCH('001-C DMR'!$BQ$11,'DMR 001C NEW'!$A$2:$O$2,0)),"")</f>
        <v/>
      </c>
      <c r="BS46" s="280" t="str">
        <f t="array" ref="BS46">_xlfn.IFNA(INDEX('DMR 001C NEW'!$A$3:$O$999,MATCH(('001-C DMR'!$BG$6&amp;'001-C DMR'!BS$10&amp;'001-C DMR'!$B46),('DMR 001C NEW'!$E$3:$E$1112&amp;'DMR 001C NEW'!$B$3:$B$1112&amp;'DMR 001C NEW'!$A$3:$A$1112),0),MATCH('001-C DMR'!$BQ$11,'DMR 001C NEW'!$A$2:$O$2,0)),"")</f>
        <v/>
      </c>
      <c r="BT46" s="280" t="str">
        <f t="array" ref="BT46">_xlfn.IFNA(INDEX('DMR 001C NEW'!$A$3:$O$999,MATCH(('001-C DMR'!$BG$6&amp;'001-C DMR'!BT$10&amp;'001-C DMR'!$B46),('DMR 001C NEW'!$E$3:$E$1112&amp;'DMR 001C NEW'!$B$3:$B$1112&amp;'DMR 001C NEW'!$A$3:$A$1112),0),MATCH('001-C DMR'!$BQ$11,'DMR 001C NEW'!$A$2:$O$2,0)),"")</f>
        <v/>
      </c>
      <c r="BU46" s="280" t="str">
        <f t="array" ref="BU46">_xlfn.IFNA(INDEX('DMR 001C NEW'!$A$3:$O$999,MATCH(('001-C DMR'!$BG$6&amp;'001-C DMR'!BU$10&amp;'001-C DMR'!$B46),('DMR 001C NEW'!$E$3:$E$1112&amp;'DMR 001C NEW'!$B$3:$B$1112&amp;'DMR 001C NEW'!$A$3:$A$1112),0),MATCH('001-C DMR'!$BQ$11,'DMR 001C NEW'!$A$2:$O$2,0)),"")</f>
        <v/>
      </c>
      <c r="BV46" s="280" t="str">
        <f t="array" ref="BV46">_xlfn.IFNA(INDEX('DMR 001C NEW'!$A$3:$O$999,MATCH(('001-C DMR'!$BG$6&amp;'001-C DMR'!BV$10&amp;'001-C DMR'!$B46),('DMR 001C NEW'!$E$3:$E$1112&amp;'DMR 001C NEW'!$B$3:$B$1112&amp;'DMR 001C NEW'!$A$3:$A$1112),0),MATCH('001-C DMR'!$BQ$11,'DMR 001C NEW'!$A$2:$O$2,0)),"")</f>
        <v/>
      </c>
      <c r="BW46" s="41"/>
      <c r="BX46" s="41"/>
      <c r="BY46" s="57" t="str">
        <f t="shared" si="45"/>
        <v/>
      </c>
      <c r="BZ46" s="58" t="str">
        <f t="array" ref="BZ46">_xlfn.IFNA((INDEX('DMR 001C NEW'!$A$3:$O$9999,MATCH(('001-C DMR'!$BY$6&amp;'001-C DMR'!$BY$10&amp;'001-C DMR'!$B46),('DMR 001C NEW'!$E$3:$E$7246&amp;'DMR 001C NEW'!$B$3:$B$7246&amp;'DMR 001C NEW'!$A$3:$A$7246),0),MATCH('001-C DMR'!$BZ$11,'DMR 001C NEW'!$A$2:$O$2,0))),"")</f>
        <v/>
      </c>
      <c r="CA46" s="138" t="str">
        <f t="array" ref="CA46">_xlfn.IFNA(INDEX('DMR 001C NEW'!$A$3:$O$9999,MATCH(('001-C DMR'!$BY$6&amp;'001-C DMR'!$BY$10&amp;'001-C DMR'!$B46),('DMR 001C NEW'!$E$3:$E$7246&amp;'DMR 001C NEW'!$B$3:$B$7246&amp;'DMR 001C NEW'!$A$3:$A$7246),0),MATCH('001-C DMR'!$CA$11,'DMR 001C NEW'!$A$2:$O$2,0)),"")</f>
        <v/>
      </c>
      <c r="CB46" s="57" t="str">
        <f t="shared" si="46"/>
        <v/>
      </c>
      <c r="CC46" s="58" t="str">
        <f t="array" ref="CC46">_xlfn.IFNA((INDEX('DMR 001C NEW'!$A$3:$O$9999,MATCH(('001-C DMR'!$BY$6&amp;'001-C DMR'!$CB$10&amp;'001-C DMR'!$B46),('DMR 001C NEW'!$E$3:$E$7246&amp;'DMR 001C NEW'!$B$3:$B$7246&amp;'DMR 001C NEW'!$A$3:$A$7246),0),MATCH('001-C DMR'!$BZ$11,'DMR 001C NEW'!$A$2:$O$2,0))),"")</f>
        <v/>
      </c>
      <c r="CD46" s="138" t="str">
        <f t="array" ref="CD46">_xlfn.IFNA(INDEX('DMR 001C NEW'!$A$3:$O$9999,MATCH(('001-C DMR'!$BY$6&amp;'001-C DMR'!$CB$10&amp;'001-C DMR'!$B46),('DMR 001C NEW'!$E$3:$E$7246&amp;'DMR 001C NEW'!$B$3:$B$7246&amp;'DMR 001C NEW'!$A$3:$A$7246),0),MATCH('001-C DMR'!$CA$11,'DMR 001C NEW'!$A$2:$O$2,0)),"")</f>
        <v/>
      </c>
      <c r="CE46" s="138" t="str">
        <f t="array" ref="CE46">IFERROR((($CA46*$EI46)+($CD46*$EJ46))/($EK46),"")</f>
        <v/>
      </c>
      <c r="CF46" s="64">
        <f t="shared" si="47"/>
        <v>1</v>
      </c>
      <c r="CG46" s="280" t="str">
        <f t="array" ref="CG46">_xlfn.IFNA(INDEX('DMR 001C NEW'!$A$3:$O$999,MATCH(('001-C DMR'!$BY$6&amp;'001-C DMR'!CG$10&amp;'001-C DMR'!$B46),('DMR 001C NEW'!$E$3:$E$1112&amp;'DMR 001C NEW'!$B$3:$B$1112&amp;'DMR 001C NEW'!$A$3:$A$1112),0),MATCH('001-C DMR'!$CA$11,'DMR 001C NEW'!$A$2:$O$2,0)),"")</f>
        <v/>
      </c>
      <c r="CH46" s="280" t="str">
        <f t="array" ref="CH46">_xlfn.IFNA(INDEX('DMR 001C NEW'!$A$3:$O$999,MATCH(('001-C DMR'!$BY$6&amp;'001-C DMR'!CH$10&amp;'001-C DMR'!$B46),('DMR 001C NEW'!$E$3:$E$1112&amp;'DMR 001C NEW'!$B$3:$B$1112&amp;'DMR 001C NEW'!$A$3:$A$1112),0),MATCH('001-C DMR'!$CA$11,'DMR 001C NEW'!$A$2:$O$2,0)),"")</f>
        <v/>
      </c>
      <c r="CI46" s="280" t="str">
        <f t="array" ref="CI46">_xlfn.IFNA(INDEX('DMR 001C NEW'!$A$3:$O$999,MATCH(('001-C DMR'!$BY$6&amp;'001-C DMR'!CI$10&amp;'001-C DMR'!$B46),('DMR 001C NEW'!$E$3:$E$1112&amp;'DMR 001C NEW'!$B$3:$B$1112&amp;'DMR 001C NEW'!$A$3:$A$1112),0),MATCH('001-C DMR'!$CA$11,'DMR 001C NEW'!$A$2:$O$2,0)),"")</f>
        <v/>
      </c>
      <c r="CJ46" s="280" t="str">
        <f t="array" ref="CJ46">_xlfn.IFNA(INDEX('DMR 001C NEW'!$A$3:$O$999,MATCH(('001-C DMR'!$BY$6&amp;'001-C DMR'!CJ$10&amp;'001-C DMR'!$B46),('DMR 001C NEW'!$E$3:$E$1112&amp;'DMR 001C NEW'!$B$3:$B$1112&amp;'DMR 001C NEW'!$A$3:$A$1112),0),MATCH('001-C DMR'!$CA$11,'DMR 001C NEW'!$A$2:$O$2,0)),"")</f>
        <v/>
      </c>
      <c r="CK46" s="280" t="str">
        <f t="array" ref="CK46">_xlfn.IFNA(INDEX('DMR 001C NEW'!$A$3:$O$999,MATCH(('001-C DMR'!$BY$6&amp;'001-C DMR'!CK$10&amp;'001-C DMR'!$B46),('DMR 001C NEW'!$E$3:$E$1112&amp;'DMR 001C NEW'!$B$3:$B$1112&amp;'DMR 001C NEW'!$A$3:$A$1112),0),MATCH('001-C DMR'!$CA$11,'DMR 001C NEW'!$A$2:$O$2,0)),"")</f>
        <v/>
      </c>
      <c r="CL46" s="280" t="str">
        <f t="array" ref="CL46">_xlfn.IFNA(INDEX('DMR 001C NEW'!$A$3:$O$999,MATCH(('001-C DMR'!$BY$6&amp;'001-C DMR'!CL$10&amp;'001-C DMR'!$B46),('DMR 001C NEW'!$E$3:$E$1112&amp;'DMR 001C NEW'!$B$3:$B$1112&amp;'DMR 001C NEW'!$A$3:$A$1112),0),MATCH('001-C DMR'!$CA$11,'DMR 001C NEW'!$A$2:$O$2,0)),"")</f>
        <v/>
      </c>
      <c r="CM46" s="38"/>
      <c r="CN46" s="138" t="str">
        <f t="array" ref="CN46">_xlfn.IFNA((INDEX('DMR 001C NEW'!$A$3:$O$9999,MATCH(('001-C DMR'!$CM$6&amp;'001-C DMR'!$CM$10&amp;'001-C DMR'!$B46),('DMR 001C NEW'!$E$3:$E$9018&amp;'DMR 001C NEW'!$B$3:$B$9018&amp;'DMR 001C NEW'!$A$3:$A$9018),0),MATCH('001-C DMR'!$CN$11,'DMR 001C NEW'!$A$2:$O$2,0))*1000),"")</f>
        <v/>
      </c>
      <c r="CO46" s="138" t="str">
        <f t="array" ref="CO46">_xlfn.IFNA(INDEX('DMR 001C NEW'!$A$3:$O$9999,MATCH(('001-C DMR'!$CM$6&amp;'001-C DMR'!$CM$10&amp;'001-C DMR'!$B46),('DMR 001C NEW'!$E$3:$E$9018&amp;'DMR 001C NEW'!$B$3:$B$9018&amp;'DMR 001C NEW'!$A$3:$A$9018),0),MATCH('001-C DMR'!$CO$11,'DMR 001C NEW'!$A$2:$O$2,0))*1000,"")</f>
        <v/>
      </c>
      <c r="CP46" s="138" t="str">
        <f t="shared" si="13"/>
        <v/>
      </c>
      <c r="CQ46" s="64">
        <f t="shared" si="34"/>
        <v>1</v>
      </c>
      <c r="CR46" s="280" t="str">
        <f t="array" ref="CR46">_xlfn.IFNA(INDEX('DMR 001C NEW'!$A$3:$O$999,MATCH(('001-C DMR'!$CM$6&amp;'001-C DMR'!CR$10&amp;'001-C DMR'!$B46),('DMR 001C NEW'!$E$3:$E$1112&amp;'DMR 001C NEW'!$B$3:$B$1112&amp;'DMR 001C NEW'!$A$3:$A$1112),0),MATCH('001-C DMR'!$CO$11,'DMR 001C NEW'!$A$2:$O$2,0)),"")</f>
        <v/>
      </c>
      <c r="CS46" s="280" t="str">
        <f t="array" ref="CS46">_xlfn.IFNA(INDEX('DMR 001C NEW'!$A$3:$O$999,MATCH(('001-C DMR'!$CM$6&amp;'001-C DMR'!CS$10&amp;'001-C DMR'!$B46),('DMR 001C NEW'!$E$3:$E$1112&amp;'DMR 001C NEW'!$B$3:$B$1112&amp;'DMR 001C NEW'!$A$3:$A$1112),0),MATCH('001-C DMR'!$CO$11,'DMR 001C NEW'!$A$2:$O$2,0)),"")</f>
        <v/>
      </c>
      <c r="CT46" s="280" t="str">
        <f t="array" ref="CT46">_xlfn.IFNA(INDEX('DMR 001C NEW'!$A$3:$O$999,MATCH(('001-C DMR'!$CM$6&amp;'001-C DMR'!CT$10&amp;'001-C DMR'!$B46),('DMR 001C NEW'!$E$3:$E$1112&amp;'DMR 001C NEW'!$B$3:$B$1112&amp;'DMR 001C NEW'!$A$3:$A$1112),0),MATCH('001-C DMR'!$CO$11,'DMR 001C NEW'!$A$2:$O$2,0)),"")</f>
        <v/>
      </c>
      <c r="CU46" s="280" t="str">
        <f t="array" ref="CU46">_xlfn.IFNA(INDEX('DMR 001C NEW'!$A$3:$O$999,MATCH(('001-C DMR'!$CM$6&amp;'001-C DMR'!CU$10&amp;'001-C DMR'!$B46),('DMR 001C NEW'!$E$3:$E$1112&amp;'DMR 001C NEW'!$B$3:$B$1112&amp;'DMR 001C NEW'!$A$3:$A$1112),0),MATCH('001-C DMR'!$CO$11,'DMR 001C NEW'!$A$2:$O$2,0)),"")</f>
        <v/>
      </c>
      <c r="CV46" s="280" t="str">
        <f t="array" ref="CV46">_xlfn.IFNA(INDEX('DMR 001C NEW'!$A$3:$O$999,MATCH(('001-C DMR'!$CM$6&amp;'001-C DMR'!CV$10&amp;'001-C DMR'!$B46),('DMR 001C NEW'!$E$3:$E$1112&amp;'DMR 001C NEW'!$B$3:$B$1112&amp;'DMR 001C NEW'!$A$3:$A$1112),0),MATCH('001-C DMR'!$CO$11,'DMR 001C NEW'!$A$2:$O$2,0)),"")</f>
        <v/>
      </c>
      <c r="CW46" s="280" t="str">
        <f t="array" ref="CW46">_xlfn.IFNA(INDEX('DMR 001C NEW'!$A$3:$O$999,MATCH(('001-C DMR'!$CM$6&amp;'001-C DMR'!CW$10&amp;'001-C DMR'!$B46),('DMR 001C NEW'!$E$3:$E$1112&amp;'DMR 001C NEW'!$B$3:$B$1112&amp;'DMR 001C NEW'!$A$3:$A$1112),0),MATCH('001-C DMR'!$CO$11,'DMR 001C NEW'!$A$2:$O$2,0)),"")</f>
        <v/>
      </c>
      <c r="CX46" s="280" t="str">
        <f t="array" ref="CX46">_xlfn.IFNA(INDEX('DMR 001C NEW'!$A$3:$O$999,MATCH(('001-C DMR'!$CM$6&amp;'001-C DMR'!CX$10&amp;'001-C DMR'!$B46),('DMR 001C NEW'!$E$3:$E$1112&amp;'DMR 001C NEW'!$B$3:$B$1112&amp;'DMR 001C NEW'!$A$3:$A$1112),0),MATCH('001-C DMR'!$CO$11,'DMR 001C NEW'!$A$2:$O$2,0)),"")</f>
        <v/>
      </c>
      <c r="CY46" s="94"/>
      <c r="CZ46" s="138" t="str">
        <f t="array" ref="CZ46">_xlfn.IFNA((INDEX('DMR 001C NEW'!$A$3:$O$9999,MATCH(('001-C DMR'!$CY$6&amp;'001-C DMR'!$CY$10&amp;'001-C DMR'!$B46),('DMR 001C NEW'!$E$3:$E$9018&amp;'DMR 001C NEW'!$B$3:$B$9018&amp;'DMR 001C NEW'!$A$3:$A$9018),0),MATCH('001-C DMR'!$CZ$11,'DMR 001C NEW'!$A$2:$O$2,0))*1000),"")</f>
        <v/>
      </c>
      <c r="DA46" s="138" t="str">
        <f t="array" ref="DA46">_xlfn.IFNA(INDEX('DMR 001C NEW'!$A$3:$O$9999,MATCH(('001-C DMR'!$CY$6&amp;'001-C DMR'!$CY$10&amp;'001-C DMR'!$B46),('DMR 001C NEW'!$E$3:$E$9018&amp;'DMR 001C NEW'!$B$3:$B$9018&amp;'DMR 001C NEW'!$A$3:$A$9018),0),MATCH('001-C DMR'!$DA$11,'DMR 001C NEW'!$A$2:$O$2,0))*1000,"")</f>
        <v/>
      </c>
      <c r="DB46" s="138" t="str">
        <f t="shared" si="15"/>
        <v/>
      </c>
      <c r="DC46" s="29"/>
      <c r="DD46" s="280" t="str">
        <f t="array" ref="DD46">_xlfn.IFNA(INDEX('DMR 001C NEW'!$A$3:$O$999,MATCH(('001-C DMR'!$CY$6&amp;'001-C DMR'!DD$10&amp;'001-C DMR'!$B46),('DMR 001C NEW'!$E$3:$E$1112&amp;'DMR 001C NEW'!$B$3:$B$1112&amp;'DMR 001C NEW'!$A$3:$A$1112),0),MATCH('001-C DMR'!$DA$11,'DMR 001C NEW'!$A$2:$O$2,0)),"")</f>
        <v/>
      </c>
      <c r="DE46" s="280" t="str">
        <f t="array" ref="DE46">_xlfn.IFNA(INDEX('DMR 001C NEW'!$A$3:$O$999,MATCH(('001-C DMR'!$CY$6&amp;'001-C DMR'!DE$10&amp;'001-C DMR'!$B46),('DMR 001C NEW'!$E$3:$E$1112&amp;'DMR 001C NEW'!$B$3:$B$1112&amp;'DMR 001C NEW'!$A$3:$A$1112),0),MATCH('001-C DMR'!$DA$11,'DMR 001C NEW'!$A$2:$O$2,0)),"")</f>
        <v/>
      </c>
      <c r="DF46" s="280" t="str">
        <f t="array" ref="DF46">_xlfn.IFNA(INDEX('DMR 001C NEW'!$A$3:$O$999,MATCH(('001-C DMR'!$CY$6&amp;'001-C DMR'!DF$10&amp;'001-C DMR'!$B46),('DMR 001C NEW'!$E$3:$E$1112&amp;'DMR 001C NEW'!$B$3:$B$1112&amp;'DMR 001C NEW'!$A$3:$A$1112),0),MATCH('001-C DMR'!$DA$11,'DMR 001C NEW'!$A$2:$O$2,0)),"")</f>
        <v/>
      </c>
      <c r="DG46" s="280" t="str">
        <f t="array" ref="DG46">_xlfn.IFNA(INDEX('DMR 001C NEW'!$A$3:$O$999,MATCH(('001-C DMR'!$CY$6&amp;'001-C DMR'!DG$10&amp;'001-C DMR'!$B46),('DMR 001C NEW'!$E$3:$E$1112&amp;'DMR 001C NEW'!$B$3:$B$1112&amp;'DMR 001C NEW'!$A$3:$A$1112),0),MATCH('001-C DMR'!$DA$11,'DMR 001C NEW'!$A$2:$O$2,0)),"")</f>
        <v/>
      </c>
      <c r="DH46" s="280" t="str">
        <f t="array" ref="DH46">_xlfn.IFNA(INDEX('DMR 001C NEW'!$A$3:$O$999,MATCH(('001-C DMR'!$CY$6&amp;'001-C DMR'!DH$10&amp;'001-C DMR'!$B46),('DMR 001C NEW'!$E$3:$E$1112&amp;'DMR 001C NEW'!$B$3:$B$1112&amp;'DMR 001C NEW'!$A$3:$A$1112),0),MATCH('001-C DMR'!$DA$11,'DMR 001C NEW'!$A$2:$O$2,0)),"")</f>
        <v/>
      </c>
      <c r="DI46" s="280" t="str">
        <f t="array" ref="DI46">_xlfn.IFNA(INDEX('DMR 001C NEW'!$A$3:$O$999,MATCH(('001-C DMR'!$CY$6&amp;'001-C DMR'!DI$10&amp;'001-C DMR'!$B46),('DMR 001C NEW'!$E$3:$E$1112&amp;'DMR 001C NEW'!$B$3:$B$1112&amp;'DMR 001C NEW'!$A$3:$A$1112),0),MATCH('001-C DMR'!$DA$11,'DMR 001C NEW'!$A$2:$O$2,0)),"")</f>
        <v/>
      </c>
      <c r="DJ46" s="280" t="str">
        <f t="array" ref="DJ46">_xlfn.IFNA(INDEX('DMR 001C NEW'!$A$3:$O$999,MATCH(('001-C DMR'!$CY$6&amp;'001-C DMR'!DJ$10&amp;'001-C DMR'!$B46),('DMR 001C NEW'!$E$3:$E$1112&amp;'DMR 001C NEW'!$B$3:$B$1112&amp;'DMR 001C NEW'!$A$3:$A$1112),0),MATCH('001-C DMR'!$DA$11,'DMR 001C NEW'!$A$2:$O$2,0)),"")</f>
        <v/>
      </c>
      <c r="DK46" s="61" t="str">
        <f t="shared" si="16"/>
        <v/>
      </c>
      <c r="DL46" s="58" t="str">
        <f t="array" ref="DL46">_xlfn.IFNA((INDEX('DMR 001C NEW'!$A$3:$O$9999,MATCH(('001-C DMR'!$DK$6&amp;'001-C DMR'!$DK$10&amp;'001-C DMR'!$B46),('DMR 001C NEW'!$E$3:$E$9018&amp;'DMR 001C NEW'!$B$3:$B$9018&amp;'DMR 001C NEW'!$A$3:$A$9018),0),MATCH('001-C DMR'!$DL$11,'DMR 001C NEW'!$A$2:$O$2,0))),"")</f>
        <v/>
      </c>
      <c r="DM46" s="58" t="str">
        <f t="array" ref="DM46">_xlfn.IFNA(INDEX('DMR 001C NEW'!$A$3:$O$9999,MATCH(('001-C DMR'!$DK$6&amp;'001-C DMR'!$DK$10&amp;'001-C DMR'!$B46),('DMR 001C NEW'!$E$3:$E$9018&amp;'DMR 001C NEW'!$B$3:$B$9018&amp;'DMR 001C NEW'!$A$3:$A$9018),0),MATCH('001-C DMR'!$DM$11,'DMR 001C NEW'!$A$2:$O$2,0)),"")</f>
        <v/>
      </c>
      <c r="DN46" s="58" t="str">
        <f t="shared" si="17"/>
        <v/>
      </c>
      <c r="DO46" s="225"/>
      <c r="DP46" s="226"/>
      <c r="DQ46" s="29"/>
      <c r="DR46" s="280" t="str">
        <f t="array" ref="DR46">_xlfn.IFNA(INDEX('DMR 001C NEW'!$A$3:$O$999,MATCH(('001-C DMR'!$DK$6&amp;'001-C DMR'!DR$10&amp;'001-C DMR'!$B46),('DMR 001C NEW'!$E$3:$E$1112&amp;'DMR 001C NEW'!$B$3:$B$1112&amp;'DMR 001C NEW'!$A$3:$A$1112),0),MATCH('001-C DMR'!$DR$11,'DMR 001C NEW'!$A$2:$O$2,0)),"")</f>
        <v/>
      </c>
      <c r="DS46" s="280" t="str">
        <f t="array" ref="DS46">_xlfn.IFNA(INDEX('DMR 001C NEW'!$A$3:$O$999,MATCH(('001-C DMR'!$DK$6&amp;'001-C DMR'!DS$10&amp;'001-C DMR'!$B46),('DMR 001C NEW'!$E$3:$E$1112&amp;'DMR 001C NEW'!$B$3:$B$1112&amp;'DMR 001C NEW'!$A$3:$A$1112),0),MATCH('001-C DMR'!$DR$11,'DMR 001C NEW'!$A$2:$O$2,0)),"")</f>
        <v/>
      </c>
      <c r="DT46" s="280" t="str">
        <f t="array" ref="DT46">_xlfn.IFNA(INDEX('DMR 001C NEW'!$A$3:$O$999,MATCH(('001-C DMR'!$DK$6&amp;'001-C DMR'!DT$10&amp;'001-C DMR'!$B46),('DMR 001C NEW'!$E$3:$E$1112&amp;'DMR 001C NEW'!$B$3:$B$1112&amp;'DMR 001C NEW'!$A$3:$A$1112),0),MATCH('001-C DMR'!$DR$11,'DMR 001C NEW'!$A$2:$O$2,0)),"")</f>
        <v/>
      </c>
      <c r="DU46" s="280" t="str">
        <f t="array" ref="DU46">_xlfn.IFNA(INDEX('DMR 001C NEW'!$A$3:$O$999,MATCH(('001-C DMR'!$DK$6&amp;'001-C DMR'!DU$10&amp;'001-C DMR'!$B46),('DMR 001C NEW'!$E$3:$E$1112&amp;'DMR 001C NEW'!$B$3:$B$1112&amp;'DMR 001C NEW'!$A$3:$A$1112),0),MATCH('001-C DMR'!$DR$11,'DMR 001C NEW'!$A$2:$O$2,0)),"")</f>
        <v/>
      </c>
      <c r="DV46" s="280" t="str">
        <f t="array" ref="DV46">_xlfn.IFNA(INDEX('DMR 001C NEW'!$A$3:$O$999,MATCH(('001-C DMR'!$DK$6&amp;'001-C DMR'!DV$10&amp;'001-C DMR'!$B46),('DMR 001C NEW'!$E$3:$E$1112&amp;'DMR 001C NEW'!$B$3:$B$1112&amp;'DMR 001C NEW'!$A$3:$A$1112),0),MATCH('001-C DMR'!$DR$11,'DMR 001C NEW'!$A$2:$O$2,0)),"")</f>
        <v/>
      </c>
      <c r="DW46" s="280" t="str">
        <f t="array" ref="DW46">_xlfn.IFNA(INDEX('DMR 001C NEW'!$A$3:$O$999,MATCH(('001-C DMR'!$DK$6&amp;'001-C DMR'!DW$10&amp;'001-C DMR'!$B46),('DMR 001C NEW'!$E$3:$E$1112&amp;'DMR 001C NEW'!$B$3:$B$1112&amp;'DMR 001C NEW'!$A$3:$A$1112),0),MATCH('001-C DMR'!$DR$11,'DMR 001C NEW'!$A$2:$O$2,0)),"")</f>
        <v/>
      </c>
      <c r="DX46" s="280" t="str">
        <f t="array" ref="DX46">_xlfn.IFNA(INDEX('DMR 001C NEW'!$A$3:$O$999,MATCH(('001-C DMR'!$DK$6&amp;'001-C DMR'!DX$10&amp;'001-C DMR'!$B46),('DMR 001C NEW'!$E$3:$E$1112&amp;'DMR 001C NEW'!$B$3:$B$1112&amp;'DMR 001C NEW'!$A$3:$A$1112),0),MATCH('001-C DMR'!$DR$11,'DMR 001C NEW'!$A$2:$O$2,0)),"")</f>
        <v/>
      </c>
      <c r="DY46" s="61" t="str">
        <f t="shared" si="28"/>
        <v/>
      </c>
      <c r="DZ46" s="249" t="str">
        <f t="array" ref="DZ46">_xlfn.IFNA((INDEX('DMR 001C NEW'!$A$3:$O$9999,MATCH(('001-C DMR'!$DY$6&amp;'001-C DMR'!$DY$10&amp;'001-C DMR'!$B46),('DMR 001C NEW'!$E$3:$E$9018&amp;'DMR 001C NEW'!$B$3:$B$9018&amp;'DMR 001C NEW'!$A$3:$A$9018),0),MATCH('001-C DMR'!$DZ$11,'DMR 001C NEW'!$A$2:$O$2,0))),"")</f>
        <v/>
      </c>
      <c r="EA46" s="249" t="str">
        <f t="array" ref="EA46">_xlfn.IFNA((INDEX('DMR 001C NEW'!$A$3:$O$9999,MATCH(('001-C DMR'!$DY$6&amp;'001-C DMR'!$DY$10&amp;'001-C DMR'!$B46),('DMR 001C NEW'!$E$3:$E$9018&amp;'DMR 001C NEW'!$B$3:$B$9018&amp;'DMR 001C NEW'!$A$3:$A$9018),0),MATCH('001-C DMR'!$EA$11,'DMR 001C NEW'!$A$2:$O$2,0))),"")</f>
        <v/>
      </c>
      <c r="EB46" s="249" t="str">
        <f t="array" ref="EB46">IF(EA46="SCRATCHED","",IF(EA46&lt;DZ46,0,EA46))</f>
        <v/>
      </c>
      <c r="EC46" s="249" t="str">
        <f t="shared" si="29"/>
        <v/>
      </c>
      <c r="ED46" s="249" t="str">
        <f t="array" ref="ED46">_xlfn.IFNA((INDEX('DMR 001C NEW'!$A$3:$O$9999,MATCH(('001-C DMR'!$DY$6&amp;'001-C DMR'!$EC$10&amp;'001-C DMR'!$B46),('DMR 001C NEW'!$E$3:$E$9018&amp;'DMR 001C NEW'!$B$3:$B$9018&amp;'DMR 001C NEW'!$A$3:$A$9018),0),MATCH('001-C DMR'!$DZ$11,'DMR 001C NEW'!$A$2:$O$2,0))),"")</f>
        <v/>
      </c>
      <c r="EE46" s="249" t="str">
        <f t="array" ref="EE46">_xlfn.IFNA((INDEX('DMR 001C NEW'!$A$3:$O$9999,MATCH(('001-C DMR'!$DY$6&amp;'001-C DMR'!$EC$10&amp;'001-C DMR'!$B46),('DMR 001C NEW'!$E$3:$E$9018&amp;'DMR 001C NEW'!$B$3:$B$9018&amp;'DMR 001C NEW'!$A$3:$A$9018),0),MATCH('001-C DMR'!$EE$11,'DMR 001C NEW'!$A$2:$O$2,0))),"")</f>
        <v/>
      </c>
      <c r="EF46" s="249" t="str">
        <f t="array" ref="EF46">IF(EE46="SCRATCHED","",IF(EE46&lt;ED46,0,EE46))</f>
        <v/>
      </c>
      <c r="EH46" s="29"/>
      <c r="EI46" s="194">
        <f t="array" ref="EI46">_xlfn.IFNA(INDEX('DMR Flows-Effluent'!$A$3:$F$186,MATCH(($EI$10&amp;$B46),('DMR Flows-Effluent'!$B$3:$B$186&amp;'DMR Flows-Effluent'!$A$3:$A$186),0),MATCH($EI$8,'DMR Flows-Effluent'!$A$2:$F$2,0)),"")</f>
        <v>36.171900000000001</v>
      </c>
      <c r="EJ46" s="56">
        <f t="array" ref="EJ46">_xlfn.IFNA(INDEX('DMR Flows-Effluent'!$A$3:$F$186,MATCH(($EJ$10&amp;$B46),('DMR Flows-Effluent'!$B$3:$B$186&amp;'DMR Flows-Effluent'!$A$3:$A$186),0),MATCH($EI$8,'DMR Flows-Effluent'!$A$2:$F$2,0)),"")</f>
        <v>74.007400000000004</v>
      </c>
      <c r="EK46" s="168">
        <f t="shared" si="19"/>
        <v>110.17930000000001</v>
      </c>
      <c r="EP46" s="38"/>
      <c r="EQ46" s="157">
        <f>'E.Coli Calculations'!R40</f>
        <v>69.904549710507524</v>
      </c>
      <c r="ER46" s="56">
        <f>'E.Coli Calculations'!S40</f>
        <v>121.97290784101085</v>
      </c>
      <c r="ES46" s="64">
        <f t="shared" si="36"/>
        <v>7</v>
      </c>
      <c r="ET46" s="38"/>
      <c r="EU46" s="58" t="str">
        <f t="array" ref="EU46">_xlfn.IFNA((INDEX('DMR 001C NEW'!$A$3:$O$9999,MATCH(('001-C DMR'!$ET$6&amp;'001-C DMR'!$ET$10&amp;'001-C DMR'!$B46),('DMR 001C NEW'!$E$3:$E$9018&amp;'DMR 001C NEW'!$B$3:$B$9018&amp;'DMR 001C NEW'!$A$3:$A$9018),0),MATCH('001-C DMR'!$EU$11,'DMR 001C NEW'!$A$2:$O$2,0))),"")</f>
        <v/>
      </c>
      <c r="EV46" s="58" t="str">
        <f t="array" ref="EV46">_xlfn.IFNA(INDEX('DMR 001C NEW'!$A$3:$O$9999,MATCH(('001-C DMR'!$ET$6&amp;'001-C DMR'!$ET$10&amp;'001-C DMR'!$B46),('DMR 001C NEW'!$E$3:$E$9018&amp;'DMR 001C NEW'!$B$3:$B$9018&amp;'DMR 001C NEW'!$A$3:$A$9018),0),MATCH('001-C DMR'!$EV$11,'DMR 001C NEW'!$A$2:$O$2,0)),"")</f>
        <v/>
      </c>
      <c r="EW46" s="56" t="str">
        <f t="shared" si="21"/>
        <v/>
      </c>
      <c r="EX46" s="29"/>
      <c r="EY46" s="279" t="str">
        <f t="array" ref="EY46">_xlfn.IFNA(INDEX('DMR 001C NEW'!$A$3:$O$999,MATCH(('001-C DMR'!$ET$6&amp;'001-C DMR'!EY$10&amp;'001-C DMR'!$B46),('DMR 001C NEW'!$E$3:$E$1112&amp;'DMR 001C NEW'!$B$3:$B$1112&amp;'DMR 001C NEW'!$A$3:$A$1112),0),MATCH('001-C DMR'!$EY$11,'DMR 001C NEW'!$A$2:$O$2,0)),"")</f>
        <v/>
      </c>
      <c r="EZ46" s="280" t="str">
        <f t="array" ref="EZ46">_xlfn.IFNA(INDEX('DMR 001C NEW'!$A$3:$O$999,MATCH(('001-C DMR'!$ET$6&amp;'001-C DMR'!EZ$10&amp;'001-C DMR'!$B46),('DMR 001C NEW'!$E$3:$E$1112&amp;'DMR 001C NEW'!$B$3:$B$1112&amp;'DMR 001C NEW'!$A$3:$A$1112),0),MATCH('001-C DMR'!$EY$11,'DMR 001C NEW'!$A$2:$O$2,0)),"")</f>
        <v/>
      </c>
      <c r="FA46" s="280" t="str">
        <f t="array" ref="FA46">_xlfn.IFNA(INDEX('DMR 001C NEW'!$A$3:$O$999,MATCH(('001-C DMR'!$ET$6&amp;'001-C DMR'!FA$10&amp;'001-C DMR'!$B46),('DMR 001C NEW'!$E$3:$E$1112&amp;'DMR 001C NEW'!$B$3:$B$1112&amp;'DMR 001C NEW'!$A$3:$A$1112),0),MATCH('001-C DMR'!$EY$11,'DMR 001C NEW'!$A$2:$O$2,0)),"")</f>
        <v/>
      </c>
      <c r="FB46" s="280" t="str">
        <f t="array" ref="FB46">_xlfn.IFNA(INDEX('DMR 001C NEW'!$A$3:$O$999,MATCH(('001-C DMR'!$ET$6&amp;'001-C DMR'!FB$10&amp;'001-C DMR'!$B46),('DMR 001C NEW'!$E$3:$E$1112&amp;'DMR 001C NEW'!$B$3:$B$1112&amp;'DMR 001C NEW'!$A$3:$A$1112),0),MATCH('001-C DMR'!$EY$11,'DMR 001C NEW'!$A$2:$O$2,0)),"")</f>
        <v/>
      </c>
      <c r="FC46" s="280" t="str">
        <f t="array" ref="FC46">_xlfn.IFNA(INDEX('DMR 001C NEW'!$A$3:$O$999,MATCH(('001-C DMR'!$ET$6&amp;'001-C DMR'!FC$10&amp;'001-C DMR'!$B46),('DMR 001C NEW'!$E$3:$E$1112&amp;'DMR 001C NEW'!$B$3:$B$1112&amp;'DMR 001C NEW'!$A$3:$A$1112),0),MATCH('001-C DMR'!$EY$11,'DMR 001C NEW'!$A$2:$O$2,0)),"")</f>
        <v/>
      </c>
      <c r="FD46" s="280" t="str">
        <f t="array" ref="FD46">_xlfn.IFNA(INDEX('DMR 001C NEW'!$A$3:$O$999,MATCH(('001-C DMR'!$ET$6&amp;'001-C DMR'!FD$10&amp;'001-C DMR'!$B46),('DMR 001C NEW'!$E$3:$E$1112&amp;'DMR 001C NEW'!$B$3:$B$1112&amp;'DMR 001C NEW'!$A$3:$A$1112),0),MATCH('001-C DMR'!$EY$11,'DMR 001C NEW'!$A$2:$O$2,0)),"")</f>
        <v/>
      </c>
      <c r="FE46" s="281" t="str">
        <f t="array" ref="FE46">_xlfn.IFNA(INDEX('DMR 001C NEW'!$A$3:$O$999,MATCH(('001-C DMR'!$ET$6&amp;'001-C DMR'!FE$10&amp;'001-C DMR'!$B46),('DMR 001C NEW'!$E$3:$E$1112&amp;'DMR 001C NEW'!$B$3:$B$1112&amp;'DMR 001C NEW'!$A$3:$A$1112),0),MATCH('001-C DMR'!$EY$11,'DMR 001C NEW'!$A$2:$O$2,0)),"")</f>
        <v/>
      </c>
      <c r="FG46" s="56">
        <f t="array" ref="FG46">_xlfn.IFNA(INDEX('DMR 001C NEW'!$A$3:$O$9999,MATCH(('001-C DMR'!$FF$6&amp;'001-C DMR'!$FF$10&amp;'001-C DMR'!$B46),('DMR 001C NEW'!$E$3:$E$7246&amp;'DMR 001C NEW'!$B$3:$B$7246&amp;'DMR 001C NEW'!$A$3:$A$7246),0),MATCH('001-C DMR'!$FG$11,'DMR 001C NEW'!$A$2:$O$2,0)),"")</f>
        <v>0</v>
      </c>
      <c r="FH46" s="56">
        <f t="array" ref="FH46">_xlfn.IFNA(INDEX('DMR 001C NEW'!$A$3:$O$9999,MATCH(('001-C DMR'!$FF$6&amp;'001-C DMR'!$FF$10&amp;'001-C DMR'!$B46),('DMR 001C NEW'!$E$3:$E$7246&amp;'DMR 001C NEW'!$B$3:$B$7246&amp;'DMR 001C NEW'!$A$3:$A$7246),0),MATCH('001-C DMR'!$FH$11,'DMR 001C NEW'!$A$2:$O$2,0)),"")</f>
        <v>4</v>
      </c>
      <c r="FJ46" s="56">
        <f t="array" ref="FJ46">_xlfn.IFNA(INDEX('DMR 001C NEW'!$A$3:$O$9999,MATCH(('001-C DMR'!$FF$6&amp;'001-C DMR'!$FI$10&amp;'001-C DMR'!$B46),('DMR 001C NEW'!$E$3:$E$7246&amp;'DMR 001C NEW'!$B$3:$B$7246&amp;'DMR 001C NEW'!$A$3:$A$7246),0),MATCH('001-C DMR'!$FG$11,'DMR 001C NEW'!$A$2:$O$2,0)),"")</f>
        <v>0</v>
      </c>
      <c r="FK46" s="56">
        <f t="array" ref="FK46">_xlfn.IFNA(INDEX('DMR 001C NEW'!$A$3:$O$9999,MATCH(('001-C DMR'!$FF$6&amp;'001-C DMR'!$FI$10&amp;'001-C DMR'!$B46),('DMR 001C NEW'!$E$3:$E$7246&amp;'DMR 001C NEW'!$B$3:$B$7246&amp;'DMR 001C NEW'!$A$3:$A$7246),0),MATCH('001-C DMR'!$FH$11,'DMR 001C NEW'!$A$2:$O$2,0)),"")</f>
        <v>4</v>
      </c>
      <c r="FL46" s="56">
        <f t="array" ref="FL46">IFERROR((($FH46*$EI46)+($FK46*$EJ46))/($EK46),"")</f>
        <v>4</v>
      </c>
      <c r="FM46" s="56">
        <f t="shared" si="43"/>
        <v>5.1045547505777806</v>
      </c>
      <c r="FN46" s="64">
        <f t="shared" si="37"/>
        <v>7</v>
      </c>
      <c r="FO46" s="41"/>
      <c r="FP46" s="280" t="str">
        <f t="array" ref="FP46">_xlfn.IFNA(INDEX('DMR 001C NEW'!$A$3:$O$999,MATCH(('001-C DMR'!$FF$6&amp;'001-C DMR'!FP$10&amp;'001-C DMR'!$B46),('DMR 001C NEW'!$E$3:$E$1112&amp;'DMR 001C NEW'!$B$3:$B$1112&amp;'DMR 001C NEW'!$A$3:$A$1112),0),MATCH('001-C DMR'!$FH$11,'DMR 001C NEW'!$A$2:$O$2,0)),"")</f>
        <v/>
      </c>
      <c r="FQ46" s="280" t="str">
        <f t="array" ref="FQ46">_xlfn.IFNA(INDEX('DMR 001C NEW'!$A$3:$O$999,MATCH(('001-C DMR'!$FF$6&amp;'001-C DMR'!FQ$10&amp;'001-C DMR'!$B46),('DMR 001C NEW'!$E$3:$E$1112&amp;'DMR 001C NEW'!$B$3:$B$1112&amp;'DMR 001C NEW'!$A$3:$A$1112),0),MATCH('001-C DMR'!$FH$11,'DMR 001C NEW'!$A$2:$O$2,0)),"")</f>
        <v/>
      </c>
      <c r="FR46" s="280" t="str">
        <f t="array" ref="FR46">_xlfn.IFNA(INDEX('DMR 001C NEW'!$A$3:$O$999,MATCH(('001-C DMR'!$FF$6&amp;'001-C DMR'!FR$10&amp;'001-C DMR'!$B46),('DMR 001C NEW'!$E$3:$E$1112&amp;'DMR 001C NEW'!$B$3:$B$1112&amp;'DMR 001C NEW'!$A$3:$A$1112),0),MATCH('001-C DMR'!$FH$11,'DMR 001C NEW'!$A$2:$O$2,0)),"")</f>
        <v/>
      </c>
      <c r="FS46" s="280" t="str">
        <f t="array" ref="FS46">_xlfn.IFNA(INDEX('DMR 001C NEW'!$A$3:$O$999,MATCH(('001-C DMR'!$FF$6&amp;'001-C DMR'!FS$10&amp;'001-C DMR'!$B46),('DMR 001C NEW'!$E$3:$E$1112&amp;'DMR 001C NEW'!$B$3:$B$1112&amp;'DMR 001C NEW'!$A$3:$A$1112),0),MATCH('001-C DMR'!$FH$11,'DMR 001C NEW'!$A$2:$O$2,0)),"")</f>
        <v/>
      </c>
      <c r="FT46" s="280" t="str">
        <f t="array" ref="FT46">_xlfn.IFNA(INDEX('DMR 001C NEW'!$A$3:$O$999,MATCH(('001-C DMR'!$FF$6&amp;'001-C DMR'!FT$10&amp;'001-C DMR'!$B46),('DMR 001C NEW'!$E$3:$E$1112&amp;'DMR 001C NEW'!$B$3:$B$1112&amp;'DMR 001C NEW'!$A$3:$A$1112),0),MATCH('001-C DMR'!$FH$11,'DMR 001C NEW'!$A$2:$O$2,0)),"")</f>
        <v/>
      </c>
      <c r="FU46" s="280" t="str">
        <f t="array" ref="FU46">_xlfn.IFNA(INDEX('DMR 001C NEW'!$A$3:$O$999,MATCH(('001-C DMR'!$FF$6&amp;'001-C DMR'!FU$10&amp;'001-C DMR'!$B46),('DMR 001C NEW'!$E$3:$E$1112&amp;'DMR 001C NEW'!$B$3:$B$1112&amp;'DMR 001C NEW'!$A$3:$A$1112),0),MATCH('001-C DMR'!$FH$11,'DMR 001C NEW'!$A$2:$O$2,0)),"")</f>
        <v/>
      </c>
      <c r="FV46" s="41"/>
      <c r="FW46" s="38"/>
      <c r="FX46" s="58" t="str">
        <f t="array" ref="FX46">_xlfn.IFNA(INDEX('DMR 001C NEW'!$A$3:$O$9999,MATCH(('001-C DMR'!$FW$6&amp;'001-C DMR'!$FW$10&amp;'001-C DMR'!$B46),('DMR 001C NEW'!$E$3:$E$7246&amp;'DMR 001C NEW'!$B$3:$B$7246&amp;'DMR 001C NEW'!$A$3:$A$7246),0),MATCH('001-C DMR'!$FX$11,'DMR 001C NEW'!$A$2:$O$2,0)),"")</f>
        <v/>
      </c>
      <c r="FY46" s="58" t="str">
        <f t="array" ref="FY46">_xlfn.IFNA(INDEX('DMR 001C NEW'!$A$3:$O$9999,MATCH(('001-C DMR'!$FW$6&amp;'001-C DMR'!$FW$10&amp;'001-C DMR'!$B46),('DMR 001C NEW'!$E$3:$E$7246&amp;'DMR 001C NEW'!$B$3:$B$7246&amp;'DMR 001C NEW'!$A$3:$A$7246),0),MATCH('001-C DMR'!$FY$11,'DMR 001C NEW'!$A$2:$O$2,0)),"")</f>
        <v/>
      </c>
      <c r="GA46" s="58" t="str">
        <f t="array" ref="GA46">_xlfn.IFNA(INDEX('DMR 001C NEW'!$A$3:$O$9999,MATCH(('001-C DMR'!$FW$6&amp;'001-C DMR'!$FZ$10&amp;'001-C DMR'!$B46),('DMR 001C NEW'!$E$3:$E$7246&amp;'DMR 001C NEW'!$B$3:$B$7246&amp;'DMR 001C NEW'!$A$3:$A$7246),0),MATCH('001-C DMR'!$FX$11,'DMR 001C NEW'!$A$2:$O$2,0)),"")</f>
        <v/>
      </c>
      <c r="GB46" s="58" t="str">
        <f t="array" ref="GB46">_xlfn.IFNA(INDEX('DMR 001C NEW'!$A$3:$O$9999,MATCH(('001-C DMR'!$FW$6&amp;'001-C DMR'!$FZ$10&amp;'001-C DMR'!$B46),('DMR 001C NEW'!$E$3:$E$7246&amp;'DMR 001C NEW'!$B$3:$B$7246&amp;'DMR 001C NEW'!$A$3:$A$7246),0),MATCH('001-C DMR'!$GB$11,'DMR 001C NEW'!$A$2:$O$2,0)),"")</f>
        <v/>
      </c>
      <c r="GC46" s="56" t="str">
        <f t="shared" si="4"/>
        <v/>
      </c>
      <c r="GD46" s="64">
        <f t="shared" si="38"/>
        <v>1</v>
      </c>
      <c r="GE46" s="279" t="str">
        <f t="array" ref="GE46">_xlfn.IFNA(INDEX('DMR 001C NEW'!$A$3:$O$999,MATCH(('001-C DMR'!$FW$6&amp;'001-C DMR'!GE$10&amp;'001-C DMR'!$B46),('DMR 001C NEW'!$E$3:$E$1112&amp;'DMR 001C NEW'!$B$3:$B$1112&amp;'DMR 001C NEW'!$A$3:$A$1112),0),MATCH('001-C DMR'!$FY$11,'DMR 001C NEW'!$A$2:$O$2,0)),"")</f>
        <v/>
      </c>
      <c r="GF46" s="280" t="str">
        <f t="array" ref="GF46">_xlfn.IFNA(INDEX('DMR 001C NEW'!$A$3:$O$999,MATCH(('001-C DMR'!$FW$6&amp;'001-C DMR'!GF$10&amp;'001-C DMR'!$B46),('DMR 001C NEW'!$E$3:$E$1112&amp;'DMR 001C NEW'!$B$3:$B$1112&amp;'DMR 001C NEW'!$A$3:$A$1112),0),MATCH('001-C DMR'!$FY$11,'DMR 001C NEW'!$A$2:$O$2,0)),"")</f>
        <v/>
      </c>
      <c r="GG46" s="280" t="str">
        <f t="array" ref="GG46">_xlfn.IFNA(INDEX('DMR 001C NEW'!$A$3:$O$999,MATCH(('001-C DMR'!$FW$6&amp;'001-C DMR'!GG$10&amp;'001-C DMR'!$B46),('DMR 001C NEW'!$E$3:$E$1112&amp;'DMR 001C NEW'!$B$3:$B$1112&amp;'DMR 001C NEW'!$A$3:$A$1112),0),MATCH('001-C DMR'!$FY$11,'DMR 001C NEW'!$A$2:$O$2,0)),"")</f>
        <v/>
      </c>
      <c r="GH46" s="280" t="str">
        <f t="array" ref="GH46">_xlfn.IFNA(INDEX('DMR 001C NEW'!$A$3:$O$999,MATCH(('001-C DMR'!$FW$6&amp;'001-C DMR'!GH$10&amp;'001-C DMR'!$B46),('DMR 001C NEW'!$E$3:$E$1112&amp;'DMR 001C NEW'!$B$3:$B$1112&amp;'DMR 001C NEW'!$A$3:$A$1112),0),MATCH('001-C DMR'!$FY$11,'DMR 001C NEW'!$A$2:$O$2,0)),"")</f>
        <v/>
      </c>
      <c r="GI46" s="280" t="str">
        <f t="array" ref="GI46">_xlfn.IFNA(INDEX('DMR 001C NEW'!$A$3:$O$999,MATCH(('001-C DMR'!$FW$6&amp;'001-C DMR'!GI$10&amp;'001-C DMR'!$B46),('DMR 001C NEW'!$E$3:$E$1112&amp;'DMR 001C NEW'!$B$3:$B$1112&amp;'DMR 001C NEW'!$A$3:$A$1112),0),MATCH('001-C DMR'!$FY$11,'DMR 001C NEW'!$A$2:$O$2,0)),"")</f>
        <v/>
      </c>
      <c r="GJ46" s="281" t="str">
        <f t="array" ref="GJ46">_xlfn.IFNA(INDEX('DMR 001C NEW'!$A$3:$O$999,MATCH(('001-C DMR'!$FW$6&amp;'001-C DMR'!GJ$10&amp;'001-C DMR'!$B46),('DMR 001C NEW'!$E$3:$E$1112&amp;'DMR 001C NEW'!$B$3:$B$1112&amp;'DMR 001C NEW'!$A$3:$A$1112),0),MATCH('001-C DMR'!$FY$11,'DMR 001C NEW'!$A$2:$O$2,0)),"")</f>
        <v/>
      </c>
      <c r="GK46" s="58" t="str">
        <f t="array" ref="GK46">_xlfn.IFNA(INDEX('DMR 001C NEW'!$A$3:$O$9999,MATCH(('001-C DMR'!$GK$6&amp;'001-C DMR'!$GK$10&amp;'001-C DMR'!$B46),('DMR 001C NEW'!$E$3:$E$9018&amp;'DMR 001C NEW'!$B$3:$B$9018&amp;'DMR 001C NEW'!$A$3:$A$9018),0),MATCH('001-C DMR'!$GK$11,'DMR 001C NEW'!$A$2:$O$2,0)),"")</f>
        <v>n</v>
      </c>
      <c r="GL46" s="58" t="str">
        <f t="array" ref="GL46">_xlfn.IFNA(INDEX('DMR 001C NEW'!$A$3:$O$9999,MATCH(('001-C DMR'!$GK$6&amp;'001-C DMR'!$GL$10&amp;'001-C DMR'!$B46),('DMR 001C NEW'!$E$3:$E$9018&amp;'DMR 001C NEW'!$B$3:$B$9018&amp;'DMR 001C NEW'!$A$3:$A$9018),0),MATCH('001-C DMR'!$GK$11,'DMR 001C NEW'!$A$2:$O$2,0)),"")</f>
        <v>n</v>
      </c>
      <c r="GN46" s="64">
        <f t="shared" si="44"/>
        <v>7</v>
      </c>
    </row>
    <row r="47" spans="1:196" x14ac:dyDescent="0.25">
      <c r="A47" s="234"/>
      <c r="B47" s="235"/>
      <c r="C47" s="93"/>
      <c r="D47" s="56"/>
      <c r="E47" s="56"/>
      <c r="F47" s="56"/>
      <c r="G47" s="56"/>
      <c r="H47" s="56"/>
      <c r="I47" s="56"/>
      <c r="J47" s="58"/>
      <c r="K47" s="64"/>
      <c r="L47" s="262" t="str">
        <f t="array" ref="L47">_xlfn.IFNA(INDEX('DMR 001C NEW'!$A$3:$N$3865,MATCH(('001-C DMR'!$C$6:$K$6&amp;'001-C DMR'!L$10&amp;'001-C DMR'!$B47),('DMR 001C NEW'!$E$3:$E$1112&amp;'DMR 001C NEW'!$B$3:$B$1112&amp;'DMR 001C NEW'!$A$3:$A$1112),0),MATCH('001-C DMR'!$C$11,'DMR 001C NEW'!$A$2:$O$2,0)),"")</f>
        <v/>
      </c>
      <c r="M47" s="262" t="str">
        <f t="array" ref="M47">_xlfn.IFNA(INDEX('DMR 001C NEW'!$A$3:$N$3865,MATCH(('001-C DMR'!$C$6:$K$6&amp;'001-C DMR'!M$10&amp;'001-C DMR'!$B47),('DMR 001C NEW'!$E$3:$E$1112&amp;'DMR 001C NEW'!$B$3:$B$1112&amp;'DMR 001C NEW'!$A$3:$A$1112),0),MATCH('001-C DMR'!$C$11,'DMR 001C NEW'!$A$2:$O$2,0)),"")</f>
        <v/>
      </c>
      <c r="N47" s="262" t="str">
        <f t="array" ref="N47">_xlfn.IFNA(INDEX('DMR 001C NEW'!$A$3:$N$3865,MATCH(('001-C DMR'!$C$6:$K$6&amp;'001-C DMR'!N$10&amp;'001-C DMR'!$B47),('DMR 001C NEW'!$E$3:$E$1112&amp;'DMR 001C NEW'!$B$3:$B$1112&amp;'DMR 001C NEW'!$A$3:$A$1112),0),MATCH('001-C DMR'!$C$11,'DMR 001C NEW'!$A$2:$O$2,0)),"")</f>
        <v/>
      </c>
      <c r="O47" s="262" t="str">
        <f t="array" ref="O47">_xlfn.IFNA(INDEX('DMR 001C NEW'!$A$3:$N$3865,MATCH(('001-C DMR'!$C$6:$K$6&amp;'001-C DMR'!O$10&amp;'001-C DMR'!$B47),('DMR 001C NEW'!$E$3:$E$1112&amp;'DMR 001C NEW'!$B$3:$B$1112&amp;'DMR 001C NEW'!$A$3:$A$1112),0),MATCH('001-C DMR'!$C$11,'DMR 001C NEW'!$A$2:$O$2,0)),"")</f>
        <v/>
      </c>
      <c r="P47" s="262" t="str">
        <f t="array" ref="P47">_xlfn.IFNA(INDEX('DMR 001C NEW'!$A$3:$N$3865,MATCH(('001-C DMR'!$C$6:$K$6&amp;'001-C DMR'!P$10&amp;'001-C DMR'!$B47),('DMR 001C NEW'!$E$3:$E$1112&amp;'DMR 001C NEW'!$B$3:$B$1112&amp;'DMR 001C NEW'!$A$3:$A$1112),0),MATCH('001-C DMR'!$C$11,'DMR 001C NEW'!$A$2:$O$2,0)),"")</f>
        <v/>
      </c>
      <c r="R47" s="38"/>
      <c r="S47" s="56"/>
      <c r="T47" s="64"/>
      <c r="U47" s="262" t="str">
        <f t="array" ref="U47">_xlfn.IFNA(INDEX('DMR 001C NEW'!$A$3:$O$591,MATCH('001-C DMR'!$R$6:$T$6&amp;'001-C DMR'!U$10&amp;'001-C DMR'!$B47,('DMR 001C NEW'!$E$3:$E$704&amp;'DMR 001C NEW'!$B$3:$B$704&amp;'DMR 001C NEW'!$A$3:$A$704),0),MATCH('001-C DMR'!$U$11,'DMR 001C NEW'!$A$2:$O$2,0)),"")</f>
        <v/>
      </c>
      <c r="V47" s="262" t="str">
        <f t="array" ref="V47">_xlfn.IFNA(INDEX('DMR 001C NEW'!$A$3:$O$591,MATCH('001-C DMR'!$R$6:$T$6&amp;'001-C DMR'!V$10&amp;'001-C DMR'!$B47,('DMR 001C NEW'!$E$3:$E$704&amp;'DMR 001C NEW'!$B$3:$B$704&amp;'DMR 001C NEW'!$A$3:$A$704),0),MATCH('001-C DMR'!$U$11,'DMR 001C NEW'!$A$2:$O$2,0)),"")</f>
        <v/>
      </c>
      <c r="W47" s="262" t="str">
        <f t="array" ref="W47">_xlfn.IFNA(INDEX('DMR 001C NEW'!$A$3:$O$591,MATCH('001-C DMR'!$R$6:$T$6&amp;'001-C DMR'!W$10&amp;'001-C DMR'!$B47,('DMR 001C NEW'!$E$3:$E$704&amp;'DMR 001C NEW'!$B$3:$B$704&amp;'DMR 001C NEW'!$A$3:$A$704),0),MATCH('001-C DMR'!$U$11,'DMR 001C NEW'!$A$2:$O$2,0)),"")</f>
        <v/>
      </c>
      <c r="X47" s="262" t="str">
        <f t="array" ref="X47">_xlfn.IFNA(INDEX('DMR 001C NEW'!$A$3:$O$591,MATCH('001-C DMR'!$R$6:$T$6&amp;'001-C DMR'!X$10&amp;'001-C DMR'!$B47,('DMR 001C NEW'!$E$3:$E$704&amp;'DMR 001C NEW'!$B$3:$B$704&amp;'DMR 001C NEW'!$A$3:$A$704),0),MATCH('001-C DMR'!$U$11,'DMR 001C NEW'!$A$2:$O$2,0)),"")</f>
        <v/>
      </c>
      <c r="Y47" s="262" t="str">
        <f t="array" ref="Y47">_xlfn.IFNA(INDEX('DMR 001C NEW'!$A$3:$O$591,MATCH('001-C DMR'!$R$6:$T$6&amp;'001-C DMR'!Y$10&amp;'001-C DMR'!$B47,('DMR 001C NEW'!$E$3:$E$704&amp;'DMR 001C NEW'!$B$3:$B$704&amp;'DMR 001C NEW'!$A$3:$A$704),0),MATCH('001-C DMR'!$U$11,'DMR 001C NEW'!$A$2:$O$2,0)),"")</f>
        <v/>
      </c>
      <c r="Z47" s="262" t="str">
        <f t="array" ref="Z47">_xlfn.IFNA(INDEX('DMR 001C NEW'!$A$3:$O$591,MATCH('001-C DMR'!$R$6:$T$6&amp;'001-C DMR'!Z$10&amp;'001-C DMR'!$B47,('DMR 001C NEW'!$E$3:$E$704&amp;'DMR 001C NEW'!$B$3:$B$704&amp;'DMR 001C NEW'!$A$3:$A$704),0),MATCH('001-C DMR'!$U$11,'DMR 001C NEW'!$A$2:$O$2,0)),"")</f>
        <v/>
      </c>
      <c r="AA47" s="262" t="str">
        <f t="array" ref="AA47">_xlfn.IFNA(INDEX('DMR 001C NEW'!$A$3:$O$591,MATCH('001-C DMR'!$R$6:$T$6&amp;'001-C DMR'!AA$10&amp;'001-C DMR'!$B47,('DMR 001C NEW'!$E$3:$E$704&amp;'DMR 001C NEW'!$B$3:$B$704&amp;'DMR 001C NEW'!$A$3:$A$704),0),MATCH('001-C DMR'!$U$11,'DMR 001C NEW'!$A$2:$O$2,0)),"")</f>
        <v/>
      </c>
      <c r="AB47" s="61"/>
      <c r="AC47" s="56"/>
      <c r="AD47" s="56"/>
      <c r="AE47" s="57"/>
      <c r="AF47" s="56"/>
      <c r="AG47" s="56"/>
      <c r="AH47" s="56"/>
      <c r="AI47" s="56"/>
      <c r="AJ47" s="64"/>
      <c r="AK47" s="262" t="str">
        <f t="array" ref="AK47">_xlfn.IFNA(INDEX('DMR 001C NEW'!$A$3:$O$999,MATCH(('001-C DMR'!$AB$6:$AJ$6&amp;'001-C DMR'!AK$10&amp;'001-C DMR'!$B47),('DMR 001C NEW'!$E$3:$E$1112&amp;'DMR 001C NEW'!$B$3:$B$1112&amp;'DMR 001C NEW'!$A$3:$A$1112),0),MATCH('001-C DMR'!$AD$11,'DMR 001C NEW'!$A$2:$O$2,0)),"")</f>
        <v/>
      </c>
      <c r="AL47" s="262" t="str">
        <f t="array" ref="AL47">_xlfn.IFNA(INDEX('DMR 001C NEW'!$A$3:$O$999,MATCH(('001-C DMR'!$AB$6:$AJ$6&amp;'001-C DMR'!AL$10&amp;'001-C DMR'!$B47),('DMR 001C NEW'!$E$3:$E$1112&amp;'DMR 001C NEW'!$B$3:$B$1112&amp;'DMR 001C NEW'!$A$3:$A$1112),0),MATCH('001-C DMR'!$AD$11,'DMR 001C NEW'!$A$2:$O$2,0)),"")</f>
        <v/>
      </c>
      <c r="AM47" s="262" t="str">
        <f t="array" ref="AM47">_xlfn.IFNA(INDEX('DMR 001C NEW'!$A$3:$O$999,MATCH(('001-C DMR'!$AB$6:$AJ$6&amp;'001-C DMR'!AM$10&amp;'001-C DMR'!$B47),('DMR 001C NEW'!$E$3:$E$1112&amp;'DMR 001C NEW'!$B$3:$B$1112&amp;'DMR 001C NEW'!$A$3:$A$1112),0),MATCH('001-C DMR'!$AD$11,'DMR 001C NEW'!$A$2:$O$2,0)),"")</f>
        <v/>
      </c>
      <c r="AN47" s="262" t="str">
        <f t="array" ref="AN47">_xlfn.IFNA(INDEX('DMR 001C NEW'!$A$3:$O$999,MATCH(('001-C DMR'!$AB$6:$AJ$6&amp;'001-C DMR'!AN$10&amp;'001-C DMR'!$B47),('DMR 001C NEW'!$E$3:$E$1112&amp;'DMR 001C NEW'!$B$3:$B$1112&amp;'DMR 001C NEW'!$A$3:$A$1112),0),MATCH('001-C DMR'!$AD$11,'DMR 001C NEW'!$A$2:$O$2,0)),"")</f>
        <v/>
      </c>
      <c r="AO47" s="262" t="str">
        <f t="array" ref="AO47">_xlfn.IFNA(INDEX('DMR 001C NEW'!$A$3:$O$999,MATCH(('001-C DMR'!$AB$6:$AJ$6&amp;'001-C DMR'!AO$10&amp;'001-C DMR'!$B47),('DMR 001C NEW'!$E$3:$E$1112&amp;'DMR 001C NEW'!$B$3:$B$1112&amp;'DMR 001C NEW'!$A$3:$A$1112),0),MATCH('001-C DMR'!$AD$11,'DMR 001C NEW'!$A$2:$O$2,0)),"")</f>
        <v/>
      </c>
      <c r="AP47" s="262" t="str">
        <f t="array" ref="AP47">_xlfn.IFNA(INDEX('DMR 001C NEW'!$A$3:$O$999,MATCH(('001-C DMR'!$AB$6:$AJ$6&amp;'001-C DMR'!AP$10&amp;'001-C DMR'!$B47),('DMR 001C NEW'!$E$3:$E$1112&amp;'DMR 001C NEW'!$B$3:$B$1112&amp;'DMR 001C NEW'!$A$3:$A$1112),0),MATCH('001-C DMR'!$AD$11,'DMR 001C NEW'!$A$2:$O$2,0)),"")</f>
        <v/>
      </c>
      <c r="AQ47" s="38"/>
      <c r="AR47" s="58"/>
      <c r="AS47" s="58"/>
      <c r="AT47" s="58"/>
      <c r="AV47" s="58"/>
      <c r="AW47" s="58"/>
      <c r="AX47" s="58"/>
      <c r="AY47" s="56"/>
      <c r="AZ47" s="64"/>
      <c r="BA47" s="279" t="str">
        <f t="array" ref="BA47">_xlfn.IFNA(INDEX('DMR 001C NEW'!$A$3:$O$9999,MATCH(('001-C DMR'!$AQ$6:$AZ$6&amp;'001-C DMR'!BA$10&amp;'001-C DMR'!$B47),('DMR 001C NEW'!$E$3:$E$1112&amp;'DMR 001C NEW'!$B$3:$B$1112&amp;'DMR 001C NEW'!$A$3:$A$1112),0),MATCH('001-C DMR'!$BA$11,'DMR 001C NEW'!$A$2:$O$2,0)),"")</f>
        <v/>
      </c>
      <c r="BB47" s="280" t="str">
        <f t="array" ref="BB47">_xlfn.IFNA(INDEX('DMR 001C NEW'!$A$3:$O$9999,MATCH(('001-C DMR'!$AQ$6:$AZ$6&amp;'001-C DMR'!BB$10&amp;'001-C DMR'!$B47),('DMR 001C NEW'!$E$3:$E$1112&amp;'DMR 001C NEW'!$B$3:$B$1112&amp;'DMR 001C NEW'!$A$3:$A$1112),0),MATCH('001-C DMR'!$BA$11,'DMR 001C NEW'!$A$2:$O$2,0)),"")</f>
        <v/>
      </c>
      <c r="BC47" s="280" t="str">
        <f t="array" ref="BC47">_xlfn.IFNA(INDEX('DMR 001C NEW'!$A$3:$O$9999,MATCH(('001-C DMR'!$AQ$6:$AZ$6&amp;'001-C DMR'!BC$10&amp;'001-C DMR'!$B47),('DMR 001C NEW'!$E$3:$E$1112&amp;'DMR 001C NEW'!$B$3:$B$1112&amp;'DMR 001C NEW'!$A$3:$A$1112),0),MATCH('001-C DMR'!$BA$11,'DMR 001C NEW'!$A$2:$O$2,0)),"")</f>
        <v/>
      </c>
      <c r="BD47" s="280" t="str">
        <f t="array" ref="BD47">_xlfn.IFNA(INDEX('DMR 001C NEW'!$A$3:$O$9999,MATCH(('001-C DMR'!$AQ$6:$AZ$6&amp;'001-C DMR'!BD$10&amp;'001-C DMR'!$B47),('DMR 001C NEW'!$E$3:$E$1112&amp;'DMR 001C NEW'!$B$3:$B$1112&amp;'DMR 001C NEW'!$A$3:$A$1112),0),MATCH('001-C DMR'!$BA$11,'DMR 001C NEW'!$A$2:$O$2,0)),"")</f>
        <v/>
      </c>
      <c r="BE47" s="280" t="str">
        <f t="array" ref="BE47">_xlfn.IFNA(INDEX('DMR 001C NEW'!$A$3:$O$9999,MATCH(('001-C DMR'!$AQ$6:$AZ$6&amp;'001-C DMR'!BE$10&amp;'001-C DMR'!$B47),('DMR 001C NEW'!$E$3:$E$1112&amp;'DMR 001C NEW'!$B$3:$B$1112&amp;'DMR 001C NEW'!$A$3:$A$1112),0),MATCH('001-C DMR'!$BA$11,'DMR 001C NEW'!$A$2:$O$2,0)),"")</f>
        <v/>
      </c>
      <c r="BF47" s="281" t="str">
        <f t="array" ref="BF47">_xlfn.IFNA(INDEX('DMR 001C NEW'!$A$3:$O$9999,MATCH(('001-C DMR'!$AQ$6:$AZ$6&amp;'001-C DMR'!BF$10&amp;'001-C DMR'!$B47),('DMR 001C NEW'!$E$3:$E$1112&amp;'DMR 001C NEW'!$B$3:$B$1112&amp;'DMR 001C NEW'!$A$3:$A$1112),0),MATCH('001-C DMR'!$BA$11,'DMR 001C NEW'!$A$2:$O$2,0)),"")</f>
        <v/>
      </c>
      <c r="BH47" s="58"/>
      <c r="BI47" s="58"/>
      <c r="BJ47" s="58"/>
      <c r="BK47" s="57"/>
      <c r="BL47" s="58"/>
      <c r="BM47" s="58"/>
      <c r="BN47" s="58"/>
      <c r="BO47" s="56"/>
      <c r="BP47" s="29"/>
      <c r="BQ47" s="280" t="str">
        <f t="array" ref="BQ47">_xlfn.IFNA(INDEX('DMR 001C NEW'!$A$3:$O$999,MATCH(('001-C DMR'!$BG$6&amp;'001-C DMR'!BQ$10&amp;'001-C DMR'!$B47),('DMR 001C NEW'!$E$3:$E$1112&amp;'DMR 001C NEW'!$B$3:$B$1112&amp;'DMR 001C NEW'!$A$3:$A$1112),0),MATCH('001-C DMR'!$BQ$11,'DMR 001C NEW'!$A$2:$O$2,0)),"")</f>
        <v/>
      </c>
      <c r="BR47" s="280" t="str">
        <f t="array" ref="BR47">_xlfn.IFNA(INDEX('DMR 001C NEW'!$A$3:$O$999,MATCH(('001-C DMR'!$BG$6&amp;'001-C DMR'!BR$10&amp;'001-C DMR'!$B47),('DMR 001C NEW'!$E$3:$E$1112&amp;'DMR 001C NEW'!$B$3:$B$1112&amp;'DMR 001C NEW'!$A$3:$A$1112),0),MATCH('001-C DMR'!$BQ$11,'DMR 001C NEW'!$A$2:$O$2,0)),"")</f>
        <v/>
      </c>
      <c r="BS47" s="280" t="str">
        <f t="array" ref="BS47">_xlfn.IFNA(INDEX('DMR 001C NEW'!$A$3:$O$999,MATCH(('001-C DMR'!$BG$6&amp;'001-C DMR'!BS$10&amp;'001-C DMR'!$B47),('DMR 001C NEW'!$E$3:$E$1112&amp;'DMR 001C NEW'!$B$3:$B$1112&amp;'DMR 001C NEW'!$A$3:$A$1112),0),MATCH('001-C DMR'!$BQ$11,'DMR 001C NEW'!$A$2:$O$2,0)),"")</f>
        <v/>
      </c>
      <c r="BT47" s="280" t="str">
        <f t="array" ref="BT47">_xlfn.IFNA(INDEX('DMR 001C NEW'!$A$3:$O$999,MATCH(('001-C DMR'!$BG$6&amp;'001-C DMR'!BT$10&amp;'001-C DMR'!$B47),('DMR 001C NEW'!$E$3:$E$1112&amp;'DMR 001C NEW'!$B$3:$B$1112&amp;'DMR 001C NEW'!$A$3:$A$1112),0),MATCH('001-C DMR'!$BQ$11,'DMR 001C NEW'!$A$2:$O$2,0)),"")</f>
        <v/>
      </c>
      <c r="BU47" s="280" t="str">
        <f t="array" ref="BU47">_xlfn.IFNA(INDEX('DMR 001C NEW'!$A$3:$O$999,MATCH(('001-C DMR'!$BG$6&amp;'001-C DMR'!BU$10&amp;'001-C DMR'!$B47),('DMR 001C NEW'!$E$3:$E$1112&amp;'DMR 001C NEW'!$B$3:$B$1112&amp;'DMR 001C NEW'!$A$3:$A$1112),0),MATCH('001-C DMR'!$BQ$11,'DMR 001C NEW'!$A$2:$O$2,0)),"")</f>
        <v/>
      </c>
      <c r="BV47" s="280" t="str">
        <f t="array" ref="BV47">_xlfn.IFNA(INDEX('DMR 001C NEW'!$A$3:$O$999,MATCH(('001-C DMR'!$BG$6&amp;'001-C DMR'!BV$10&amp;'001-C DMR'!$B47),('DMR 001C NEW'!$E$3:$E$1112&amp;'DMR 001C NEW'!$B$3:$B$1112&amp;'DMR 001C NEW'!$A$3:$A$1112),0),MATCH('001-C DMR'!$BQ$11,'DMR 001C NEW'!$A$2:$O$2,0)),"")</f>
        <v/>
      </c>
      <c r="BW47" s="41"/>
      <c r="BX47" s="41"/>
      <c r="BY47" s="57"/>
      <c r="BZ47" s="58"/>
      <c r="CA47" s="138"/>
      <c r="CB47" s="57"/>
      <c r="CC47" s="58"/>
      <c r="CD47" s="138"/>
      <c r="CE47" s="138"/>
      <c r="CF47" s="64"/>
      <c r="CG47" s="280" t="str">
        <f t="array" ref="CG47">_xlfn.IFNA(INDEX('DMR 001C NEW'!$A$3:$O$999,MATCH(('001-C DMR'!$BY$6&amp;'001-C DMR'!CG$10&amp;'001-C DMR'!$B47),('DMR 001C NEW'!$E$3:$E$1112&amp;'DMR 001C NEW'!$B$3:$B$1112&amp;'DMR 001C NEW'!$A$3:$A$1112),0),MATCH('001-C DMR'!$CA$11,'DMR 001C NEW'!$A$2:$O$2,0)),"")</f>
        <v/>
      </c>
      <c r="CH47" s="280" t="str">
        <f t="array" ref="CH47">_xlfn.IFNA(INDEX('DMR 001C NEW'!$A$3:$O$999,MATCH(('001-C DMR'!$BY$6&amp;'001-C DMR'!CH$10&amp;'001-C DMR'!$B47),('DMR 001C NEW'!$E$3:$E$1112&amp;'DMR 001C NEW'!$B$3:$B$1112&amp;'DMR 001C NEW'!$A$3:$A$1112),0),MATCH('001-C DMR'!$CA$11,'DMR 001C NEW'!$A$2:$O$2,0)),"")</f>
        <v/>
      </c>
      <c r="CI47" s="280" t="str">
        <f t="array" ref="CI47">_xlfn.IFNA(INDEX('DMR 001C NEW'!$A$3:$O$999,MATCH(('001-C DMR'!$BY$6&amp;'001-C DMR'!CI$10&amp;'001-C DMR'!$B47),('DMR 001C NEW'!$E$3:$E$1112&amp;'DMR 001C NEW'!$B$3:$B$1112&amp;'DMR 001C NEW'!$A$3:$A$1112),0),MATCH('001-C DMR'!$CA$11,'DMR 001C NEW'!$A$2:$O$2,0)),"")</f>
        <v/>
      </c>
      <c r="CJ47" s="280" t="str">
        <f t="array" ref="CJ47">_xlfn.IFNA(INDEX('DMR 001C NEW'!$A$3:$O$999,MATCH(('001-C DMR'!$BY$6&amp;'001-C DMR'!CJ$10&amp;'001-C DMR'!$B47),('DMR 001C NEW'!$E$3:$E$1112&amp;'DMR 001C NEW'!$B$3:$B$1112&amp;'DMR 001C NEW'!$A$3:$A$1112),0),MATCH('001-C DMR'!$CA$11,'DMR 001C NEW'!$A$2:$O$2,0)),"")</f>
        <v/>
      </c>
      <c r="CK47" s="280" t="str">
        <f t="array" ref="CK47">_xlfn.IFNA(INDEX('DMR 001C NEW'!$A$3:$O$999,MATCH(('001-C DMR'!$BY$6&amp;'001-C DMR'!CK$10&amp;'001-C DMR'!$B47),('DMR 001C NEW'!$E$3:$E$1112&amp;'DMR 001C NEW'!$B$3:$B$1112&amp;'DMR 001C NEW'!$A$3:$A$1112),0),MATCH('001-C DMR'!$CA$11,'DMR 001C NEW'!$A$2:$O$2,0)),"")</f>
        <v/>
      </c>
      <c r="CL47" s="280" t="str">
        <f t="array" ref="CL47">_xlfn.IFNA(INDEX('DMR 001C NEW'!$A$3:$O$999,MATCH(('001-C DMR'!$BY$6&amp;'001-C DMR'!CL$10&amp;'001-C DMR'!$B47),('DMR 001C NEW'!$E$3:$E$1112&amp;'DMR 001C NEW'!$B$3:$B$1112&amp;'DMR 001C NEW'!$A$3:$A$1112),0),MATCH('001-C DMR'!$CA$11,'DMR 001C NEW'!$A$2:$O$2,0)),"")</f>
        <v/>
      </c>
      <c r="CM47" s="38"/>
      <c r="CN47" s="138"/>
      <c r="CO47" s="138"/>
      <c r="CP47" s="138"/>
      <c r="CQ47" s="64"/>
      <c r="CR47" s="280" t="str">
        <f t="array" ref="CR47">_xlfn.IFNA(INDEX('DMR 001C NEW'!$A$3:$O$999,MATCH(('001-C DMR'!$CM$6&amp;'001-C DMR'!CR$10&amp;'001-C DMR'!$B47),('DMR 001C NEW'!$E$3:$E$1112&amp;'DMR 001C NEW'!$B$3:$B$1112&amp;'DMR 001C NEW'!$A$3:$A$1112),0),MATCH('001-C DMR'!$CO$11,'DMR 001C NEW'!$A$2:$O$2,0)),"")</f>
        <v/>
      </c>
      <c r="CS47" s="280" t="str">
        <f t="array" ref="CS47">_xlfn.IFNA(INDEX('DMR 001C NEW'!$A$3:$O$999,MATCH(('001-C DMR'!$CM$6&amp;'001-C DMR'!CS$10&amp;'001-C DMR'!$B47),('DMR 001C NEW'!$E$3:$E$1112&amp;'DMR 001C NEW'!$B$3:$B$1112&amp;'DMR 001C NEW'!$A$3:$A$1112),0),MATCH('001-C DMR'!$CO$11,'DMR 001C NEW'!$A$2:$O$2,0)),"")</f>
        <v/>
      </c>
      <c r="CT47" s="280" t="str">
        <f t="array" ref="CT47">_xlfn.IFNA(INDEX('DMR 001C NEW'!$A$3:$O$999,MATCH(('001-C DMR'!$CM$6&amp;'001-C DMR'!CT$10&amp;'001-C DMR'!$B47),('DMR 001C NEW'!$E$3:$E$1112&amp;'DMR 001C NEW'!$B$3:$B$1112&amp;'DMR 001C NEW'!$A$3:$A$1112),0),MATCH('001-C DMR'!$CO$11,'DMR 001C NEW'!$A$2:$O$2,0)),"")</f>
        <v/>
      </c>
      <c r="CU47" s="280" t="str">
        <f t="array" ref="CU47">_xlfn.IFNA(INDEX('DMR 001C NEW'!$A$3:$O$999,MATCH(('001-C DMR'!$CM$6&amp;'001-C DMR'!CU$10&amp;'001-C DMR'!$B47),('DMR 001C NEW'!$E$3:$E$1112&amp;'DMR 001C NEW'!$B$3:$B$1112&amp;'DMR 001C NEW'!$A$3:$A$1112),0),MATCH('001-C DMR'!$CO$11,'DMR 001C NEW'!$A$2:$O$2,0)),"")</f>
        <v/>
      </c>
      <c r="CV47" s="280" t="str">
        <f t="array" ref="CV47">_xlfn.IFNA(INDEX('DMR 001C NEW'!$A$3:$O$999,MATCH(('001-C DMR'!$CM$6&amp;'001-C DMR'!CV$10&amp;'001-C DMR'!$B47),('DMR 001C NEW'!$E$3:$E$1112&amp;'DMR 001C NEW'!$B$3:$B$1112&amp;'DMR 001C NEW'!$A$3:$A$1112),0),MATCH('001-C DMR'!$CO$11,'DMR 001C NEW'!$A$2:$O$2,0)),"")</f>
        <v/>
      </c>
      <c r="CW47" s="280" t="str">
        <f t="array" ref="CW47">_xlfn.IFNA(INDEX('DMR 001C NEW'!$A$3:$O$999,MATCH(('001-C DMR'!$CM$6&amp;'001-C DMR'!CW$10&amp;'001-C DMR'!$B47),('DMR 001C NEW'!$E$3:$E$1112&amp;'DMR 001C NEW'!$B$3:$B$1112&amp;'DMR 001C NEW'!$A$3:$A$1112),0),MATCH('001-C DMR'!$CO$11,'DMR 001C NEW'!$A$2:$O$2,0)),"")</f>
        <v/>
      </c>
      <c r="CX47" s="280" t="str">
        <f t="array" ref="CX47">_xlfn.IFNA(INDEX('DMR 001C NEW'!$A$3:$O$999,MATCH(('001-C DMR'!$CM$6&amp;'001-C DMR'!CX$10&amp;'001-C DMR'!$B47),('DMR 001C NEW'!$E$3:$E$1112&amp;'DMR 001C NEW'!$B$3:$B$1112&amp;'DMR 001C NEW'!$A$3:$A$1112),0),MATCH('001-C DMR'!$CO$11,'DMR 001C NEW'!$A$2:$O$2,0)),"")</f>
        <v/>
      </c>
      <c r="CY47" s="94"/>
      <c r="CZ47" s="138"/>
      <c r="DA47" s="138"/>
      <c r="DB47" s="138"/>
      <c r="DC47" s="29"/>
      <c r="DD47" s="280" t="str">
        <f t="array" ref="DD47">_xlfn.IFNA(INDEX('DMR 001C NEW'!$A$3:$O$999,MATCH(('001-C DMR'!$CY$6&amp;'001-C DMR'!DD$10&amp;'001-C DMR'!$B47),('DMR 001C NEW'!$E$3:$E$1112&amp;'DMR 001C NEW'!$B$3:$B$1112&amp;'DMR 001C NEW'!$A$3:$A$1112),0),MATCH('001-C DMR'!$DA$11,'DMR 001C NEW'!$A$2:$O$2,0)),"")</f>
        <v/>
      </c>
      <c r="DE47" s="280" t="str">
        <f t="array" ref="DE47">_xlfn.IFNA(INDEX('DMR 001C NEW'!$A$3:$O$999,MATCH(('001-C DMR'!$CY$6&amp;'001-C DMR'!DE$10&amp;'001-C DMR'!$B47),('DMR 001C NEW'!$E$3:$E$1112&amp;'DMR 001C NEW'!$B$3:$B$1112&amp;'DMR 001C NEW'!$A$3:$A$1112),0),MATCH('001-C DMR'!$DA$11,'DMR 001C NEW'!$A$2:$O$2,0)),"")</f>
        <v/>
      </c>
      <c r="DF47" s="280" t="str">
        <f t="array" ref="DF47">_xlfn.IFNA(INDEX('DMR 001C NEW'!$A$3:$O$999,MATCH(('001-C DMR'!$CY$6&amp;'001-C DMR'!DF$10&amp;'001-C DMR'!$B47),('DMR 001C NEW'!$E$3:$E$1112&amp;'DMR 001C NEW'!$B$3:$B$1112&amp;'DMR 001C NEW'!$A$3:$A$1112),0),MATCH('001-C DMR'!$DA$11,'DMR 001C NEW'!$A$2:$O$2,0)),"")</f>
        <v/>
      </c>
      <c r="DG47" s="280" t="str">
        <f t="array" ref="DG47">_xlfn.IFNA(INDEX('DMR 001C NEW'!$A$3:$O$999,MATCH(('001-C DMR'!$CY$6&amp;'001-C DMR'!DG$10&amp;'001-C DMR'!$B47),('DMR 001C NEW'!$E$3:$E$1112&amp;'DMR 001C NEW'!$B$3:$B$1112&amp;'DMR 001C NEW'!$A$3:$A$1112),0),MATCH('001-C DMR'!$DA$11,'DMR 001C NEW'!$A$2:$O$2,0)),"")</f>
        <v/>
      </c>
      <c r="DH47" s="280" t="str">
        <f t="array" ref="DH47">_xlfn.IFNA(INDEX('DMR 001C NEW'!$A$3:$O$999,MATCH(('001-C DMR'!$CY$6&amp;'001-C DMR'!DH$10&amp;'001-C DMR'!$B47),('DMR 001C NEW'!$E$3:$E$1112&amp;'DMR 001C NEW'!$B$3:$B$1112&amp;'DMR 001C NEW'!$A$3:$A$1112),0),MATCH('001-C DMR'!$DA$11,'DMR 001C NEW'!$A$2:$O$2,0)),"")</f>
        <v/>
      </c>
      <c r="DI47" s="280" t="str">
        <f t="array" ref="DI47">_xlfn.IFNA(INDEX('DMR 001C NEW'!$A$3:$O$999,MATCH(('001-C DMR'!$CY$6&amp;'001-C DMR'!DI$10&amp;'001-C DMR'!$B47),('DMR 001C NEW'!$E$3:$E$1112&amp;'DMR 001C NEW'!$B$3:$B$1112&amp;'DMR 001C NEW'!$A$3:$A$1112),0),MATCH('001-C DMR'!$DA$11,'DMR 001C NEW'!$A$2:$O$2,0)),"")</f>
        <v/>
      </c>
      <c r="DJ47" s="280" t="str">
        <f t="array" ref="DJ47">_xlfn.IFNA(INDEX('DMR 001C NEW'!$A$3:$O$999,MATCH(('001-C DMR'!$CY$6&amp;'001-C DMR'!DJ$10&amp;'001-C DMR'!$B47),('DMR 001C NEW'!$E$3:$E$1112&amp;'DMR 001C NEW'!$B$3:$B$1112&amp;'DMR 001C NEW'!$A$3:$A$1112),0),MATCH('001-C DMR'!$DA$11,'DMR 001C NEW'!$A$2:$O$2,0)),"")</f>
        <v/>
      </c>
      <c r="DK47" s="61" t="str">
        <f t="shared" si="16"/>
        <v/>
      </c>
      <c r="DL47" s="58"/>
      <c r="DM47" s="58"/>
      <c r="DN47" s="58"/>
      <c r="DO47" s="225"/>
      <c r="DP47" s="226"/>
      <c r="DQ47" s="29"/>
      <c r="DR47" s="280" t="str">
        <f t="array" ref="DR47">_xlfn.IFNA(INDEX('DMR 001C NEW'!$A$3:$O$999,MATCH(('001-C DMR'!$DK$6&amp;'001-C DMR'!DR$10&amp;'001-C DMR'!$B47),('DMR 001C NEW'!$E$3:$E$1112&amp;'DMR 001C NEW'!$B$3:$B$1112&amp;'DMR 001C NEW'!$A$3:$A$1112),0),MATCH('001-C DMR'!$DR$11,'DMR 001C NEW'!$A$2:$O$2,0)),"")</f>
        <v/>
      </c>
      <c r="DS47" s="280" t="str">
        <f t="array" ref="DS47">_xlfn.IFNA(INDEX('DMR 001C NEW'!$A$3:$O$999,MATCH(('001-C DMR'!$DK$6&amp;'001-C DMR'!DS$10&amp;'001-C DMR'!$B47),('DMR 001C NEW'!$E$3:$E$1112&amp;'DMR 001C NEW'!$B$3:$B$1112&amp;'DMR 001C NEW'!$A$3:$A$1112),0),MATCH('001-C DMR'!$DR$11,'DMR 001C NEW'!$A$2:$O$2,0)),"")</f>
        <v/>
      </c>
      <c r="DT47" s="280" t="str">
        <f t="array" ref="DT47">_xlfn.IFNA(INDEX('DMR 001C NEW'!$A$3:$O$999,MATCH(('001-C DMR'!$DK$6&amp;'001-C DMR'!DT$10&amp;'001-C DMR'!$B47),('DMR 001C NEW'!$E$3:$E$1112&amp;'DMR 001C NEW'!$B$3:$B$1112&amp;'DMR 001C NEW'!$A$3:$A$1112),0),MATCH('001-C DMR'!$DR$11,'DMR 001C NEW'!$A$2:$O$2,0)),"")</f>
        <v/>
      </c>
      <c r="DU47" s="280" t="str">
        <f t="array" ref="DU47">_xlfn.IFNA(INDEX('DMR 001C NEW'!$A$3:$O$999,MATCH(('001-C DMR'!$DK$6&amp;'001-C DMR'!DU$10&amp;'001-C DMR'!$B47),('DMR 001C NEW'!$E$3:$E$1112&amp;'DMR 001C NEW'!$B$3:$B$1112&amp;'DMR 001C NEW'!$A$3:$A$1112),0),MATCH('001-C DMR'!$DR$11,'DMR 001C NEW'!$A$2:$O$2,0)),"")</f>
        <v/>
      </c>
      <c r="DV47" s="280" t="str">
        <f t="array" ref="DV47">_xlfn.IFNA(INDEX('DMR 001C NEW'!$A$3:$O$999,MATCH(('001-C DMR'!$DK$6&amp;'001-C DMR'!DV$10&amp;'001-C DMR'!$B47),('DMR 001C NEW'!$E$3:$E$1112&amp;'DMR 001C NEW'!$B$3:$B$1112&amp;'DMR 001C NEW'!$A$3:$A$1112),0),MATCH('001-C DMR'!$DR$11,'DMR 001C NEW'!$A$2:$O$2,0)),"")</f>
        <v/>
      </c>
      <c r="DW47" s="280" t="str">
        <f t="array" ref="DW47">_xlfn.IFNA(INDEX('DMR 001C NEW'!$A$3:$O$999,MATCH(('001-C DMR'!$DK$6&amp;'001-C DMR'!DW$10&amp;'001-C DMR'!$B47),('DMR 001C NEW'!$E$3:$E$1112&amp;'DMR 001C NEW'!$B$3:$B$1112&amp;'DMR 001C NEW'!$A$3:$A$1112),0),MATCH('001-C DMR'!$DR$11,'DMR 001C NEW'!$A$2:$O$2,0)),"")</f>
        <v/>
      </c>
      <c r="DX47" s="280" t="str">
        <f t="array" ref="DX47">_xlfn.IFNA(INDEX('DMR 001C NEW'!$A$3:$O$999,MATCH(('001-C DMR'!$DK$6&amp;'001-C DMR'!DX$10&amp;'001-C DMR'!$B47),('DMR 001C NEW'!$E$3:$E$1112&amp;'DMR 001C NEW'!$B$3:$B$1112&amp;'DMR 001C NEW'!$A$3:$A$1112),0),MATCH('001-C DMR'!$DR$11,'DMR 001C NEW'!$A$2:$O$2,0)),"")</f>
        <v/>
      </c>
      <c r="DY47" s="61" t="str">
        <f t="shared" si="28"/>
        <v/>
      </c>
      <c r="DZ47" s="249" t="str">
        <f t="array" ref="DZ47">_xlfn.IFNA((INDEX('DMR 001C NEW'!$A$3:$O$9999,MATCH(('001-C DMR'!$DY$6&amp;'001-C DMR'!$DY$10&amp;'001-C DMR'!$B47),('DMR 001C NEW'!$E$3:$E$9018&amp;'DMR 001C NEW'!$B$3:$B$9018&amp;'DMR 001C NEW'!$A$3:$A$9018),0),MATCH('001-C DMR'!$DZ$11,'DMR 001C NEW'!$A$2:$O$2,0))),"")</f>
        <v/>
      </c>
      <c r="EA47" s="249" t="str">
        <f t="array" ref="EA47">_xlfn.IFNA((INDEX('DMR 001C NEW'!$A$3:$O$9999,MATCH(('001-C DMR'!$DY$6&amp;'001-C DMR'!$DY$10&amp;'001-C DMR'!$B47),('DMR 001C NEW'!$E$3:$E$9018&amp;'DMR 001C NEW'!$B$3:$B$9018&amp;'DMR 001C NEW'!$A$3:$A$9018),0),MATCH('001-C DMR'!$EA$11,'DMR 001C NEW'!$A$2:$O$2,0))),"")</f>
        <v/>
      </c>
      <c r="EB47" s="249" t="str">
        <f t="array" ref="EB47">IF(EA47="SCRATCHED","",IF(EA47&lt;DZ47,0,EA47))</f>
        <v/>
      </c>
      <c r="EC47" s="249" t="str">
        <f t="shared" si="29"/>
        <v/>
      </c>
      <c r="ED47" s="249" t="str">
        <f t="array" ref="ED47">_xlfn.IFNA((INDEX('DMR 001C NEW'!$A$3:$O$9999,MATCH(('001-C DMR'!$DY$6&amp;'001-C DMR'!$EC$10&amp;'001-C DMR'!$B47),('DMR 001C NEW'!$E$3:$E$9018&amp;'DMR 001C NEW'!$B$3:$B$9018&amp;'DMR 001C NEW'!$A$3:$A$9018),0),MATCH('001-C DMR'!$DZ$11,'DMR 001C NEW'!$A$2:$O$2,0))),"")</f>
        <v/>
      </c>
      <c r="EE47" s="249" t="str">
        <f t="array" ref="EE47">_xlfn.IFNA((INDEX('DMR 001C NEW'!$A$3:$O$9999,MATCH(('001-C DMR'!$DY$6&amp;'001-C DMR'!$EC$10&amp;'001-C DMR'!$B47),('DMR 001C NEW'!$E$3:$E$9018&amp;'DMR 001C NEW'!$B$3:$B$9018&amp;'DMR 001C NEW'!$A$3:$A$9018),0),MATCH('001-C DMR'!$EE$11,'DMR 001C NEW'!$A$2:$O$2,0))),"")</f>
        <v/>
      </c>
      <c r="EF47" s="249" t="str">
        <f t="array" ref="EF47">IF(EE47="SCRATCHED","",IF(EE47&lt;ED47,0,EE47))</f>
        <v/>
      </c>
      <c r="EH47" s="29"/>
      <c r="EI47" s="194"/>
      <c r="EJ47" s="56"/>
      <c r="EK47" s="168"/>
      <c r="EP47" s="38"/>
      <c r="EQ47" s="157"/>
      <c r="ER47" s="56"/>
      <c r="ES47" s="64"/>
      <c r="ET47" s="38"/>
      <c r="EU47" s="58" t="str">
        <f t="array" ref="EU47">_xlfn.IFNA((INDEX('DMR 001C NEW'!$A$3:$O$9999,MATCH(('001-C DMR'!$ET$6&amp;'001-C DMR'!$ET$10&amp;'001-C DMR'!$B47),('DMR 001C NEW'!$E$3:$E$9018&amp;'DMR 001C NEW'!$B$3:$B$9018&amp;'DMR 001C NEW'!$A$3:$A$9018),0),MATCH('001-C DMR'!$EU$11,'DMR 001C NEW'!$A$2:$O$2,0))),"")</f>
        <v/>
      </c>
      <c r="EV47" s="58" t="str">
        <f t="array" ref="EV47">_xlfn.IFNA(INDEX('DMR 001C NEW'!$A$3:$O$9999,MATCH(('001-C DMR'!$ET$6&amp;'001-C DMR'!$ET$10&amp;'001-C DMR'!$B47),('DMR 001C NEW'!$E$3:$E$9018&amp;'DMR 001C NEW'!$B$3:$B$9018&amp;'DMR 001C NEW'!$A$3:$A$9018),0),MATCH('001-C DMR'!$EV$11,'DMR 001C NEW'!$A$2:$O$2,0)),"")</f>
        <v/>
      </c>
      <c r="EW47" s="56" t="str">
        <f t="shared" si="21"/>
        <v/>
      </c>
      <c r="EX47" s="29"/>
      <c r="EY47" s="279" t="str">
        <f t="array" ref="EY47">_xlfn.IFNA(INDEX('DMR 001C NEW'!$A$3:$O$999,MATCH(('001-C DMR'!$ET$6&amp;'001-C DMR'!EY$10&amp;'001-C DMR'!$B47),('DMR 001C NEW'!$E$3:$E$1112&amp;'DMR 001C NEW'!$B$3:$B$1112&amp;'DMR 001C NEW'!$A$3:$A$1112),0),MATCH('001-C DMR'!$EY$11,'DMR 001C NEW'!$A$2:$O$2,0)),"")</f>
        <v/>
      </c>
      <c r="EZ47" s="280" t="str">
        <f t="array" ref="EZ47">_xlfn.IFNA(INDEX('DMR 001C NEW'!$A$3:$O$999,MATCH(('001-C DMR'!$ET$6&amp;'001-C DMR'!EZ$10&amp;'001-C DMR'!$B47),('DMR 001C NEW'!$E$3:$E$1112&amp;'DMR 001C NEW'!$B$3:$B$1112&amp;'DMR 001C NEW'!$A$3:$A$1112),0),MATCH('001-C DMR'!$EY$11,'DMR 001C NEW'!$A$2:$O$2,0)),"")</f>
        <v/>
      </c>
      <c r="FA47" s="280" t="str">
        <f t="array" ref="FA47">_xlfn.IFNA(INDEX('DMR 001C NEW'!$A$3:$O$999,MATCH(('001-C DMR'!$ET$6&amp;'001-C DMR'!FA$10&amp;'001-C DMR'!$B47),('DMR 001C NEW'!$E$3:$E$1112&amp;'DMR 001C NEW'!$B$3:$B$1112&amp;'DMR 001C NEW'!$A$3:$A$1112),0),MATCH('001-C DMR'!$EY$11,'DMR 001C NEW'!$A$2:$O$2,0)),"")</f>
        <v/>
      </c>
      <c r="FB47" s="280" t="str">
        <f t="array" ref="FB47">_xlfn.IFNA(INDEX('DMR 001C NEW'!$A$3:$O$999,MATCH(('001-C DMR'!$ET$6&amp;'001-C DMR'!FB$10&amp;'001-C DMR'!$B47),('DMR 001C NEW'!$E$3:$E$1112&amp;'DMR 001C NEW'!$B$3:$B$1112&amp;'DMR 001C NEW'!$A$3:$A$1112),0),MATCH('001-C DMR'!$EY$11,'DMR 001C NEW'!$A$2:$O$2,0)),"")</f>
        <v/>
      </c>
      <c r="FC47" s="280" t="str">
        <f t="array" ref="FC47">_xlfn.IFNA(INDEX('DMR 001C NEW'!$A$3:$O$999,MATCH(('001-C DMR'!$ET$6&amp;'001-C DMR'!FC$10&amp;'001-C DMR'!$B47),('DMR 001C NEW'!$E$3:$E$1112&amp;'DMR 001C NEW'!$B$3:$B$1112&amp;'DMR 001C NEW'!$A$3:$A$1112),0),MATCH('001-C DMR'!$EY$11,'DMR 001C NEW'!$A$2:$O$2,0)),"")</f>
        <v/>
      </c>
      <c r="FD47" s="280" t="str">
        <f t="array" ref="FD47">_xlfn.IFNA(INDEX('DMR 001C NEW'!$A$3:$O$999,MATCH(('001-C DMR'!$ET$6&amp;'001-C DMR'!FD$10&amp;'001-C DMR'!$B47),('DMR 001C NEW'!$E$3:$E$1112&amp;'DMR 001C NEW'!$B$3:$B$1112&amp;'DMR 001C NEW'!$A$3:$A$1112),0),MATCH('001-C DMR'!$EY$11,'DMR 001C NEW'!$A$2:$O$2,0)),"")</f>
        <v/>
      </c>
      <c r="FE47" s="281" t="str">
        <f t="array" ref="FE47">_xlfn.IFNA(INDEX('DMR 001C NEW'!$A$3:$O$999,MATCH(('001-C DMR'!$ET$6&amp;'001-C DMR'!FE$10&amp;'001-C DMR'!$B47),('DMR 001C NEW'!$E$3:$E$1112&amp;'DMR 001C NEW'!$B$3:$B$1112&amp;'DMR 001C NEW'!$A$3:$A$1112),0),MATCH('001-C DMR'!$EY$11,'DMR 001C NEW'!$A$2:$O$2,0)),"")</f>
        <v/>
      </c>
      <c r="FG47" s="56"/>
      <c r="FH47" s="56"/>
      <c r="FJ47" s="56"/>
      <c r="FK47" s="56"/>
      <c r="FL47" s="56"/>
      <c r="FM47" s="56"/>
      <c r="FN47" s="64"/>
      <c r="FO47" s="41"/>
      <c r="FP47" s="280" t="str">
        <f t="array" ref="FP47">_xlfn.IFNA(INDEX('DMR 001C NEW'!$A$3:$O$999,MATCH(('001-C DMR'!$FF$6&amp;'001-C DMR'!FP$10&amp;'001-C DMR'!$B47),('DMR 001C NEW'!$E$3:$E$1112&amp;'DMR 001C NEW'!$B$3:$B$1112&amp;'DMR 001C NEW'!$A$3:$A$1112),0),MATCH('001-C DMR'!$FH$11,'DMR 001C NEW'!$A$2:$O$2,0)),"")</f>
        <v/>
      </c>
      <c r="FQ47" s="280" t="str">
        <f t="array" ref="FQ47">_xlfn.IFNA(INDEX('DMR 001C NEW'!$A$3:$O$999,MATCH(('001-C DMR'!$FF$6&amp;'001-C DMR'!FQ$10&amp;'001-C DMR'!$B47),('DMR 001C NEW'!$E$3:$E$1112&amp;'DMR 001C NEW'!$B$3:$B$1112&amp;'DMR 001C NEW'!$A$3:$A$1112),0),MATCH('001-C DMR'!$FH$11,'DMR 001C NEW'!$A$2:$O$2,0)),"")</f>
        <v/>
      </c>
      <c r="FR47" s="280" t="str">
        <f t="array" ref="FR47">_xlfn.IFNA(INDEX('DMR 001C NEW'!$A$3:$O$999,MATCH(('001-C DMR'!$FF$6&amp;'001-C DMR'!FR$10&amp;'001-C DMR'!$B47),('DMR 001C NEW'!$E$3:$E$1112&amp;'DMR 001C NEW'!$B$3:$B$1112&amp;'DMR 001C NEW'!$A$3:$A$1112),0),MATCH('001-C DMR'!$FH$11,'DMR 001C NEW'!$A$2:$O$2,0)),"")</f>
        <v/>
      </c>
      <c r="FS47" s="280" t="str">
        <f t="array" ref="FS47">_xlfn.IFNA(INDEX('DMR 001C NEW'!$A$3:$O$999,MATCH(('001-C DMR'!$FF$6&amp;'001-C DMR'!FS$10&amp;'001-C DMR'!$B47),('DMR 001C NEW'!$E$3:$E$1112&amp;'DMR 001C NEW'!$B$3:$B$1112&amp;'DMR 001C NEW'!$A$3:$A$1112),0),MATCH('001-C DMR'!$FH$11,'DMR 001C NEW'!$A$2:$O$2,0)),"")</f>
        <v/>
      </c>
      <c r="FT47" s="280" t="str">
        <f t="array" ref="FT47">_xlfn.IFNA(INDEX('DMR 001C NEW'!$A$3:$O$999,MATCH(('001-C DMR'!$FF$6&amp;'001-C DMR'!FT$10&amp;'001-C DMR'!$B47),('DMR 001C NEW'!$E$3:$E$1112&amp;'DMR 001C NEW'!$B$3:$B$1112&amp;'DMR 001C NEW'!$A$3:$A$1112),0),MATCH('001-C DMR'!$FH$11,'DMR 001C NEW'!$A$2:$O$2,0)),"")</f>
        <v/>
      </c>
      <c r="FU47" s="280" t="str">
        <f t="array" ref="FU47">_xlfn.IFNA(INDEX('DMR 001C NEW'!$A$3:$O$999,MATCH(('001-C DMR'!$FF$6&amp;'001-C DMR'!FU$10&amp;'001-C DMR'!$B47),('DMR 001C NEW'!$E$3:$E$1112&amp;'DMR 001C NEW'!$B$3:$B$1112&amp;'DMR 001C NEW'!$A$3:$A$1112),0),MATCH('001-C DMR'!$FH$11,'DMR 001C NEW'!$A$2:$O$2,0)),"")</f>
        <v/>
      </c>
      <c r="FV47" s="41"/>
      <c r="FW47" s="38"/>
      <c r="FX47" s="58"/>
      <c r="FY47" s="138"/>
      <c r="GA47" s="58"/>
      <c r="GB47" s="138"/>
      <c r="GC47" s="56"/>
      <c r="GD47" s="64"/>
      <c r="GE47" s="279" t="str">
        <f t="array" ref="GE47">_xlfn.IFNA(INDEX('DMR 001C NEW'!$A$3:$O$999,MATCH(('001-C DMR'!$FW$6&amp;'001-C DMR'!GE$10&amp;'001-C DMR'!$B47),('DMR 001C NEW'!$E$3:$E$1112&amp;'DMR 001C NEW'!$B$3:$B$1112&amp;'DMR 001C NEW'!$A$3:$A$1112),0),MATCH('001-C DMR'!$FY$11,'DMR 001C NEW'!$A$2:$O$2,0)),"")</f>
        <v/>
      </c>
      <c r="GF47" s="280" t="str">
        <f t="array" ref="GF47">_xlfn.IFNA(INDEX('DMR 001C NEW'!$A$3:$O$999,MATCH(('001-C DMR'!$FW$6&amp;'001-C DMR'!GF$10&amp;'001-C DMR'!$B47),('DMR 001C NEW'!$E$3:$E$1112&amp;'DMR 001C NEW'!$B$3:$B$1112&amp;'DMR 001C NEW'!$A$3:$A$1112),0),MATCH('001-C DMR'!$FY$11,'DMR 001C NEW'!$A$2:$O$2,0)),"")</f>
        <v/>
      </c>
      <c r="GG47" s="280" t="str">
        <f t="array" ref="GG47">_xlfn.IFNA(INDEX('DMR 001C NEW'!$A$3:$O$999,MATCH(('001-C DMR'!$FW$6&amp;'001-C DMR'!GG$10&amp;'001-C DMR'!$B47),('DMR 001C NEW'!$E$3:$E$1112&amp;'DMR 001C NEW'!$B$3:$B$1112&amp;'DMR 001C NEW'!$A$3:$A$1112),0),MATCH('001-C DMR'!$FY$11,'DMR 001C NEW'!$A$2:$O$2,0)),"")</f>
        <v/>
      </c>
      <c r="GH47" s="280" t="str">
        <f t="array" ref="GH47">_xlfn.IFNA(INDEX('DMR 001C NEW'!$A$3:$O$999,MATCH(('001-C DMR'!$FW$6&amp;'001-C DMR'!GH$10&amp;'001-C DMR'!$B47),('DMR 001C NEW'!$E$3:$E$1112&amp;'DMR 001C NEW'!$B$3:$B$1112&amp;'DMR 001C NEW'!$A$3:$A$1112),0),MATCH('001-C DMR'!$FY$11,'DMR 001C NEW'!$A$2:$O$2,0)),"")</f>
        <v/>
      </c>
      <c r="GI47" s="280" t="str">
        <f t="array" ref="GI47">_xlfn.IFNA(INDEX('DMR 001C NEW'!$A$3:$O$999,MATCH(('001-C DMR'!$FW$6&amp;'001-C DMR'!GI$10&amp;'001-C DMR'!$B47),('DMR 001C NEW'!$E$3:$E$1112&amp;'DMR 001C NEW'!$B$3:$B$1112&amp;'DMR 001C NEW'!$A$3:$A$1112),0),MATCH('001-C DMR'!$FY$11,'DMR 001C NEW'!$A$2:$O$2,0)),"")</f>
        <v/>
      </c>
      <c r="GJ47" s="281" t="str">
        <f t="array" ref="GJ47">_xlfn.IFNA(INDEX('DMR 001C NEW'!$A$3:$O$999,MATCH(('001-C DMR'!$FW$6&amp;'001-C DMR'!GJ$10&amp;'001-C DMR'!$B47),('DMR 001C NEW'!$E$3:$E$1112&amp;'DMR 001C NEW'!$B$3:$B$1112&amp;'DMR 001C NEW'!$A$3:$A$1112),0),MATCH('001-C DMR'!$FY$11,'DMR 001C NEW'!$A$2:$O$2,0)),"")</f>
        <v/>
      </c>
      <c r="GK47" s="58"/>
      <c r="GL47" s="58"/>
      <c r="GN47" s="64"/>
    </row>
    <row r="48" spans="1:196" ht="15.75" thickBot="1" x14ac:dyDescent="0.3">
      <c r="A48" s="39"/>
      <c r="B48" s="31"/>
      <c r="C48" s="39"/>
      <c r="D48" s="30"/>
      <c r="E48" s="30"/>
      <c r="F48" s="30"/>
      <c r="G48" s="30"/>
      <c r="H48" s="30"/>
      <c r="I48" s="30"/>
      <c r="J48" s="30"/>
      <c r="K48" s="31"/>
      <c r="L48" s="227"/>
      <c r="M48" s="227"/>
      <c r="N48" s="227"/>
      <c r="O48" s="227"/>
      <c r="P48" s="227"/>
      <c r="Q48" s="30"/>
      <c r="R48" s="39"/>
      <c r="S48" s="30"/>
      <c r="T48" s="31"/>
      <c r="U48" s="262" t="str">
        <f t="array" ref="U48">_xlfn.IFNA(INDEX('DMR 001C NEW'!$A$3:$O$591,MATCH('001-C DMR'!$R$6:$T$6&amp;'001-C DMR'!U$10&amp;'001-C DMR'!$B48,('DMR 001C NEW'!$E$3:$E$704&amp;'DMR 001C NEW'!$B$3:$B$704&amp;'DMR 001C NEW'!$A$3:$A$704),0),MATCH('001-C DMR'!$U$11,'DMR 001C NEW'!$A$2:$O$2,0)),"")</f>
        <v/>
      </c>
      <c r="V48" s="262" t="str">
        <f t="array" ref="V48">_xlfn.IFNA(INDEX('DMR 001C NEW'!$A$3:$O$591,MATCH('001-C DMR'!$R$6:$T$6&amp;'001-C DMR'!V$10&amp;'001-C DMR'!$B48,('DMR 001C NEW'!$E$3:$E$704&amp;'DMR 001C NEW'!$B$3:$B$704&amp;'DMR 001C NEW'!$A$3:$A$704),0),MATCH('001-C DMR'!$U$11,'DMR 001C NEW'!$A$2:$O$2,0)),"")</f>
        <v/>
      </c>
      <c r="W48" s="262" t="str">
        <f t="array" ref="W48">_xlfn.IFNA(INDEX('DMR 001C NEW'!$A$3:$O$591,MATCH('001-C DMR'!$R$6:$T$6&amp;'001-C DMR'!W$10&amp;'001-C DMR'!$B48,('DMR 001C NEW'!$E$3:$E$704&amp;'DMR 001C NEW'!$B$3:$B$704&amp;'DMR 001C NEW'!$A$3:$A$704),0),MATCH('001-C DMR'!$U$11,'DMR 001C NEW'!$A$2:$O$2,0)),"")</f>
        <v/>
      </c>
      <c r="X48" s="262" t="str">
        <f t="array" ref="X48">_xlfn.IFNA(INDEX('DMR 001C NEW'!$A$3:$O$591,MATCH('001-C DMR'!$R$6:$T$6&amp;'001-C DMR'!X$10&amp;'001-C DMR'!$B48,('DMR 001C NEW'!$E$3:$E$704&amp;'DMR 001C NEW'!$B$3:$B$704&amp;'DMR 001C NEW'!$A$3:$A$704),0),MATCH('001-C DMR'!$U$11,'DMR 001C NEW'!$A$2:$O$2,0)),"")</f>
        <v/>
      </c>
      <c r="Y48" s="262" t="str">
        <f t="array" ref="Y48">_xlfn.IFNA(INDEX('DMR 001C NEW'!$A$3:$O$591,MATCH('001-C DMR'!$R$6:$T$6&amp;'001-C DMR'!Y$10&amp;'001-C DMR'!$B48,('DMR 001C NEW'!$E$3:$E$704&amp;'DMR 001C NEW'!$B$3:$B$704&amp;'DMR 001C NEW'!$A$3:$A$704),0),MATCH('001-C DMR'!$U$11,'DMR 001C NEW'!$A$2:$O$2,0)),"")</f>
        <v/>
      </c>
      <c r="Z48" s="262" t="str">
        <f t="array" ref="Z48">_xlfn.IFNA(INDEX('DMR 001C NEW'!$A$3:$O$591,MATCH('001-C DMR'!$R$6:$T$6&amp;'001-C DMR'!Z$10&amp;'001-C DMR'!$B48,('DMR 001C NEW'!$E$3:$E$704&amp;'DMR 001C NEW'!$B$3:$B$704&amp;'DMR 001C NEW'!$A$3:$A$704),0),MATCH('001-C DMR'!$U$11,'DMR 001C NEW'!$A$2:$O$2,0)),"")</f>
        <v/>
      </c>
      <c r="AA48" s="262" t="str">
        <f t="array" ref="AA48">_xlfn.IFNA(INDEX('DMR 001C NEW'!$A$3:$O$591,MATCH('001-C DMR'!$R$6:$T$6&amp;'001-C DMR'!AA$10&amp;'001-C DMR'!$B48,('DMR 001C NEW'!$E$3:$E$704&amp;'DMR 001C NEW'!$B$3:$B$704&amp;'DMR 001C NEW'!$A$3:$A$704),0),MATCH('001-C DMR'!$U$11,'DMR 001C NEW'!$A$2:$O$2,0)),"")</f>
        <v/>
      </c>
      <c r="AB48" s="39"/>
      <c r="AC48" s="30"/>
      <c r="AD48" s="30"/>
      <c r="AE48" s="30"/>
      <c r="AF48" s="30"/>
      <c r="AJ48" s="31"/>
      <c r="AK48" s="262" t="str">
        <f t="array" ref="AK48">_xlfn.IFNA(INDEX('DMR 001C NEW'!$A$3:$O$999,MATCH(('001-C DMR'!$AB$6:$AJ$6&amp;'001-C DMR'!AK$10&amp;'001-C DMR'!$B48),('DMR 001C NEW'!$E$3:$E$1112&amp;'DMR 001C NEW'!$B$3:$B$1112&amp;'DMR 001C NEW'!$A$3:$A$1112),0),MATCH('001-C DMR'!$AD$11,'DMR 001C NEW'!$A$2:$O$2,0)),"")</f>
        <v/>
      </c>
      <c r="AL48" s="262" t="str">
        <f t="array" ref="AL48">_xlfn.IFNA(INDEX('DMR 001C NEW'!$A$3:$O$999,MATCH(('001-C DMR'!$AB$6:$AJ$6&amp;'001-C DMR'!AL$10&amp;'001-C DMR'!$B48),('DMR 001C NEW'!$E$3:$E$1112&amp;'DMR 001C NEW'!$B$3:$B$1112&amp;'DMR 001C NEW'!$A$3:$A$1112),0),MATCH('001-C DMR'!$AD$11,'DMR 001C NEW'!$A$2:$O$2,0)),"")</f>
        <v/>
      </c>
      <c r="AM48" s="262" t="str">
        <f t="array" ref="AM48">_xlfn.IFNA(INDEX('DMR 001C NEW'!$A$3:$O$999,MATCH(('001-C DMR'!$AB$6:$AJ$6&amp;'001-C DMR'!AM$10&amp;'001-C DMR'!$B48),('DMR 001C NEW'!$E$3:$E$1112&amp;'DMR 001C NEW'!$B$3:$B$1112&amp;'DMR 001C NEW'!$A$3:$A$1112),0),MATCH('001-C DMR'!$AD$11,'DMR 001C NEW'!$A$2:$O$2,0)),"")</f>
        <v/>
      </c>
      <c r="AN48" s="262" t="str">
        <f t="array" ref="AN48">_xlfn.IFNA(INDEX('DMR 001C NEW'!$A$3:$O$999,MATCH(('001-C DMR'!$AB$6:$AJ$6&amp;'001-C DMR'!AN$10&amp;'001-C DMR'!$B48),('DMR 001C NEW'!$E$3:$E$1112&amp;'DMR 001C NEW'!$B$3:$B$1112&amp;'DMR 001C NEW'!$A$3:$A$1112),0),MATCH('001-C DMR'!$AD$11,'DMR 001C NEW'!$A$2:$O$2,0)),"")</f>
        <v/>
      </c>
      <c r="AO48" s="262" t="str">
        <f t="array" ref="AO48">_xlfn.IFNA(INDEX('DMR 001C NEW'!$A$3:$O$999,MATCH(('001-C DMR'!$AB$6:$AJ$6&amp;'001-C DMR'!AO$10&amp;'001-C DMR'!$B48),('DMR 001C NEW'!$E$3:$E$1112&amp;'DMR 001C NEW'!$B$3:$B$1112&amp;'DMR 001C NEW'!$A$3:$A$1112),0),MATCH('001-C DMR'!$AD$11,'DMR 001C NEW'!$A$2:$O$2,0)),"")</f>
        <v/>
      </c>
      <c r="AP48" s="262" t="str">
        <f t="array" ref="AP48">_xlfn.IFNA(INDEX('DMR 001C NEW'!$A$3:$O$999,MATCH(('001-C DMR'!$AB$6:$AJ$6&amp;'001-C DMR'!AP$10&amp;'001-C DMR'!$B48),('DMR 001C NEW'!$E$3:$E$1112&amp;'DMR 001C NEW'!$B$3:$B$1112&amp;'DMR 001C NEW'!$A$3:$A$1112),0),MATCH('001-C DMR'!$AD$11,'DMR 001C NEW'!$A$2:$O$2,0)),"")</f>
        <v/>
      </c>
      <c r="AQ48" s="39"/>
      <c r="AR48" s="30"/>
      <c r="AS48" s="30"/>
      <c r="AT48" s="30"/>
      <c r="AU48" s="30"/>
      <c r="AV48" s="30"/>
      <c r="AW48" s="30"/>
      <c r="AX48" s="30"/>
      <c r="AY48" s="30"/>
      <c r="AZ48" s="31"/>
      <c r="BA48" s="282" t="str">
        <f t="array" ref="BA48">_xlfn.IFNA(INDEX('DMR 001C NEW'!$A$3:$O$9999,MATCH(('001-C DMR'!$AQ$6:$AZ$6&amp;'001-C DMR'!BA$10&amp;'001-C DMR'!$B48),('DMR 001C NEW'!$E$3:$E$1112&amp;'DMR 001C NEW'!$B$3:$B$1112&amp;'DMR 001C NEW'!$A$3:$A$1112),0),MATCH('001-C DMR'!$BA$11,'DMR 001C NEW'!$A$2:$O$2,0)),"")</f>
        <v/>
      </c>
      <c r="BB48" s="283" t="str">
        <f t="array" ref="BB48">_xlfn.IFNA(INDEX('DMR 001C NEW'!$A$3:$O$9999,MATCH(('001-C DMR'!$AQ$6:$AZ$6&amp;'001-C DMR'!BB$10&amp;'001-C DMR'!$B48),('DMR 001C NEW'!$E$3:$E$1112&amp;'DMR 001C NEW'!$B$3:$B$1112&amp;'DMR 001C NEW'!$A$3:$A$1112),0),MATCH('001-C DMR'!$BA$11,'DMR 001C NEW'!$A$2:$O$2,0)),"")</f>
        <v/>
      </c>
      <c r="BC48" s="283" t="str">
        <f t="array" ref="BC48">_xlfn.IFNA(INDEX('DMR 001C NEW'!$A$3:$O$9999,MATCH(('001-C DMR'!$AQ$6:$AZ$6&amp;'001-C DMR'!BC$10&amp;'001-C DMR'!$B48),('DMR 001C NEW'!$E$3:$E$1112&amp;'DMR 001C NEW'!$B$3:$B$1112&amp;'DMR 001C NEW'!$A$3:$A$1112),0),MATCH('001-C DMR'!$BA$11,'DMR 001C NEW'!$A$2:$O$2,0)),"")</f>
        <v/>
      </c>
      <c r="BD48" s="283" t="str">
        <f t="array" ref="BD48">_xlfn.IFNA(INDEX('DMR 001C NEW'!$A$3:$O$9999,MATCH(('001-C DMR'!$AQ$6:$AZ$6&amp;'001-C DMR'!BD$10&amp;'001-C DMR'!$B48),('DMR 001C NEW'!$E$3:$E$1112&amp;'DMR 001C NEW'!$B$3:$B$1112&amp;'DMR 001C NEW'!$A$3:$A$1112),0),MATCH('001-C DMR'!$BA$11,'DMR 001C NEW'!$A$2:$O$2,0)),"")</f>
        <v/>
      </c>
      <c r="BE48" s="283" t="str">
        <f t="array" ref="BE48">_xlfn.IFNA(INDEX('DMR 001C NEW'!$A$3:$O$9999,MATCH(('001-C DMR'!$AQ$6:$AZ$6&amp;'001-C DMR'!BE$10&amp;'001-C DMR'!$B48),('DMR 001C NEW'!$E$3:$E$1112&amp;'DMR 001C NEW'!$B$3:$B$1112&amp;'DMR 001C NEW'!$A$3:$A$1112),0),MATCH('001-C DMR'!$BA$11,'DMR 001C NEW'!$A$2:$O$2,0)),"")</f>
        <v/>
      </c>
      <c r="BF48" s="284" t="str">
        <f t="array" ref="BF48">_xlfn.IFNA(INDEX('DMR 001C NEW'!$A$3:$O$9999,MATCH(('001-C DMR'!$AQ$6:$AZ$6&amp;'001-C DMR'!BF$10&amp;'001-C DMR'!$B48),('DMR 001C NEW'!$E$3:$E$1112&amp;'DMR 001C NEW'!$B$3:$B$1112&amp;'DMR 001C NEW'!$A$3:$A$1112),0),MATCH('001-C DMR'!$BA$11,'DMR 001C NEW'!$A$2:$O$2,0)),"")</f>
        <v/>
      </c>
      <c r="BP48" s="29"/>
      <c r="BQ48" s="280" t="str">
        <f t="array" ref="BQ48">_xlfn.IFNA(INDEX('DMR 001C NEW'!$A$3:$O$999,MATCH(('001-C DMR'!$BG$6&amp;'001-C DMR'!BQ$10&amp;'001-C DMR'!$B48),('DMR 001C NEW'!$E$3:$E$1112&amp;'DMR 001C NEW'!$B$3:$B$1112&amp;'DMR 001C NEW'!$A$3:$A$1112),0),MATCH('001-C DMR'!$BQ$11,'DMR 001C NEW'!$A$2:$O$2,0)),"")</f>
        <v/>
      </c>
      <c r="BR48" s="280" t="str">
        <f t="array" ref="BR48">_xlfn.IFNA(INDEX('DMR 001C NEW'!$A$3:$O$999,MATCH(('001-C DMR'!$BG$6&amp;'001-C DMR'!BR$10&amp;'001-C DMR'!$B48),('DMR 001C NEW'!$E$3:$E$1112&amp;'DMR 001C NEW'!$B$3:$B$1112&amp;'DMR 001C NEW'!$A$3:$A$1112),0),MATCH('001-C DMR'!$BQ$11,'DMR 001C NEW'!$A$2:$O$2,0)),"")</f>
        <v/>
      </c>
      <c r="BS48" s="280" t="str">
        <f t="array" ref="BS48">_xlfn.IFNA(INDEX('DMR 001C NEW'!$A$3:$O$999,MATCH(('001-C DMR'!$BG$6&amp;'001-C DMR'!BS$10&amp;'001-C DMR'!$B48),('DMR 001C NEW'!$E$3:$E$1112&amp;'DMR 001C NEW'!$B$3:$B$1112&amp;'DMR 001C NEW'!$A$3:$A$1112),0),MATCH('001-C DMR'!$BQ$11,'DMR 001C NEW'!$A$2:$O$2,0)),"")</f>
        <v/>
      </c>
      <c r="BT48" s="280" t="str">
        <f t="array" ref="BT48">_xlfn.IFNA(INDEX('DMR 001C NEW'!$A$3:$O$999,MATCH(('001-C DMR'!$BG$6&amp;'001-C DMR'!BT$10&amp;'001-C DMR'!$B48),('DMR 001C NEW'!$E$3:$E$1112&amp;'DMR 001C NEW'!$B$3:$B$1112&amp;'DMR 001C NEW'!$A$3:$A$1112),0),MATCH('001-C DMR'!$BQ$11,'DMR 001C NEW'!$A$2:$O$2,0)),"")</f>
        <v/>
      </c>
      <c r="BU48" s="280" t="str">
        <f t="array" ref="BU48">_xlfn.IFNA(INDEX('DMR 001C NEW'!$A$3:$O$999,MATCH(('001-C DMR'!$BG$6&amp;'001-C DMR'!BU$10&amp;'001-C DMR'!$B48),('DMR 001C NEW'!$E$3:$E$1112&amp;'DMR 001C NEW'!$B$3:$B$1112&amp;'DMR 001C NEW'!$A$3:$A$1112),0),MATCH('001-C DMR'!$BQ$11,'DMR 001C NEW'!$A$2:$O$2,0)),"")</f>
        <v/>
      </c>
      <c r="BV48" s="280" t="str">
        <f t="array" ref="BV48">_xlfn.IFNA(INDEX('DMR 001C NEW'!$A$3:$O$999,MATCH(('001-C DMR'!$BG$6&amp;'001-C DMR'!BV$10&amp;'001-C DMR'!$B48),('DMR 001C NEW'!$E$3:$E$1112&amp;'DMR 001C NEW'!$B$3:$B$1112&amp;'DMR 001C NEW'!$A$3:$A$1112),0),MATCH('001-C DMR'!$BQ$11,'DMR 001C NEW'!$A$2:$O$2,0)),"")</f>
        <v/>
      </c>
      <c r="BW48" s="53"/>
      <c r="BX48" s="41"/>
      <c r="BY48" s="39"/>
      <c r="BZ48" s="30"/>
      <c r="CA48" s="202"/>
      <c r="CB48" s="30"/>
      <c r="CC48" s="30"/>
      <c r="CD48" s="50"/>
      <c r="CE48" s="50"/>
      <c r="CF48" s="29"/>
      <c r="CG48" s="280" t="str">
        <f t="array" ref="CG48">_xlfn.IFNA(INDEX('DMR 001C NEW'!$A$3:$O$999,MATCH(('001-C DMR'!$BY$6&amp;'001-C DMR'!CG$10&amp;'001-C DMR'!$B48),('DMR 001C NEW'!$E$3:$E$1112&amp;'DMR 001C NEW'!$B$3:$B$1112&amp;'DMR 001C NEW'!$A$3:$A$1112),0),MATCH('001-C DMR'!$CA$11,'DMR 001C NEW'!$A$2:$O$2,0)),"")</f>
        <v/>
      </c>
      <c r="CH48" s="280" t="str">
        <f t="array" ref="CH48">_xlfn.IFNA(INDEX('DMR 001C NEW'!$A$3:$O$999,MATCH(('001-C DMR'!$BY$6&amp;'001-C DMR'!CH$10&amp;'001-C DMR'!$B48),('DMR 001C NEW'!$E$3:$E$1112&amp;'DMR 001C NEW'!$B$3:$B$1112&amp;'DMR 001C NEW'!$A$3:$A$1112),0),MATCH('001-C DMR'!$CA$11,'DMR 001C NEW'!$A$2:$O$2,0)),"")</f>
        <v/>
      </c>
      <c r="CI48" s="280" t="str">
        <f t="array" ref="CI48">_xlfn.IFNA(INDEX('DMR 001C NEW'!$A$3:$O$999,MATCH(('001-C DMR'!$BY$6&amp;'001-C DMR'!CI$10&amp;'001-C DMR'!$B48),('DMR 001C NEW'!$E$3:$E$1112&amp;'DMR 001C NEW'!$B$3:$B$1112&amp;'DMR 001C NEW'!$A$3:$A$1112),0),MATCH('001-C DMR'!$CA$11,'DMR 001C NEW'!$A$2:$O$2,0)),"")</f>
        <v/>
      </c>
      <c r="CJ48" s="280" t="str">
        <f t="array" ref="CJ48">_xlfn.IFNA(INDEX('DMR 001C NEW'!$A$3:$O$999,MATCH(('001-C DMR'!$BY$6&amp;'001-C DMR'!CJ$10&amp;'001-C DMR'!$B48),('DMR 001C NEW'!$E$3:$E$1112&amp;'DMR 001C NEW'!$B$3:$B$1112&amp;'DMR 001C NEW'!$A$3:$A$1112),0),MATCH('001-C DMR'!$CA$11,'DMR 001C NEW'!$A$2:$O$2,0)),"")</f>
        <v/>
      </c>
      <c r="CK48" s="280" t="str">
        <f t="array" ref="CK48">_xlfn.IFNA(INDEX('DMR 001C NEW'!$A$3:$O$999,MATCH(('001-C DMR'!$BY$6&amp;'001-C DMR'!CK$10&amp;'001-C DMR'!$B48),('DMR 001C NEW'!$E$3:$E$1112&amp;'DMR 001C NEW'!$B$3:$B$1112&amp;'DMR 001C NEW'!$A$3:$A$1112),0),MATCH('001-C DMR'!$CA$11,'DMR 001C NEW'!$A$2:$O$2,0)),"")</f>
        <v/>
      </c>
      <c r="CL48" s="280" t="str">
        <f t="array" ref="CL48">_xlfn.IFNA(INDEX('DMR 001C NEW'!$A$3:$O$999,MATCH(('001-C DMR'!$BY$6&amp;'001-C DMR'!CL$10&amp;'001-C DMR'!$B48),('DMR 001C NEW'!$E$3:$E$1112&amp;'DMR 001C NEW'!$B$3:$B$1112&amp;'DMR 001C NEW'!$A$3:$A$1112),0),MATCH('001-C DMR'!$CA$11,'DMR 001C NEW'!$A$2:$O$2,0)),"")</f>
        <v/>
      </c>
      <c r="CM48" s="39"/>
      <c r="CQ48" s="29"/>
      <c r="CR48" s="280" t="str">
        <f t="array" ref="CR48">_xlfn.IFNA(INDEX('DMR 001C NEW'!$A$3:$O$999,MATCH(('001-C DMR'!$CM$6&amp;'001-C DMR'!CR$10&amp;'001-C DMR'!$B48),('DMR 001C NEW'!$E$3:$E$1112&amp;'DMR 001C NEW'!$B$3:$B$1112&amp;'DMR 001C NEW'!$A$3:$A$1112),0),MATCH('001-C DMR'!$CO$11,'DMR 001C NEW'!$A$2:$O$2,0)),"")</f>
        <v/>
      </c>
      <c r="CS48" s="280" t="str">
        <f t="array" ref="CS48">_xlfn.IFNA(INDEX('DMR 001C NEW'!$A$3:$O$999,MATCH(('001-C DMR'!$CM$6&amp;'001-C DMR'!CS$10&amp;'001-C DMR'!$B48),('DMR 001C NEW'!$E$3:$E$1112&amp;'DMR 001C NEW'!$B$3:$B$1112&amp;'DMR 001C NEW'!$A$3:$A$1112),0),MATCH('001-C DMR'!$CO$11,'DMR 001C NEW'!$A$2:$O$2,0)),"")</f>
        <v/>
      </c>
      <c r="CT48" s="280" t="str">
        <f t="array" ref="CT48">_xlfn.IFNA(INDEX('DMR 001C NEW'!$A$3:$O$999,MATCH(('001-C DMR'!$CM$6&amp;'001-C DMR'!CT$10&amp;'001-C DMR'!$B48),('DMR 001C NEW'!$E$3:$E$1112&amp;'DMR 001C NEW'!$B$3:$B$1112&amp;'DMR 001C NEW'!$A$3:$A$1112),0),MATCH('001-C DMR'!$CO$11,'DMR 001C NEW'!$A$2:$O$2,0)),"")</f>
        <v/>
      </c>
      <c r="CU48" s="280" t="str">
        <f t="array" ref="CU48">_xlfn.IFNA(INDEX('DMR 001C NEW'!$A$3:$O$999,MATCH(('001-C DMR'!$CM$6&amp;'001-C DMR'!CU$10&amp;'001-C DMR'!$B48),('DMR 001C NEW'!$E$3:$E$1112&amp;'DMR 001C NEW'!$B$3:$B$1112&amp;'DMR 001C NEW'!$A$3:$A$1112),0),MATCH('001-C DMR'!$CO$11,'DMR 001C NEW'!$A$2:$O$2,0)),"")</f>
        <v/>
      </c>
      <c r="CV48" s="280" t="str">
        <f t="array" ref="CV48">_xlfn.IFNA(INDEX('DMR 001C NEW'!$A$3:$O$999,MATCH(('001-C DMR'!$CM$6&amp;'001-C DMR'!CV$10&amp;'001-C DMR'!$B48),('DMR 001C NEW'!$E$3:$E$1112&amp;'DMR 001C NEW'!$B$3:$B$1112&amp;'DMR 001C NEW'!$A$3:$A$1112),0),MATCH('001-C DMR'!$CO$11,'DMR 001C NEW'!$A$2:$O$2,0)),"")</f>
        <v/>
      </c>
      <c r="CW48" s="280" t="str">
        <f t="array" ref="CW48">_xlfn.IFNA(INDEX('DMR 001C NEW'!$A$3:$O$999,MATCH(('001-C DMR'!$CM$6&amp;'001-C DMR'!CW$10&amp;'001-C DMR'!$B48),('DMR 001C NEW'!$E$3:$E$1112&amp;'DMR 001C NEW'!$B$3:$B$1112&amp;'DMR 001C NEW'!$A$3:$A$1112),0),MATCH('001-C DMR'!$CO$11,'DMR 001C NEW'!$A$2:$O$2,0)),"")</f>
        <v/>
      </c>
      <c r="CX48" s="280" t="str">
        <f t="array" ref="CX48">_xlfn.IFNA(INDEX('DMR 001C NEW'!$A$3:$O$999,MATCH(('001-C DMR'!$CM$6&amp;'001-C DMR'!CX$10&amp;'001-C DMR'!$B48),('DMR 001C NEW'!$E$3:$E$1112&amp;'DMR 001C NEW'!$B$3:$B$1112&amp;'DMR 001C NEW'!$A$3:$A$1112),0),MATCH('001-C DMR'!$CO$11,'DMR 001C NEW'!$A$2:$O$2,0)),"")</f>
        <v/>
      </c>
      <c r="CY48" s="95"/>
      <c r="DC48" s="29"/>
      <c r="DD48" s="280" t="str">
        <f t="array" ref="DD48">_xlfn.IFNA(INDEX('DMR 001C NEW'!$A$3:$O$999,MATCH(('001-C DMR'!$CY$6&amp;'001-C DMR'!DD$10&amp;'001-C DMR'!$B48),('DMR 001C NEW'!$E$3:$E$1112&amp;'DMR 001C NEW'!$B$3:$B$1112&amp;'DMR 001C NEW'!$A$3:$A$1112),0),MATCH('001-C DMR'!$DA$11,'DMR 001C NEW'!$A$2:$O$2,0)),"")</f>
        <v/>
      </c>
      <c r="DE48" s="280" t="str">
        <f t="array" ref="DE48">_xlfn.IFNA(INDEX('DMR 001C NEW'!$A$3:$O$999,MATCH(('001-C DMR'!$CY$6&amp;'001-C DMR'!DE$10&amp;'001-C DMR'!$B48),('DMR 001C NEW'!$E$3:$E$1112&amp;'DMR 001C NEW'!$B$3:$B$1112&amp;'DMR 001C NEW'!$A$3:$A$1112),0),MATCH('001-C DMR'!$DA$11,'DMR 001C NEW'!$A$2:$O$2,0)),"")</f>
        <v/>
      </c>
      <c r="DF48" s="280" t="str">
        <f t="array" ref="DF48">_xlfn.IFNA(INDEX('DMR 001C NEW'!$A$3:$O$999,MATCH(('001-C DMR'!$CY$6&amp;'001-C DMR'!DF$10&amp;'001-C DMR'!$B48),('DMR 001C NEW'!$E$3:$E$1112&amp;'DMR 001C NEW'!$B$3:$B$1112&amp;'DMR 001C NEW'!$A$3:$A$1112),0),MATCH('001-C DMR'!$DA$11,'DMR 001C NEW'!$A$2:$O$2,0)),"")</f>
        <v/>
      </c>
      <c r="DG48" s="280" t="str">
        <f t="array" ref="DG48">_xlfn.IFNA(INDEX('DMR 001C NEW'!$A$3:$O$999,MATCH(('001-C DMR'!$CY$6&amp;'001-C DMR'!DG$10&amp;'001-C DMR'!$B48),('DMR 001C NEW'!$E$3:$E$1112&amp;'DMR 001C NEW'!$B$3:$B$1112&amp;'DMR 001C NEW'!$A$3:$A$1112),0),MATCH('001-C DMR'!$DA$11,'DMR 001C NEW'!$A$2:$O$2,0)),"")</f>
        <v/>
      </c>
      <c r="DH48" s="280" t="str">
        <f t="array" ref="DH48">_xlfn.IFNA(INDEX('DMR 001C NEW'!$A$3:$O$999,MATCH(('001-C DMR'!$CY$6&amp;'001-C DMR'!DH$10&amp;'001-C DMR'!$B48),('DMR 001C NEW'!$E$3:$E$1112&amp;'DMR 001C NEW'!$B$3:$B$1112&amp;'DMR 001C NEW'!$A$3:$A$1112),0),MATCH('001-C DMR'!$DA$11,'DMR 001C NEW'!$A$2:$O$2,0)),"")</f>
        <v/>
      </c>
      <c r="DI48" s="280" t="str">
        <f t="array" ref="DI48">_xlfn.IFNA(INDEX('DMR 001C NEW'!$A$3:$O$999,MATCH(('001-C DMR'!$CY$6&amp;'001-C DMR'!DI$10&amp;'001-C DMR'!$B48),('DMR 001C NEW'!$E$3:$E$1112&amp;'DMR 001C NEW'!$B$3:$B$1112&amp;'DMR 001C NEW'!$A$3:$A$1112),0),MATCH('001-C DMR'!$DA$11,'DMR 001C NEW'!$A$2:$O$2,0)),"")</f>
        <v/>
      </c>
      <c r="DJ48" s="280" t="str">
        <f t="array" ref="DJ48">_xlfn.IFNA(INDEX('DMR 001C NEW'!$A$3:$O$999,MATCH(('001-C DMR'!$CY$6&amp;'001-C DMR'!DJ$10&amp;'001-C DMR'!$B48),('DMR 001C NEW'!$E$3:$E$1112&amp;'DMR 001C NEW'!$B$3:$B$1112&amp;'DMR 001C NEW'!$A$3:$A$1112),0),MATCH('001-C DMR'!$DA$11,'DMR 001C NEW'!$A$2:$O$2,0)),"")</f>
        <v/>
      </c>
      <c r="DK48" s="61" t="str">
        <f t="shared" si="16"/>
        <v/>
      </c>
      <c r="DL48" s="30"/>
      <c r="DM48" s="30"/>
      <c r="DN48" s="30"/>
      <c r="DO48" s="227"/>
      <c r="DP48" s="227"/>
      <c r="DQ48" s="31"/>
      <c r="DR48" s="280" t="str">
        <f t="array" ref="DR48">_xlfn.IFNA(INDEX('DMR 001C NEW'!$A$3:$O$999,MATCH(('001-C DMR'!$DK$6&amp;'001-C DMR'!DR$10&amp;'001-C DMR'!$B48),('DMR 001C NEW'!$E$3:$E$1112&amp;'DMR 001C NEW'!$B$3:$B$1112&amp;'DMR 001C NEW'!$A$3:$A$1112),0),MATCH('001-C DMR'!$DR$11,'DMR 001C NEW'!$A$2:$O$2,0)),"")</f>
        <v/>
      </c>
      <c r="DS48" s="280" t="str">
        <f t="array" ref="DS48">_xlfn.IFNA(INDEX('DMR 001C NEW'!$A$3:$O$999,MATCH(('001-C DMR'!$DK$6&amp;'001-C DMR'!DS$10&amp;'001-C DMR'!$B48),('DMR 001C NEW'!$E$3:$E$1112&amp;'DMR 001C NEW'!$B$3:$B$1112&amp;'DMR 001C NEW'!$A$3:$A$1112),0),MATCH('001-C DMR'!$DR$11,'DMR 001C NEW'!$A$2:$O$2,0)),"")</f>
        <v/>
      </c>
      <c r="DT48" s="280" t="str">
        <f t="array" ref="DT48">_xlfn.IFNA(INDEX('DMR 001C NEW'!$A$3:$O$999,MATCH(('001-C DMR'!$DK$6&amp;'001-C DMR'!DT$10&amp;'001-C DMR'!$B48),('DMR 001C NEW'!$E$3:$E$1112&amp;'DMR 001C NEW'!$B$3:$B$1112&amp;'DMR 001C NEW'!$A$3:$A$1112),0),MATCH('001-C DMR'!$DR$11,'DMR 001C NEW'!$A$2:$O$2,0)),"")</f>
        <v/>
      </c>
      <c r="DU48" s="280" t="str">
        <f t="array" ref="DU48">_xlfn.IFNA(INDEX('DMR 001C NEW'!$A$3:$O$999,MATCH(('001-C DMR'!$DK$6&amp;'001-C DMR'!DU$10&amp;'001-C DMR'!$B48),('DMR 001C NEW'!$E$3:$E$1112&amp;'DMR 001C NEW'!$B$3:$B$1112&amp;'DMR 001C NEW'!$A$3:$A$1112),0),MATCH('001-C DMR'!$DR$11,'DMR 001C NEW'!$A$2:$O$2,0)),"")</f>
        <v/>
      </c>
      <c r="DV48" s="280" t="str">
        <f t="array" ref="DV48">_xlfn.IFNA(INDEX('DMR 001C NEW'!$A$3:$O$999,MATCH(('001-C DMR'!$DK$6&amp;'001-C DMR'!DV$10&amp;'001-C DMR'!$B48),('DMR 001C NEW'!$E$3:$E$1112&amp;'DMR 001C NEW'!$B$3:$B$1112&amp;'DMR 001C NEW'!$A$3:$A$1112),0),MATCH('001-C DMR'!$DR$11,'DMR 001C NEW'!$A$2:$O$2,0)),"")</f>
        <v/>
      </c>
      <c r="DW48" s="280" t="str">
        <f t="array" ref="DW48">_xlfn.IFNA(INDEX('DMR 001C NEW'!$A$3:$O$999,MATCH(('001-C DMR'!$DK$6&amp;'001-C DMR'!DW$10&amp;'001-C DMR'!$B48),('DMR 001C NEW'!$E$3:$E$1112&amp;'DMR 001C NEW'!$B$3:$B$1112&amp;'DMR 001C NEW'!$A$3:$A$1112),0),MATCH('001-C DMR'!$DR$11,'DMR 001C NEW'!$A$2:$O$2,0)),"")</f>
        <v/>
      </c>
      <c r="DX48" s="280" t="str">
        <f t="array" ref="DX48">_xlfn.IFNA(INDEX('DMR 001C NEW'!$A$3:$O$999,MATCH(('001-C DMR'!$DK$6&amp;'001-C DMR'!DX$10&amp;'001-C DMR'!$B48),('DMR 001C NEW'!$E$3:$E$1112&amp;'DMR 001C NEW'!$B$3:$B$1112&amp;'DMR 001C NEW'!$A$3:$A$1112),0),MATCH('001-C DMR'!$DR$11,'DMR 001C NEW'!$A$2:$O$2,0)),"")</f>
        <v/>
      </c>
      <c r="DY48" s="290" t="str">
        <f t="shared" si="28"/>
        <v/>
      </c>
      <c r="DZ48" s="291" t="str">
        <f t="array" ref="DZ48">_xlfn.IFNA((INDEX('DMR 001C NEW'!$A$3:$O$9999,MATCH(('001-C DMR'!$DY$6&amp;'001-C DMR'!$DY$10&amp;'001-C DMR'!$B48),('DMR 001C NEW'!$E$3:$E$9018&amp;'DMR 001C NEW'!$B$3:$B$9018&amp;'DMR 001C NEW'!$A$3:$A$9018),0),MATCH('001-C DMR'!$DZ$11,'DMR 001C NEW'!$A$2:$O$2,0))),"")</f>
        <v/>
      </c>
      <c r="EA48" s="291" t="str">
        <f t="array" ref="EA48">_xlfn.IFNA((INDEX('DMR 001C NEW'!$A$3:$O$9999,MATCH(('001-C DMR'!$DY$6&amp;'001-C DMR'!$DY$10&amp;'001-C DMR'!$B48),('DMR 001C NEW'!$E$3:$E$9018&amp;'DMR 001C NEW'!$B$3:$B$9018&amp;'DMR 001C NEW'!$A$3:$A$9018),0),MATCH('001-C DMR'!$EA$11,'DMR 001C NEW'!$A$2:$O$2,0))),"")</f>
        <v/>
      </c>
      <c r="EB48" s="249" t="str">
        <f t="array" ref="EB48">IF(EA48="SCRATCHED","",IF(EA48&lt;DZ48,0,EA48))</f>
        <v/>
      </c>
      <c r="EC48" s="249" t="str">
        <f t="shared" si="29"/>
        <v/>
      </c>
      <c r="ED48" s="249" t="str">
        <f t="array" ref="ED48">_xlfn.IFNA((INDEX('DMR 001C NEW'!$A$3:$O$9999,MATCH(('001-C DMR'!$DY$6&amp;'001-C DMR'!$EC$10&amp;'001-C DMR'!$B48),('DMR 001C NEW'!$E$3:$E$9018&amp;'DMR 001C NEW'!$B$3:$B$9018&amp;'DMR 001C NEW'!$A$3:$A$9018),0),MATCH('001-C DMR'!$DZ$11,'DMR 001C NEW'!$A$2:$O$2,0))),"")</f>
        <v/>
      </c>
      <c r="EE48" s="249" t="str">
        <f t="array" ref="EE48">_xlfn.IFNA((INDEX('DMR 001C NEW'!$A$3:$O$9999,MATCH(('001-C DMR'!$DY$6&amp;'001-C DMR'!$EC$10&amp;'001-C DMR'!$B48),('DMR 001C NEW'!$E$3:$E$9018&amp;'DMR 001C NEW'!$B$3:$B$9018&amp;'DMR 001C NEW'!$A$3:$A$9018),0),MATCH('001-C DMR'!$EE$11,'DMR 001C NEW'!$A$2:$O$2,0))),"")</f>
        <v/>
      </c>
      <c r="EF48" s="249" t="str">
        <f t="array" ref="EF48">IF(EE48="SCRATCHED","",IF(EE48&lt;ED48,0,EE48))</f>
        <v/>
      </c>
      <c r="EG48" s="30"/>
      <c r="EH48" s="31"/>
      <c r="EI48" s="39"/>
      <c r="EJ48" s="30"/>
      <c r="EK48" s="31"/>
      <c r="EP48" s="38"/>
      <c r="ES48" s="29"/>
      <c r="ET48" s="39"/>
      <c r="EU48" s="317" t="str">
        <f t="array" ref="EU48">_xlfn.IFNA((INDEX('DMR 001C NEW'!$A$3:$O$9999,MATCH(('001-C DMR'!$ET$6&amp;'001-C DMR'!$ET$10&amp;'001-C DMR'!$B48),('DMR 001C NEW'!$E$3:$E$9018&amp;'DMR 001C NEW'!$B$3:$B$9018&amp;'DMR 001C NEW'!$A$3:$A$9018),0),MATCH('001-C DMR'!$EU$11,'DMR 001C NEW'!$A$2:$O$2,0))),"")</f>
        <v/>
      </c>
      <c r="EV48" s="317" t="str">
        <f t="array" ref="EV48">_xlfn.IFNA(INDEX('DMR 001C NEW'!$A$3:$O$9999,MATCH(('001-C DMR'!$ET$6&amp;'001-C DMR'!$ET$10&amp;'001-C DMR'!$B48),('DMR 001C NEW'!$E$3:$E$9018&amp;'DMR 001C NEW'!$B$3:$B$9018&amp;'DMR 001C NEW'!$A$3:$A$9018),0),MATCH('001-C DMR'!$EV$11,'DMR 001C NEW'!$A$2:$O$2,0)),"")</f>
        <v/>
      </c>
      <c r="EW48" s="318" t="str">
        <f t="shared" si="21"/>
        <v/>
      </c>
      <c r="EX48" s="31"/>
      <c r="EY48" s="282" t="str">
        <f t="array" ref="EY48">_xlfn.IFNA(INDEX('DMR 001C NEW'!$A$3:$O$999,MATCH(('001-C DMR'!$ET$6&amp;'001-C DMR'!EY$10&amp;'001-C DMR'!$B48),('DMR 001C NEW'!$E$3:$E$1112&amp;'DMR 001C NEW'!$B$3:$B$1112&amp;'DMR 001C NEW'!$A$3:$A$1112),0),MATCH('001-C DMR'!$EY$11,'DMR 001C NEW'!$A$2:$O$2,0)),"")</f>
        <v/>
      </c>
      <c r="EZ48" s="283" t="str">
        <f t="array" ref="EZ48">_xlfn.IFNA(INDEX('DMR 001C NEW'!$A$3:$O$999,MATCH(('001-C DMR'!$ET$6&amp;'001-C DMR'!EZ$10&amp;'001-C DMR'!$B48),('DMR 001C NEW'!$E$3:$E$1112&amp;'DMR 001C NEW'!$B$3:$B$1112&amp;'DMR 001C NEW'!$A$3:$A$1112),0),MATCH('001-C DMR'!$EY$11,'DMR 001C NEW'!$A$2:$O$2,0)),"")</f>
        <v/>
      </c>
      <c r="FA48" s="283" t="str">
        <f t="array" ref="FA48">_xlfn.IFNA(INDEX('DMR 001C NEW'!$A$3:$O$999,MATCH(('001-C DMR'!$ET$6&amp;'001-C DMR'!FA$10&amp;'001-C DMR'!$B48),('DMR 001C NEW'!$E$3:$E$1112&amp;'DMR 001C NEW'!$B$3:$B$1112&amp;'DMR 001C NEW'!$A$3:$A$1112),0),MATCH('001-C DMR'!$EY$11,'DMR 001C NEW'!$A$2:$O$2,0)),"")</f>
        <v/>
      </c>
      <c r="FB48" s="283" t="str">
        <f t="array" ref="FB48">_xlfn.IFNA(INDEX('DMR 001C NEW'!$A$3:$O$999,MATCH(('001-C DMR'!$ET$6&amp;'001-C DMR'!FB$10&amp;'001-C DMR'!$B48),('DMR 001C NEW'!$E$3:$E$1112&amp;'DMR 001C NEW'!$B$3:$B$1112&amp;'DMR 001C NEW'!$A$3:$A$1112),0),MATCH('001-C DMR'!$EY$11,'DMR 001C NEW'!$A$2:$O$2,0)),"")</f>
        <v/>
      </c>
      <c r="FC48" s="283" t="str">
        <f t="array" ref="FC48">_xlfn.IFNA(INDEX('DMR 001C NEW'!$A$3:$O$999,MATCH(('001-C DMR'!$ET$6&amp;'001-C DMR'!FC$10&amp;'001-C DMR'!$B48),('DMR 001C NEW'!$E$3:$E$1112&amp;'DMR 001C NEW'!$B$3:$B$1112&amp;'DMR 001C NEW'!$A$3:$A$1112),0),MATCH('001-C DMR'!$EY$11,'DMR 001C NEW'!$A$2:$O$2,0)),"")</f>
        <v/>
      </c>
      <c r="FD48" s="283" t="str">
        <f t="array" ref="FD48">_xlfn.IFNA(INDEX('DMR 001C NEW'!$A$3:$O$999,MATCH(('001-C DMR'!$ET$6&amp;'001-C DMR'!FD$10&amp;'001-C DMR'!$B48),('DMR 001C NEW'!$E$3:$E$1112&amp;'DMR 001C NEW'!$B$3:$B$1112&amp;'DMR 001C NEW'!$A$3:$A$1112),0),MATCH('001-C DMR'!$EY$11,'DMR 001C NEW'!$A$2:$O$2,0)),"")</f>
        <v/>
      </c>
      <c r="FE48" s="284" t="str">
        <f t="array" ref="FE48">_xlfn.IFNA(INDEX('DMR 001C NEW'!$A$3:$O$999,MATCH(('001-C DMR'!$ET$6&amp;'001-C DMR'!FE$10&amp;'001-C DMR'!$B48),('DMR 001C NEW'!$E$3:$E$1112&amp;'DMR 001C NEW'!$B$3:$B$1112&amp;'DMR 001C NEW'!$A$3:$A$1112),0),MATCH('001-C DMR'!$EY$11,'DMR 001C NEW'!$A$2:$O$2,0)),"")</f>
        <v/>
      </c>
      <c r="FF48" s="30"/>
      <c r="FG48" s="201"/>
      <c r="FH48" s="201"/>
      <c r="FI48" s="30"/>
      <c r="FJ48" s="201"/>
      <c r="FN48" s="31"/>
      <c r="FO48" s="41"/>
      <c r="FP48" s="280" t="str">
        <f t="array" ref="FP48">_xlfn.IFNA(INDEX('DMR 001C NEW'!$A$3:$O$999,MATCH(('001-C DMR'!$FF$6&amp;'001-C DMR'!FP$10&amp;'001-C DMR'!$B48),('DMR 001C NEW'!$E$3:$E$1112&amp;'DMR 001C NEW'!$B$3:$B$1112&amp;'DMR 001C NEW'!$A$3:$A$1112),0),MATCH('001-C DMR'!$FH$11,'DMR 001C NEW'!$A$2:$O$2,0)),"")</f>
        <v/>
      </c>
      <c r="FQ48" s="280" t="str">
        <f t="array" ref="FQ48">_xlfn.IFNA(INDEX('DMR 001C NEW'!$A$3:$O$999,MATCH(('001-C DMR'!$FF$6&amp;'001-C DMR'!FQ$10&amp;'001-C DMR'!$B48),('DMR 001C NEW'!$E$3:$E$1112&amp;'DMR 001C NEW'!$B$3:$B$1112&amp;'DMR 001C NEW'!$A$3:$A$1112),0),MATCH('001-C DMR'!$FH$11,'DMR 001C NEW'!$A$2:$O$2,0)),"")</f>
        <v/>
      </c>
      <c r="FR48" s="280" t="str">
        <f t="array" ref="FR48">_xlfn.IFNA(INDEX('DMR 001C NEW'!$A$3:$O$999,MATCH(('001-C DMR'!$FF$6&amp;'001-C DMR'!FR$10&amp;'001-C DMR'!$B48),('DMR 001C NEW'!$E$3:$E$1112&amp;'DMR 001C NEW'!$B$3:$B$1112&amp;'DMR 001C NEW'!$A$3:$A$1112),0),MATCH('001-C DMR'!$FH$11,'DMR 001C NEW'!$A$2:$O$2,0)),"")</f>
        <v/>
      </c>
      <c r="FS48" s="280" t="str">
        <f t="array" ref="FS48">_xlfn.IFNA(INDEX('DMR 001C NEW'!$A$3:$O$999,MATCH(('001-C DMR'!$FF$6&amp;'001-C DMR'!FS$10&amp;'001-C DMR'!$B48),('DMR 001C NEW'!$E$3:$E$1112&amp;'DMR 001C NEW'!$B$3:$B$1112&amp;'DMR 001C NEW'!$A$3:$A$1112),0),MATCH('001-C DMR'!$FH$11,'DMR 001C NEW'!$A$2:$O$2,0)),"")</f>
        <v/>
      </c>
      <c r="FT48" s="280" t="str">
        <f t="array" ref="FT48">_xlfn.IFNA(INDEX('DMR 001C NEW'!$A$3:$O$999,MATCH(('001-C DMR'!$FF$6&amp;'001-C DMR'!FT$10&amp;'001-C DMR'!$B48),('DMR 001C NEW'!$E$3:$E$1112&amp;'DMR 001C NEW'!$B$3:$B$1112&amp;'DMR 001C NEW'!$A$3:$A$1112),0),MATCH('001-C DMR'!$FH$11,'DMR 001C NEW'!$A$2:$O$2,0)),"")</f>
        <v/>
      </c>
      <c r="FU48" s="280" t="str">
        <f t="array" ref="FU48">_xlfn.IFNA(INDEX('DMR 001C NEW'!$A$3:$O$999,MATCH(('001-C DMR'!$FF$6&amp;'001-C DMR'!FU$10&amp;'001-C DMR'!$B48),('DMR 001C NEW'!$E$3:$E$1112&amp;'DMR 001C NEW'!$B$3:$B$1112&amp;'DMR 001C NEW'!$A$3:$A$1112),0),MATCH('001-C DMR'!$FH$11,'DMR 001C NEW'!$A$2:$O$2,0)),"")</f>
        <v/>
      </c>
      <c r="FV48" s="41"/>
      <c r="FW48" s="39"/>
      <c r="FX48" s="30"/>
      <c r="FY48" s="202"/>
      <c r="FZ48" s="30"/>
      <c r="GA48" s="30"/>
      <c r="GB48" s="202"/>
      <c r="GC48" s="30"/>
      <c r="GD48" s="31"/>
      <c r="GE48" s="282" t="str">
        <f t="array" ref="GE48">_xlfn.IFNA(INDEX('DMR 001C NEW'!$A$3:$O$999,MATCH(('001-C DMR'!$FW$6&amp;'001-C DMR'!GE$10&amp;'001-C DMR'!$B48),('DMR 001C NEW'!$E$3:$E$1112&amp;'DMR 001C NEW'!$B$3:$B$1112&amp;'DMR 001C NEW'!$A$3:$A$1112),0),MATCH('001-C DMR'!$FY$11,'DMR 001C NEW'!$A$2:$O$2,0)),"")</f>
        <v/>
      </c>
      <c r="GF48" s="283" t="str">
        <f t="array" ref="GF48">_xlfn.IFNA(INDEX('DMR 001C NEW'!$A$3:$O$999,MATCH(('001-C DMR'!$FW$6&amp;'001-C DMR'!GF$10&amp;'001-C DMR'!$B48),('DMR 001C NEW'!$E$3:$E$1112&amp;'DMR 001C NEW'!$B$3:$B$1112&amp;'DMR 001C NEW'!$A$3:$A$1112),0),MATCH('001-C DMR'!$FY$11,'DMR 001C NEW'!$A$2:$O$2,0)),"")</f>
        <v/>
      </c>
      <c r="GG48" s="283" t="str">
        <f t="array" ref="GG48">_xlfn.IFNA(INDEX('DMR 001C NEW'!$A$3:$O$999,MATCH(('001-C DMR'!$FW$6&amp;'001-C DMR'!GG$10&amp;'001-C DMR'!$B48),('DMR 001C NEW'!$E$3:$E$1112&amp;'DMR 001C NEW'!$B$3:$B$1112&amp;'DMR 001C NEW'!$A$3:$A$1112),0),MATCH('001-C DMR'!$FY$11,'DMR 001C NEW'!$A$2:$O$2,0)),"")</f>
        <v/>
      </c>
      <c r="GH48" s="283" t="str">
        <f t="array" ref="GH48">_xlfn.IFNA(INDEX('DMR 001C NEW'!$A$3:$O$999,MATCH(('001-C DMR'!$FW$6&amp;'001-C DMR'!GH$10&amp;'001-C DMR'!$B48),('DMR 001C NEW'!$E$3:$E$1112&amp;'DMR 001C NEW'!$B$3:$B$1112&amp;'DMR 001C NEW'!$A$3:$A$1112),0),MATCH('001-C DMR'!$FY$11,'DMR 001C NEW'!$A$2:$O$2,0)),"")</f>
        <v/>
      </c>
      <c r="GI48" s="283" t="str">
        <f t="array" ref="GI48">_xlfn.IFNA(INDEX('DMR 001C NEW'!$A$3:$O$999,MATCH(('001-C DMR'!$FW$6&amp;'001-C DMR'!GI$10&amp;'001-C DMR'!$B48),('DMR 001C NEW'!$E$3:$E$1112&amp;'DMR 001C NEW'!$B$3:$B$1112&amp;'DMR 001C NEW'!$A$3:$A$1112),0),MATCH('001-C DMR'!$FY$11,'DMR 001C NEW'!$A$2:$O$2,0)),"")</f>
        <v/>
      </c>
      <c r="GJ48" s="284" t="str">
        <f t="array" ref="GJ48">_xlfn.IFNA(INDEX('DMR 001C NEW'!$A$3:$O$999,MATCH(('001-C DMR'!$FW$6&amp;'001-C DMR'!GJ$10&amp;'001-C DMR'!$B48),('DMR 001C NEW'!$E$3:$E$1112&amp;'DMR 001C NEW'!$B$3:$B$1112&amp;'DMR 001C NEW'!$A$3:$A$1112),0),MATCH('001-C DMR'!$FY$11,'DMR 001C NEW'!$A$2:$O$2,0)),"")</f>
        <v/>
      </c>
      <c r="GK48" s="30"/>
      <c r="GL48" s="30"/>
      <c r="GM48" s="30"/>
      <c r="GN48" s="31"/>
    </row>
    <row r="49" spans="1:196" ht="15.75" thickBot="1" x14ac:dyDescent="0.3">
      <c r="A49" s="334" t="s">
        <v>127</v>
      </c>
      <c r="B49" s="335"/>
      <c r="C49" s="40"/>
      <c r="D49" s="27"/>
      <c r="E49" s="27"/>
      <c r="F49" s="27"/>
      <c r="G49" s="27"/>
      <c r="H49" s="27"/>
      <c r="I49" s="27"/>
      <c r="J49" s="27"/>
      <c r="K49" s="28"/>
      <c r="L49" s="264"/>
      <c r="M49" s="265"/>
      <c r="N49" s="265"/>
      <c r="O49" s="265"/>
      <c r="P49" s="266"/>
      <c r="Q49" s="27"/>
      <c r="R49" s="40"/>
      <c r="S49" s="27"/>
      <c r="T49" s="28"/>
      <c r="U49" s="264"/>
      <c r="V49" s="265"/>
      <c r="W49" s="265"/>
      <c r="X49" s="265"/>
      <c r="Y49" s="265"/>
      <c r="Z49" s="265"/>
      <c r="AA49" s="266"/>
      <c r="AB49" s="27"/>
      <c r="AC49" s="27"/>
      <c r="AD49" s="27"/>
      <c r="AE49" s="27"/>
      <c r="AF49" s="27"/>
      <c r="AG49" s="131" t="s">
        <v>180</v>
      </c>
      <c r="AH49" s="184">
        <f t="array" ref="AH49">AVERAGEIFS(AH12:AH48,$B$12:$B$48,"&gt;="&amp;$B$3,$B$12:$B$48,"&lt;="&amp;$B$2)</f>
        <v>12.150825674228264</v>
      </c>
      <c r="AI49" s="141" t="s">
        <v>89</v>
      </c>
      <c r="AJ49" s="126"/>
      <c r="AK49" s="264"/>
      <c r="AL49" s="265"/>
      <c r="AM49" s="265"/>
      <c r="AN49" s="265"/>
      <c r="AO49" s="265"/>
      <c r="AP49" s="266"/>
      <c r="AQ49" s="38"/>
      <c r="AW49" s="236" t="str">
        <f t="array" ref="AW49">IF(MAX(AY12:AY48)&gt;=MAX(AR12:AR48,AV12:AV48),"=","&lt;")</f>
        <v>=</v>
      </c>
      <c r="AX49" s="237"/>
      <c r="AY49" s="238">
        <f t="array" ref="AY49">AVERAGEIFS(AY12:AY48,$B$12:$B$48,"&gt;="&amp;$B$3,$B$12:$B$48,"&lt;="&amp;$B$2)</f>
        <v>0.95515286098051921</v>
      </c>
      <c r="AZ49" s="239" t="s">
        <v>89</v>
      </c>
      <c r="BA49" s="264"/>
      <c r="BB49" s="265"/>
      <c r="BC49" s="265"/>
      <c r="BD49" s="265"/>
      <c r="BE49" s="265"/>
      <c r="BF49" s="266"/>
      <c r="BG49" s="40"/>
      <c r="BH49" s="27"/>
      <c r="BI49" s="27"/>
      <c r="BJ49" s="27"/>
      <c r="BK49" s="27"/>
      <c r="BL49" s="27"/>
      <c r="BM49" s="27"/>
      <c r="BN49" s="27"/>
      <c r="BO49" s="27"/>
      <c r="BP49" s="28"/>
      <c r="BQ49" s="264"/>
      <c r="BR49" s="265"/>
      <c r="BS49" s="265"/>
      <c r="BT49" s="265"/>
      <c r="BU49" s="265"/>
      <c r="BV49" s="266"/>
      <c r="BW49" s="96"/>
      <c r="BX49" s="27"/>
      <c r="BY49" s="40"/>
      <c r="BZ49" s="27"/>
      <c r="CA49" s="27"/>
      <c r="CB49" s="27"/>
      <c r="CC49" s="27"/>
      <c r="CD49" s="131" t="str">
        <f t="array" ref="CD49">IF(MAX(CE12:CE48)&gt;=MAX(CC12:CC48),"=","&lt;")</f>
        <v>=</v>
      </c>
      <c r="CE49" s="190">
        <f t="array" ref="CE49">AVERAGEIFS(CE12:CE48,$B$12:$B$48,"&gt;="&amp;$B$3,$B$12:$B$48,"&lt;="&amp;$B$2)</f>
        <v>101.3799791539904</v>
      </c>
      <c r="CF49" s="141" t="s">
        <v>89</v>
      </c>
      <c r="CG49" s="264"/>
      <c r="CH49" s="265"/>
      <c r="CI49" s="265"/>
      <c r="CJ49" s="265"/>
      <c r="CK49" s="265"/>
      <c r="CL49" s="266"/>
      <c r="CM49" s="40"/>
      <c r="CN49" s="131" t="str">
        <f t="array" ref="CN49">IF(MAX(CP12:CP48)&gt;=MAX(CN12:CN48),"=","&lt;")</f>
        <v>=</v>
      </c>
      <c r="CO49" s="190">
        <f t="array" ref="CO49">IF(AVERAGEIFS(CP12:CP48,$B$12:$B$48,"&gt;="&amp;$B$3,$B$12:$B$48,"&lt;="&amp;$B$2)=0,MAX(CN12:CN48),AVERAGEIFS(CP12:CP48,$B$12:$B$48,"&gt;="&amp;$B$3,$B$12:$B$48,"&lt;="&amp;$B$2))</f>
        <v>238</v>
      </c>
      <c r="CP49" s="190"/>
      <c r="CQ49" s="141" t="s">
        <v>99</v>
      </c>
      <c r="CR49" s="264"/>
      <c r="CS49" s="265"/>
      <c r="CT49" s="265"/>
      <c r="CU49" s="265"/>
      <c r="CV49" s="265"/>
      <c r="CW49" s="265"/>
      <c r="CX49" s="266"/>
      <c r="CY49" s="40"/>
      <c r="CZ49" s="131" t="str">
        <f>IF(MAX(DB12:DB48)&gt;=MAX(CZ12:CZ48),"=","&lt;")</f>
        <v>=</v>
      </c>
      <c r="DA49" s="190">
        <f>AVERAGEIFS(DB12:DB48,$B$12:$B$48,"&gt;="&amp;$B$3,$B$12:$B$48,"&lt;="&amp;$B$2)</f>
        <v>60.6</v>
      </c>
      <c r="DB49" s="190"/>
      <c r="DC49" s="141" t="s">
        <v>99</v>
      </c>
      <c r="DD49" s="264"/>
      <c r="DE49" s="265"/>
      <c r="DF49" s="265"/>
      <c r="DG49" s="265"/>
      <c r="DH49" s="265"/>
      <c r="DI49" s="265"/>
      <c r="DJ49" s="266"/>
      <c r="DK49" s="27"/>
      <c r="DL49" s="129" t="str">
        <f t="array" ref="DL49">IF(DM49=MAX(DL12:DL46),"&lt;","=")</f>
        <v>=</v>
      </c>
      <c r="DM49" s="139">
        <f>IF(DN49=0,MAX(DL12:DL48),DN49)</f>
        <v>0.126</v>
      </c>
      <c r="DN49" s="191">
        <f>AVERAGEIFS(DN12:DN48,$B$12:$B$48,"&gt;="&amp;$B$3,$B$12:$B$48,"&lt;="&amp;$B$2)</f>
        <v>0.126</v>
      </c>
      <c r="DO49" s="129" t="str">
        <f>DL49</f>
        <v>=</v>
      </c>
      <c r="DP49" s="139">
        <f>(DM49/1000)*EK49*8.34</f>
        <v>0.13018409983509677</v>
      </c>
      <c r="DQ49" s="28"/>
      <c r="DR49" s="265"/>
      <c r="DS49" s="265"/>
      <c r="DT49" s="265"/>
      <c r="DU49" s="265"/>
      <c r="DV49" s="265"/>
      <c r="DW49" s="265"/>
      <c r="DX49" s="265"/>
      <c r="DY49" s="156"/>
      <c r="DZ49" s="150"/>
      <c r="EA49" s="150"/>
      <c r="EB49" s="150"/>
      <c r="EC49" s="150"/>
      <c r="ED49" s="150"/>
      <c r="EE49" s="150"/>
      <c r="EF49" s="150"/>
      <c r="EG49" s="150"/>
      <c r="EH49" s="172"/>
      <c r="EI49" s="27"/>
      <c r="EJ49" s="129" t="s">
        <v>180</v>
      </c>
      <c r="EK49" s="200">
        <f t="array" ref="EK49">AVERAGEIFS(EK12:EK48,$B$12:$B$48,"&gt;="&amp;$B$3,$B$12:$B$48,"&lt;="&amp;$B$2)</f>
        <v>123.88574838709677</v>
      </c>
      <c r="EL49" s="40"/>
      <c r="EM49" s="129" t="s">
        <v>180</v>
      </c>
      <c r="EN49" s="190"/>
      <c r="EO49" s="141" t="s">
        <v>89</v>
      </c>
      <c r="EP49" s="131" t="s">
        <v>180</v>
      </c>
      <c r="EQ49" s="184">
        <f t="array" ref="EQ49">PRODUCT(IF(($B$12:$B$46&lt;=$B$2)*($B$12:$B$46&gt;=$B$3),$EQ$12:$EQ$46,""))^(1/$B$5)</f>
        <v>106.14690721749665</v>
      </c>
      <c r="ER49" s="132" t="s">
        <v>102</v>
      </c>
      <c r="ES49" s="27"/>
      <c r="ET49" s="156"/>
      <c r="EU49" s="131" t="str">
        <f t="array" ref="EU49">IF(MAX(EW12:EW48)&gt;=MAX(EU12:EU48),"=","&lt;")</f>
        <v>&lt;</v>
      </c>
      <c r="EV49" s="191">
        <f t="array" ref="EV49">IF(AVERAGEIFS(EW12:EW48,$B$12:$B$48,"&gt;="&amp;$B$3,$B$12:$B$48,"&lt;="&amp;$B$2)=0,MAX(EU12:EU48),AVERAGEIFS(EW12:EW48,$B$12:$B$48,"&gt;="&amp;$B$3,$B$12:$B$48,"&lt;="&amp;$B$2))</f>
        <v>2.76</v>
      </c>
      <c r="EW49" s="200" t="s">
        <v>99</v>
      </c>
      <c r="EX49" s="197"/>
      <c r="EY49" s="225"/>
      <c r="EZ49" s="225"/>
      <c r="FA49" s="225"/>
      <c r="FB49" s="225"/>
      <c r="FC49" s="225"/>
      <c r="FD49" s="225"/>
      <c r="FE49" s="268"/>
      <c r="FF49" s="40"/>
      <c r="FG49" s="27"/>
      <c r="FH49" s="27"/>
      <c r="FI49" s="27"/>
      <c r="FJ49" s="27"/>
      <c r="FK49" s="131" t="s">
        <v>180</v>
      </c>
      <c r="FL49" s="184">
        <f t="array" ref="FL49">AVERAGEIFS(FL12:FL48,$B$12:$B$48,"&gt;="&amp;$B$3,$B$12:$B$48,"&lt;="&amp;$B$2)</f>
        <v>4.4323609356231533</v>
      </c>
      <c r="FM49" s="141" t="s">
        <v>89</v>
      </c>
      <c r="FN49" s="28"/>
      <c r="FO49" s="204">
        <f>(('[1]300I_DMR'!$AK$51)-FL49)/'[1]300I_DMR'!$AK$51*100</f>
        <v>97.767681933028186</v>
      </c>
      <c r="FP49" s="295"/>
      <c r="FQ49" s="265"/>
      <c r="FR49" s="265"/>
      <c r="FS49" s="265"/>
      <c r="FT49" s="265"/>
      <c r="FU49" s="266"/>
      <c r="FV49" s="204">
        <f>('[1]300I_DMR'!$W$51-AH49)/'[1]300I_DMR'!$W$51*100</f>
        <v>96.122609525152512</v>
      </c>
      <c r="FW49" s="40"/>
      <c r="FX49" s="27"/>
      <c r="FY49" s="27"/>
      <c r="FZ49" s="27"/>
      <c r="GA49" s="27"/>
      <c r="GB49" s="129" t="s">
        <v>180</v>
      </c>
      <c r="GC49" s="190">
        <f t="array" ref="GC49">AVERAGEIFS(GC12:GC48,$B$12:$B$48,"&gt;="&amp;$B$3,$B$12:$B$48,"&lt;="&amp;$B$2)</f>
        <v>117.46791619702178</v>
      </c>
      <c r="GD49" s="141" t="s">
        <v>89</v>
      </c>
      <c r="GE49" s="267"/>
      <c r="GF49" s="225"/>
      <c r="GG49" s="225"/>
      <c r="GH49" s="225"/>
      <c r="GI49" s="225"/>
      <c r="GJ49" s="268"/>
      <c r="GK49" s="27"/>
      <c r="GL49" s="27"/>
      <c r="GM49" s="27"/>
      <c r="GN49" s="28"/>
    </row>
    <row r="50" spans="1:196" ht="15.75" thickBot="1" x14ac:dyDescent="0.3">
      <c r="A50" s="332" t="s">
        <v>128</v>
      </c>
      <c r="B50" s="336"/>
      <c r="C50" s="38"/>
      <c r="I50" s="6"/>
      <c r="K50" s="29"/>
      <c r="L50" s="267"/>
      <c r="M50" s="225"/>
      <c r="N50" s="225"/>
      <c r="O50" s="225"/>
      <c r="P50" s="268"/>
      <c r="R50" s="129" t="s">
        <v>180</v>
      </c>
      <c r="S50" s="184">
        <f t="array" ref="S50">MAX(IF(($B$12:$B$46&lt;=$B$2)*($B$12:$B$46&gt;=$B$3),$S$12:$S$46,""))</f>
        <v>7.1</v>
      </c>
      <c r="T50" s="141" t="s">
        <v>123</v>
      </c>
      <c r="U50" s="267"/>
      <c r="V50" s="293" t="s">
        <v>310</v>
      </c>
      <c r="W50" s="303" t="s">
        <v>311</v>
      </c>
      <c r="X50" s="302">
        <f>'pH Grabs'!E11</f>
        <v>7.0536476190476183</v>
      </c>
      <c r="Y50" s="367" t="s">
        <v>312</v>
      </c>
      <c r="Z50" s="368"/>
      <c r="AA50" s="369"/>
      <c r="AG50" s="127"/>
      <c r="AH50" s="127"/>
      <c r="AI50" s="127"/>
      <c r="AJ50" s="128"/>
      <c r="AK50" s="267"/>
      <c r="AL50" s="225"/>
      <c r="AM50" s="225"/>
      <c r="AN50" s="225"/>
      <c r="AO50" s="225"/>
      <c r="AP50" s="268"/>
      <c r="AQ50" s="38"/>
      <c r="AW50" s="131" t="str">
        <f t="array" ref="AW50">IF(MAX(AY12:AY48)&gt;=MAX(AR12:AR48,AV12:AV48),"=","&lt;")</f>
        <v>=</v>
      </c>
      <c r="AX50" s="205"/>
      <c r="AY50" s="184">
        <f t="array" ref="AY50">MAX(IF(($B$12:$B$48&lt;=$B$2)*($B$12:$B$48&gt;=$B$3),$AY$12:$AY$48,""))</f>
        <v>1.8646593060285552</v>
      </c>
      <c r="AZ50" s="141" t="s">
        <v>89</v>
      </c>
      <c r="BA50" s="267"/>
      <c r="BB50" s="225"/>
      <c r="BC50" s="225"/>
      <c r="BD50" s="225"/>
      <c r="BE50" s="225"/>
      <c r="BF50" s="268"/>
      <c r="BG50" s="38"/>
      <c r="BM50" s="131" t="str">
        <f>IF(MAX(BO12:BO48)&gt;=MAX(BL12:BL48),"=","&lt;")</f>
        <v>=</v>
      </c>
      <c r="BN50" s="184"/>
      <c r="BO50" s="184">
        <f t="array" ref="BO50">MAX(IF(($B$12:$B$48&lt;=$B$2)*($B$12:$B$48&gt;=$B$3),$BO$12:$BO$48,""))</f>
        <v>6.2372255945595789</v>
      </c>
      <c r="BP50" s="141" t="s">
        <v>89</v>
      </c>
      <c r="BQ50" s="267"/>
      <c r="BR50" s="225"/>
      <c r="BS50" s="225"/>
      <c r="BT50" s="225"/>
      <c r="BU50" s="225"/>
      <c r="BV50" s="268"/>
      <c r="BW50" s="41"/>
      <c r="BY50" s="38"/>
      <c r="CF50" s="29"/>
      <c r="CG50" s="267"/>
      <c r="CH50" s="225"/>
      <c r="CI50" s="225"/>
      <c r="CJ50" s="225"/>
      <c r="CK50" s="225"/>
      <c r="CL50" s="268"/>
      <c r="CM50" s="38"/>
      <c r="CQ50" s="29"/>
      <c r="CR50" s="267"/>
      <c r="CS50" s="225"/>
      <c r="CT50" s="225"/>
      <c r="CU50" s="225"/>
      <c r="CV50" s="225"/>
      <c r="CW50" s="225"/>
      <c r="CX50" s="268"/>
      <c r="CY50" s="38"/>
      <c r="DC50" s="29"/>
      <c r="DD50" s="267"/>
      <c r="DE50" s="225"/>
      <c r="DF50" s="225"/>
      <c r="DG50" s="225"/>
      <c r="DH50" s="225"/>
      <c r="DI50" s="225"/>
      <c r="DJ50" s="268"/>
      <c r="DL50" s="129" t="str">
        <f>DL49</f>
        <v>=</v>
      </c>
      <c r="DM50" s="214">
        <f t="array" ref="DM50">IF(MAX(IF(($B$12:$B$46&lt;=$B$2)*($B$12:$B$46&gt;=$B$3),DM12:DM46,""))&lt;MAX(DL12:DL46),MAX(DL12:DL46),MAX(DM12:DM46))</f>
        <v>0.15</v>
      </c>
      <c r="DN50" s="213"/>
      <c r="DO50" s="24"/>
      <c r="DP50" s="24"/>
      <c r="DQ50" s="29"/>
      <c r="DR50" s="225"/>
      <c r="DS50" s="225"/>
      <c r="DT50" s="225"/>
      <c r="DU50" s="225"/>
      <c r="DV50" s="225"/>
      <c r="DW50" s="225"/>
      <c r="DX50" s="225"/>
      <c r="DY50" s="151"/>
      <c r="DZ50" s="24"/>
      <c r="EA50" s="24"/>
      <c r="EB50" s="24"/>
      <c r="EC50" s="154"/>
      <c r="ED50" s="154"/>
      <c r="EE50" s="154"/>
      <c r="EF50" s="296" t="s">
        <v>627</v>
      </c>
      <c r="EG50" s="316">
        <v>5.4</v>
      </c>
      <c r="EH50" s="141" t="s">
        <v>89</v>
      </c>
      <c r="EJ50" s="130" t="s">
        <v>180</v>
      </c>
      <c r="EK50" s="140">
        <f t="array" ref="EK50">MAX(IF(($B$12:$B$46&lt;=$B$2)*($B$12:$B$46&gt;=$B$3),EK12:EK46,""))</f>
        <v>134.761</v>
      </c>
      <c r="EL50" s="38"/>
      <c r="EM50" s="129" t="s">
        <v>180</v>
      </c>
      <c r="EN50" s="190"/>
      <c r="EO50" s="141" t="s">
        <v>89</v>
      </c>
      <c r="EP50" s="38"/>
      <c r="ET50" s="151"/>
      <c r="EU50" s="131" t="str">
        <f t="array" ref="EU50">IF(MAX(EW13:EW49)&gt;=MAX(EU13:EU49),"=","&lt;")</f>
        <v>&lt;</v>
      </c>
      <c r="EV50" s="191">
        <f t="array" ref="EV50">IF(AVERAGEIFS(EW12:EW48,$B$12:$B$48,"&gt;="&amp;$B$3,$B$12:$B$48,"&lt;="&amp;$B$2)=0,MAX(EU12:EU48),AVERAGEIFS(EW12:EW48,$B$12:$B$48,"&gt;="&amp;$B$3,$B$12:$B$48,"&lt;="&amp;$B$2))</f>
        <v>2.76</v>
      </c>
      <c r="EW50" s="200" t="s">
        <v>99</v>
      </c>
      <c r="EX50" s="180"/>
      <c r="EY50" s="225"/>
      <c r="EZ50" s="225"/>
      <c r="FA50" s="225"/>
      <c r="FB50" s="225"/>
      <c r="FC50" s="225"/>
      <c r="FD50" s="225"/>
      <c r="FE50" s="268"/>
      <c r="FF50" s="38"/>
      <c r="FN50" s="29"/>
      <c r="FO50" s="41"/>
      <c r="FP50" s="267"/>
      <c r="FQ50" s="225"/>
      <c r="FR50" s="225"/>
      <c r="FS50" s="225"/>
      <c r="FT50" s="225"/>
      <c r="FU50" s="268"/>
      <c r="FV50" s="41"/>
      <c r="FW50" s="38"/>
      <c r="GD50" s="29"/>
      <c r="GE50" s="267"/>
      <c r="GF50" s="225"/>
      <c r="GG50" s="225"/>
      <c r="GH50" s="225"/>
      <c r="GI50" s="225"/>
      <c r="GJ50" s="268"/>
      <c r="GL50" s="131" t="s">
        <v>180</v>
      </c>
      <c r="GM50" s="141" t="str">
        <f t="array" ref="GM50">IF((GK12:GL44="n"),"0","1")</f>
        <v>0</v>
      </c>
      <c r="GN50" s="29"/>
    </row>
    <row r="51" spans="1:196" ht="15.75" thickBot="1" x14ac:dyDescent="0.3">
      <c r="A51" s="332" t="s">
        <v>133</v>
      </c>
      <c r="B51" s="333"/>
      <c r="C51" s="38"/>
      <c r="H51" s="129" t="s">
        <v>180</v>
      </c>
      <c r="I51" s="184">
        <f t="array" ref="I51">MIN(IF(($B$12:$B$46&lt;=$B$2)*($B$12:$B$46&gt;=$B$3),$I$12:$I$46,""))</f>
        <v>5.98857754158327</v>
      </c>
      <c r="J51" s="141" t="s">
        <v>89</v>
      </c>
      <c r="K51" s="29"/>
      <c r="L51" s="267"/>
      <c r="M51" s="225"/>
      <c r="N51" s="225"/>
      <c r="O51" s="225"/>
      <c r="P51" s="268"/>
      <c r="R51" s="129" t="s">
        <v>180</v>
      </c>
      <c r="S51" s="184">
        <f t="array" ref="S51">MIN(IF(($B$12:$B$46&lt;=$B$2)*($B$12:$B$46&gt;=$B$3),$S$12:$S$46,""))</f>
        <v>7</v>
      </c>
      <c r="T51" s="141" t="s">
        <v>123</v>
      </c>
      <c r="U51" s="267"/>
      <c r="V51" s="225"/>
      <c r="W51" s="303" t="s">
        <v>313</v>
      </c>
      <c r="X51" s="302">
        <f>'pH Grabs'!E12</f>
        <v>6.9094480128462461</v>
      </c>
      <c r="Y51" s="370"/>
      <c r="Z51" s="371"/>
      <c r="AA51" s="372"/>
      <c r="AG51" s="127"/>
      <c r="AH51" s="127"/>
      <c r="AI51" s="127"/>
      <c r="AJ51" s="128"/>
      <c r="AK51" s="267"/>
      <c r="AL51" s="225"/>
      <c r="AM51" s="225"/>
      <c r="AN51" s="225"/>
      <c r="AO51" s="225"/>
      <c r="AP51" s="268"/>
      <c r="AQ51" s="38"/>
      <c r="AZ51" s="29"/>
      <c r="BA51" s="267"/>
      <c r="BB51" s="225"/>
      <c r="BC51" s="225"/>
      <c r="BD51" s="225"/>
      <c r="BE51" s="225"/>
      <c r="BF51" s="268"/>
      <c r="BG51" s="38"/>
      <c r="BP51" s="29"/>
      <c r="BQ51" s="267"/>
      <c r="BR51" s="225"/>
      <c r="BS51" s="225"/>
      <c r="BT51" s="225"/>
      <c r="BU51" s="225"/>
      <c r="BV51" s="268"/>
      <c r="BW51" s="41"/>
      <c r="BY51" s="38"/>
      <c r="CF51" s="29"/>
      <c r="CG51" s="267"/>
      <c r="CH51" s="225"/>
      <c r="CI51" s="225"/>
      <c r="CJ51" s="225"/>
      <c r="CK51" s="225"/>
      <c r="CL51" s="268"/>
      <c r="CM51" s="354" t="s">
        <v>237</v>
      </c>
      <c r="CN51" s="355"/>
      <c r="CO51" s="355"/>
      <c r="CP51" s="355"/>
      <c r="CQ51" s="29"/>
      <c r="CR51" s="267"/>
      <c r="CS51" s="225"/>
      <c r="CT51" s="225"/>
      <c r="CU51" s="225"/>
      <c r="CV51" s="225"/>
      <c r="CW51" s="225"/>
      <c r="CX51" s="268"/>
      <c r="CY51" s="354" t="s">
        <v>237</v>
      </c>
      <c r="CZ51" s="355"/>
      <c r="DA51" s="355"/>
      <c r="DB51" s="355"/>
      <c r="DC51" s="356"/>
      <c r="DD51" s="267"/>
      <c r="DE51" s="225"/>
      <c r="DF51" s="225"/>
      <c r="DG51" s="225"/>
      <c r="DH51" s="225"/>
      <c r="DI51" s="225"/>
      <c r="DJ51" s="268"/>
      <c r="DQ51" s="29"/>
      <c r="DR51" s="225"/>
      <c r="DS51" s="225"/>
      <c r="DT51" s="225"/>
      <c r="DU51" s="225"/>
      <c r="DV51" s="225"/>
      <c r="DW51" s="225"/>
      <c r="DX51" s="225"/>
      <c r="DY51" s="151"/>
      <c r="DZ51" s="24"/>
      <c r="EA51" s="24"/>
      <c r="EB51" s="24"/>
      <c r="EC51" s="24"/>
      <c r="ED51" s="24"/>
      <c r="EE51" s="24"/>
      <c r="EF51" s="24"/>
      <c r="EG51" s="24"/>
      <c r="EH51" s="152"/>
      <c r="EK51" s="29"/>
      <c r="EL51" s="38"/>
      <c r="EO51" s="29"/>
      <c r="EP51" s="38"/>
      <c r="ET51" s="151"/>
      <c r="EU51" s="24"/>
      <c r="EV51" s="24"/>
      <c r="EW51" s="24"/>
      <c r="EX51" s="152"/>
      <c r="EY51" s="225"/>
      <c r="EZ51" s="225"/>
      <c r="FA51" s="225"/>
      <c r="FB51" s="225"/>
      <c r="FC51" s="225"/>
      <c r="FD51" s="225"/>
      <c r="FE51" s="268"/>
      <c r="FF51" s="38"/>
      <c r="FN51" s="29"/>
      <c r="FO51" s="41"/>
      <c r="FP51" s="267"/>
      <c r="FQ51" s="225"/>
      <c r="FR51" s="225"/>
      <c r="FS51" s="225"/>
      <c r="FT51" s="225"/>
      <c r="FU51" s="268"/>
      <c r="FV51" s="41"/>
      <c r="FW51" s="38"/>
      <c r="GD51" s="29"/>
      <c r="GE51" s="267"/>
      <c r="GF51" s="225"/>
      <c r="GG51" s="225"/>
      <c r="GH51" s="225"/>
      <c r="GI51" s="225"/>
      <c r="GJ51" s="268"/>
      <c r="GN51" s="29"/>
    </row>
    <row r="52" spans="1:196" ht="15.75" thickBot="1" x14ac:dyDescent="0.3">
      <c r="A52" s="332" t="s">
        <v>129</v>
      </c>
      <c r="B52" s="336"/>
      <c r="C52" s="38"/>
      <c r="I52" s="25"/>
      <c r="J52" s="6"/>
      <c r="K52" s="29"/>
      <c r="L52" s="267"/>
      <c r="M52" s="225"/>
      <c r="N52" s="225"/>
      <c r="O52" s="225"/>
      <c r="P52" s="268"/>
      <c r="R52" s="346" t="s">
        <v>309</v>
      </c>
      <c r="S52" s="347"/>
      <c r="T52" s="348"/>
      <c r="U52" s="267"/>
      <c r="V52" s="225"/>
      <c r="W52" s="225"/>
      <c r="X52" s="225"/>
      <c r="Y52" s="225"/>
      <c r="Z52" s="225"/>
      <c r="AA52" s="268"/>
      <c r="AG52" s="127"/>
      <c r="AH52" s="131" t="s">
        <v>180</v>
      </c>
      <c r="AI52" s="184">
        <f>MAX(AI12:AI46)</f>
        <v>14.784938907394094</v>
      </c>
      <c r="AJ52" s="141" t="s">
        <v>89</v>
      </c>
      <c r="AK52" s="267"/>
      <c r="AL52" s="225"/>
      <c r="AM52" s="225"/>
      <c r="AN52" s="225"/>
      <c r="AO52" s="225"/>
      <c r="AP52" s="268"/>
      <c r="AQ52" s="38"/>
      <c r="AZ52" s="29"/>
      <c r="BA52" s="267"/>
      <c r="BB52" s="225"/>
      <c r="BC52" s="225"/>
      <c r="BD52" s="225"/>
      <c r="BE52" s="225"/>
      <c r="BF52" s="268"/>
      <c r="BG52" s="38"/>
      <c r="BP52" s="29"/>
      <c r="BQ52" s="267"/>
      <c r="BR52" s="225"/>
      <c r="BS52" s="225"/>
      <c r="BT52" s="225"/>
      <c r="BU52" s="225"/>
      <c r="BV52" s="268"/>
      <c r="BW52" s="41"/>
      <c r="BY52" s="38"/>
      <c r="CF52" s="29"/>
      <c r="CG52" s="267"/>
      <c r="CH52" s="225"/>
      <c r="CI52" s="225"/>
      <c r="CJ52" s="225"/>
      <c r="CK52" s="225"/>
      <c r="CL52" s="268"/>
      <c r="CM52" s="352" t="s">
        <v>277</v>
      </c>
      <c r="CN52" s="353"/>
      <c r="CO52" s="353"/>
      <c r="CP52" s="353"/>
      <c r="CQ52" s="29"/>
      <c r="CR52" s="267"/>
      <c r="CS52" s="225"/>
      <c r="CT52" s="225"/>
      <c r="CU52" s="225"/>
      <c r="CV52" s="225"/>
      <c r="CW52" s="225"/>
      <c r="CX52" s="268"/>
      <c r="CY52" s="38"/>
      <c r="DC52" s="29"/>
      <c r="DD52" s="267"/>
      <c r="DE52" s="225"/>
      <c r="DF52" s="225"/>
      <c r="DG52" s="225"/>
      <c r="DH52" s="225"/>
      <c r="DI52" s="225"/>
      <c r="DJ52" s="268"/>
      <c r="DQ52" s="29"/>
      <c r="DR52" s="225"/>
      <c r="DS52" s="225"/>
      <c r="DT52" s="225"/>
      <c r="DU52" s="225"/>
      <c r="DV52" s="225"/>
      <c r="DW52" s="225"/>
      <c r="DX52" s="225"/>
      <c r="DY52" s="297" t="s">
        <v>299</v>
      </c>
      <c r="DZ52" s="298"/>
      <c r="EA52" s="298"/>
      <c r="EB52" s="298"/>
      <c r="EC52" s="298"/>
      <c r="ED52" s="298"/>
      <c r="EE52" s="24"/>
      <c r="EF52" s="24"/>
      <c r="EG52" s="24"/>
      <c r="EH52" s="152"/>
      <c r="EK52" s="29"/>
      <c r="EL52" s="38"/>
      <c r="EO52" s="29"/>
      <c r="EP52" s="38"/>
      <c r="EQ52" s="131" t="s">
        <v>180</v>
      </c>
      <c r="ER52" s="190">
        <f>MAX(ER18:ER46)</f>
        <v>121.97290784101085</v>
      </c>
      <c r="ES52" s="184" t="s">
        <v>102</v>
      </c>
      <c r="ET52" s="38"/>
      <c r="EX52" s="29"/>
      <c r="EY52" s="225"/>
      <c r="EZ52" s="225"/>
      <c r="FA52" s="225"/>
      <c r="FB52" s="225"/>
      <c r="FC52" s="225"/>
      <c r="FD52" s="225"/>
      <c r="FE52" s="268"/>
      <c r="FF52" s="38"/>
      <c r="FL52" s="131" t="s">
        <v>180</v>
      </c>
      <c r="FM52" s="184">
        <f>MAX(FM12:FM46)</f>
        <v>5.1045547505777806</v>
      </c>
      <c r="FN52" s="141" t="s">
        <v>89</v>
      </c>
      <c r="FO52" s="41"/>
      <c r="FP52" s="267"/>
      <c r="FQ52" s="225"/>
      <c r="FR52" s="225"/>
      <c r="FS52" s="225"/>
      <c r="FT52" s="225"/>
      <c r="FU52" s="268"/>
      <c r="FV52" s="41"/>
      <c r="FW52" s="38"/>
      <c r="GD52" s="29"/>
      <c r="GE52" s="267"/>
      <c r="GF52" s="225"/>
      <c r="GG52" s="225"/>
      <c r="GH52" s="225"/>
      <c r="GI52" s="225"/>
      <c r="GJ52" s="268"/>
      <c r="GN52" s="29"/>
    </row>
    <row r="53" spans="1:196" ht="15.75" thickBot="1" x14ac:dyDescent="0.3">
      <c r="A53" s="332" t="s">
        <v>134</v>
      </c>
      <c r="B53" s="337"/>
      <c r="C53" s="38"/>
      <c r="I53" s="129" t="s">
        <v>180</v>
      </c>
      <c r="J53" s="184">
        <f t="array" ref="J53">MIN(J12:J48)</f>
        <v>6.1824812241034532</v>
      </c>
      <c r="K53" s="141" t="s">
        <v>89</v>
      </c>
      <c r="L53" s="267"/>
      <c r="M53" s="225"/>
      <c r="N53" s="225"/>
      <c r="O53" s="225"/>
      <c r="P53" s="268"/>
      <c r="R53" s="349"/>
      <c r="S53" s="350"/>
      <c r="T53" s="351"/>
      <c r="U53" s="267"/>
      <c r="V53" s="293" t="s">
        <v>314</v>
      </c>
      <c r="W53" s="303" t="s">
        <v>311</v>
      </c>
      <c r="X53" s="304">
        <f>MAX(S50,X50)</f>
        <v>7.1</v>
      </c>
      <c r="Y53" s="225"/>
      <c r="Z53" s="225"/>
      <c r="AA53" s="268"/>
      <c r="AG53" s="127"/>
      <c r="AH53" s="127"/>
      <c r="AI53" s="127"/>
      <c r="AJ53" s="128"/>
      <c r="AK53" s="267"/>
      <c r="AL53" s="225"/>
      <c r="AM53" s="225"/>
      <c r="AN53" s="225"/>
      <c r="AO53" s="225"/>
      <c r="AP53" s="268"/>
      <c r="AQ53" s="38"/>
      <c r="AZ53" s="29"/>
      <c r="BA53" s="267"/>
      <c r="BB53" s="225"/>
      <c r="BC53" s="225"/>
      <c r="BD53" s="225"/>
      <c r="BE53" s="225"/>
      <c r="BF53" s="268"/>
      <c r="BG53" s="38"/>
      <c r="BP53" s="29"/>
      <c r="BQ53" s="267"/>
      <c r="BR53" s="225"/>
      <c r="BS53" s="225"/>
      <c r="BT53" s="225"/>
      <c r="BU53" s="225"/>
      <c r="BV53" s="268"/>
      <c r="BW53" s="41"/>
      <c r="BY53" s="38"/>
      <c r="CF53" s="29"/>
      <c r="CG53" s="267"/>
      <c r="CH53" s="225"/>
      <c r="CI53" s="225"/>
      <c r="CJ53" s="225"/>
      <c r="CK53" s="225"/>
      <c r="CL53" s="268"/>
      <c r="CM53" s="38"/>
      <c r="CQ53" s="29"/>
      <c r="CR53" s="267"/>
      <c r="CS53" s="225"/>
      <c r="CT53" s="225"/>
      <c r="CU53" s="225"/>
      <c r="CV53" s="225"/>
      <c r="CW53" s="225"/>
      <c r="CX53" s="268"/>
      <c r="CY53" s="38"/>
      <c r="DC53" s="29"/>
      <c r="DD53" s="267"/>
      <c r="DE53" s="225"/>
      <c r="DF53" s="225"/>
      <c r="DG53" s="225"/>
      <c r="DH53" s="225"/>
      <c r="DI53" s="225"/>
      <c r="DJ53" s="268"/>
      <c r="DQ53" s="29"/>
      <c r="DR53" s="225"/>
      <c r="DS53" s="225"/>
      <c r="DT53" s="225"/>
      <c r="DU53" s="225"/>
      <c r="DV53" s="225"/>
      <c r="DW53" s="225"/>
      <c r="DX53" s="225"/>
      <c r="DY53" s="151"/>
      <c r="DZ53" s="24"/>
      <c r="EA53" s="24"/>
      <c r="EB53" s="24"/>
      <c r="EC53" s="24"/>
      <c r="ED53" s="24"/>
      <c r="EE53" s="24"/>
      <c r="EF53" s="24"/>
      <c r="EG53" s="24"/>
      <c r="EH53" s="152"/>
      <c r="EK53" s="29"/>
      <c r="EL53" s="38"/>
      <c r="EO53" s="29"/>
      <c r="EP53" s="38"/>
      <c r="ET53" s="38"/>
      <c r="EX53" s="29"/>
      <c r="EY53" s="225"/>
      <c r="EZ53" s="225"/>
      <c r="FA53" s="225"/>
      <c r="FB53" s="225"/>
      <c r="FC53" s="225"/>
      <c r="FD53" s="225"/>
      <c r="FE53" s="268"/>
      <c r="FF53" s="38"/>
      <c r="FN53" s="29"/>
      <c r="FO53" s="41"/>
      <c r="FP53" s="267"/>
      <c r="FQ53" s="225"/>
      <c r="FR53" s="225"/>
      <c r="FS53" s="225"/>
      <c r="FT53" s="225"/>
      <c r="FU53" s="268"/>
      <c r="FV53" s="41"/>
      <c r="FW53" s="38"/>
      <c r="GD53" s="29"/>
      <c r="GE53" s="267"/>
      <c r="GF53" s="225"/>
      <c r="GG53" s="225"/>
      <c r="GH53" s="225"/>
      <c r="GI53" s="225"/>
      <c r="GJ53" s="268"/>
      <c r="GN53" s="29"/>
    </row>
    <row r="54" spans="1:196" ht="15.75" thickBot="1" x14ac:dyDescent="0.3">
      <c r="A54" s="332" t="s">
        <v>135</v>
      </c>
      <c r="B54" s="333"/>
      <c r="C54" s="38"/>
      <c r="J54" s="47"/>
      <c r="K54" s="137">
        <f>MIN(K12:K48)</f>
        <v>7</v>
      </c>
      <c r="L54" s="270"/>
      <c r="M54" s="271"/>
      <c r="N54" s="271"/>
      <c r="O54" s="271"/>
      <c r="P54" s="272"/>
      <c r="Q54" s="50"/>
      <c r="R54" s="38"/>
      <c r="T54" s="137">
        <f>MIN(T12:T48)</f>
        <v>7</v>
      </c>
      <c r="U54" s="267"/>
      <c r="V54" s="225"/>
      <c r="W54" s="303" t="s">
        <v>313</v>
      </c>
      <c r="X54" s="304">
        <f>MIN(S51, X51)</f>
        <v>6.9094480128462461</v>
      </c>
      <c r="Y54" s="225"/>
      <c r="Z54" s="225"/>
      <c r="AA54" s="268"/>
      <c r="AG54" s="127"/>
      <c r="AH54" s="127"/>
      <c r="AI54" s="127"/>
      <c r="AJ54" s="135">
        <f>MIN(AJ12:AJ46)</f>
        <v>7</v>
      </c>
      <c r="AK54" s="267"/>
      <c r="AL54" s="225"/>
      <c r="AM54" s="225"/>
      <c r="AN54" s="225"/>
      <c r="AO54" s="225"/>
      <c r="AP54" s="268"/>
      <c r="AQ54" s="38"/>
      <c r="AZ54" s="136">
        <f t="array" ref="AZ54">MIN(AZ12:AZ46)</f>
        <v>3</v>
      </c>
      <c r="BA54" s="267"/>
      <c r="BB54" s="225"/>
      <c r="BC54" s="225"/>
      <c r="BD54" s="225"/>
      <c r="BE54" s="225"/>
      <c r="BF54" s="268"/>
      <c r="BG54" s="38"/>
      <c r="BP54" s="136">
        <f>MIN(BP12:BP46)</f>
        <v>3</v>
      </c>
      <c r="BQ54" s="267"/>
      <c r="BR54" s="225"/>
      <c r="BS54" s="225"/>
      <c r="BT54" s="225"/>
      <c r="BU54" s="225"/>
      <c r="BV54" s="268"/>
      <c r="BW54" s="136"/>
      <c r="BX54" s="136"/>
      <c r="BY54" s="38"/>
      <c r="CF54" s="204">
        <f>MIN(CF12:CF46)</f>
        <v>1</v>
      </c>
      <c r="CG54" s="267"/>
      <c r="CH54" s="225"/>
      <c r="CI54" s="225"/>
      <c r="CJ54" s="225"/>
      <c r="CK54" s="225"/>
      <c r="CL54" s="268"/>
      <c r="CM54" s="38"/>
      <c r="CQ54" s="136">
        <f>MIN(CQ12:CQ46)</f>
        <v>1</v>
      </c>
      <c r="CR54" s="267"/>
      <c r="CS54" s="225"/>
      <c r="CT54" s="225"/>
      <c r="CU54" s="225"/>
      <c r="CV54" s="225"/>
      <c r="CW54" s="225"/>
      <c r="CX54" s="268"/>
      <c r="CY54" s="38"/>
      <c r="DC54" s="136">
        <f>MIN(DC12:DC46)</f>
        <v>1</v>
      </c>
      <c r="DD54" s="267"/>
      <c r="DE54" s="225"/>
      <c r="DF54" s="225"/>
      <c r="DG54" s="225"/>
      <c r="DH54" s="225"/>
      <c r="DI54" s="225"/>
      <c r="DJ54" s="268"/>
      <c r="DQ54" s="136">
        <f>MIN(DQ12:DQ46)</f>
        <v>1</v>
      </c>
      <c r="DR54" s="225"/>
      <c r="DS54" s="225"/>
      <c r="DT54" s="225"/>
      <c r="DU54" s="225"/>
      <c r="DV54" s="225"/>
      <c r="DW54" s="225"/>
      <c r="DX54" s="225"/>
      <c r="DY54" s="38"/>
      <c r="EH54" s="136" t="s">
        <v>298</v>
      </c>
      <c r="EK54" s="135" t="s">
        <v>210</v>
      </c>
      <c r="EL54" s="38"/>
      <c r="EO54" s="136"/>
      <c r="EP54" s="38"/>
      <c r="ES54" s="292"/>
      <c r="ET54" s="38"/>
      <c r="EX54" s="136">
        <f t="array" ref="EX54">COUNT(IF(($B$12:$B$46&lt;=$B$2)*($B$12:$B$46&gt;=$B$3),EW12:EW46,""))</f>
        <v>1</v>
      </c>
      <c r="EY54" s="225"/>
      <c r="EZ54" s="225"/>
      <c r="FA54" s="225"/>
      <c r="FB54" s="225"/>
      <c r="FC54" s="225"/>
      <c r="FD54" s="225"/>
      <c r="FE54" s="268"/>
      <c r="FF54" s="38"/>
      <c r="FN54" s="136">
        <f>MIN(FN12:FN46)</f>
        <v>6</v>
      </c>
      <c r="FO54" s="136">
        <v>1</v>
      </c>
      <c r="FP54" s="267"/>
      <c r="FQ54" s="225"/>
      <c r="FR54" s="225"/>
      <c r="FS54" s="225"/>
      <c r="FT54" s="225"/>
      <c r="FU54" s="268"/>
      <c r="FV54" s="136">
        <v>1</v>
      </c>
      <c r="FW54" s="38"/>
      <c r="GD54" s="136">
        <v>1</v>
      </c>
      <c r="GE54" s="267"/>
      <c r="GF54" s="225"/>
      <c r="GG54" s="225"/>
      <c r="GH54" s="225"/>
      <c r="GI54" s="225"/>
      <c r="GJ54" s="268"/>
      <c r="GN54" s="136">
        <f>MIN(GN12:GN46)</f>
        <v>7</v>
      </c>
    </row>
    <row r="55" spans="1:196" ht="15.75" thickBot="1" x14ac:dyDescent="0.3">
      <c r="A55" s="240" t="s">
        <v>282</v>
      </c>
      <c r="B55" s="241"/>
      <c r="C55" s="38"/>
      <c r="J55" s="47"/>
      <c r="K55" s="204" t="str">
        <f>IF(OR(K54=VALUE(5),K54=VALUE(7)),0&amp;K54&amp;"/WK",0&amp;K54&amp;"/07")</f>
        <v>07/WK</v>
      </c>
      <c r="L55" s="270"/>
      <c r="M55" s="271"/>
      <c r="N55" s="271"/>
      <c r="O55" s="271"/>
      <c r="P55" s="272"/>
      <c r="Q55" s="50"/>
      <c r="R55" s="38"/>
      <c r="T55" s="204" t="str">
        <f>IF(OR(T54=VALUE(5),T54=VALUE(7)),0&amp;T54&amp;"/WK",0&amp;T54&amp;"/07")</f>
        <v>07/WK</v>
      </c>
      <c r="U55" s="267"/>
      <c r="V55" s="225"/>
      <c r="W55" s="225"/>
      <c r="X55" s="225"/>
      <c r="Y55" s="225"/>
      <c r="Z55" s="225"/>
      <c r="AA55" s="268"/>
      <c r="AG55" s="127"/>
      <c r="AH55" s="127"/>
      <c r="AI55" s="127"/>
      <c r="AJ55" s="204" t="str">
        <f>IF(OR(AJ54=VALUE(5),AJ54=VALUE(7)),0&amp;AJ54&amp;"/WK",0&amp;AJ54&amp;"/07")</f>
        <v>07/WK</v>
      </c>
      <c r="AK55" s="267"/>
      <c r="AL55" s="225"/>
      <c r="AM55" s="225"/>
      <c r="AN55" s="225"/>
      <c r="AO55" s="225"/>
      <c r="AP55" s="268"/>
      <c r="AQ55" s="38"/>
      <c r="AZ55" s="204" t="str">
        <f>IF(OR(AZ54=VALUE(5),AZ54=VALUE(7)),0&amp;AZ54&amp;"/WK",0&amp;AZ54&amp;"/07")</f>
        <v>03/07</v>
      </c>
      <c r="BA55" s="267"/>
      <c r="BB55" s="225"/>
      <c r="BC55" s="225"/>
      <c r="BD55" s="225"/>
      <c r="BE55" s="225"/>
      <c r="BF55" s="268"/>
      <c r="BG55" s="38"/>
      <c r="BP55" s="204" t="str">
        <f>IF(OR(BP54=VALUE(5),BP54=VALUE(7)),0&amp;BP54&amp;"/WK",0&amp;BP54&amp;"/07")</f>
        <v>03/07</v>
      </c>
      <c r="BQ55" s="267"/>
      <c r="BR55" s="225"/>
      <c r="BS55" s="225"/>
      <c r="BT55" s="225"/>
      <c r="BU55" s="225"/>
      <c r="BV55" s="268"/>
      <c r="BW55" s="136"/>
      <c r="BX55" s="136"/>
      <c r="BY55" s="38"/>
      <c r="CF55" s="204" t="str">
        <f>IF(OR(CF54=VALUE(5),CF54=VALUE(7)),0&amp;CF54&amp;"/WK",0&amp;CF54&amp;"/07")</f>
        <v>01/07</v>
      </c>
      <c r="CG55" s="267"/>
      <c r="CH55" s="225"/>
      <c r="CI55" s="225"/>
      <c r="CJ55" s="225"/>
      <c r="CK55" s="225"/>
      <c r="CL55" s="268"/>
      <c r="CM55" s="38"/>
      <c r="CQ55" s="204" t="str">
        <f>IF(OR(CQ54=VALUE(5),CQ54=VALUE(7)),0&amp;CQ54&amp;"/WK",0&amp;CQ54&amp;"/07")</f>
        <v>01/07</v>
      </c>
      <c r="CR55" s="267"/>
      <c r="CS55" s="225"/>
      <c r="CT55" s="225"/>
      <c r="CU55" s="225"/>
      <c r="CV55" s="225"/>
      <c r="CW55" s="225"/>
      <c r="CX55" s="268"/>
      <c r="CY55" s="38"/>
      <c r="DC55" s="204" t="str">
        <f>IF(OR(DC54=VALUE(5),DC54=VALUE(7)),0&amp;DC54&amp;"/WK",0&amp;DC54&amp;"/07")</f>
        <v>01/07</v>
      </c>
      <c r="DD55" s="267"/>
      <c r="DE55" s="225"/>
      <c r="DF55" s="225"/>
      <c r="DG55" s="225"/>
      <c r="DH55" s="225"/>
      <c r="DI55" s="225"/>
      <c r="DJ55" s="268"/>
      <c r="DQ55" s="204" t="str">
        <f>IF(OR(DQ54=VALUE(5),DQ54=VALUE(7)),0&amp;DQ54&amp;"/WK",0&amp;DQ54&amp;"/07")</f>
        <v>01/07</v>
      </c>
      <c r="DR55" s="225"/>
      <c r="DS55" s="225"/>
      <c r="DT55" s="225"/>
      <c r="DU55" s="225"/>
      <c r="DV55" s="225"/>
      <c r="DW55" s="225"/>
      <c r="DX55" s="225"/>
      <c r="DY55" s="38"/>
      <c r="EH55" s="136" t="s">
        <v>298</v>
      </c>
      <c r="EK55" s="135" t="s">
        <v>210</v>
      </c>
      <c r="EL55" s="38"/>
      <c r="EO55" s="136"/>
      <c r="EP55" s="38"/>
      <c r="ES55" s="292"/>
      <c r="ET55" s="38"/>
      <c r="EX55" s="204" t="str">
        <f>IF(EX54&gt;VALUE(6),"999",0&amp;EX54&amp;"/30")</f>
        <v>01/30</v>
      </c>
      <c r="EY55" s="225"/>
      <c r="EZ55" s="225"/>
      <c r="FA55" s="225"/>
      <c r="FB55" s="225"/>
      <c r="FC55" s="225"/>
      <c r="FD55" s="225"/>
      <c r="FE55" s="268"/>
      <c r="FF55" s="38"/>
      <c r="FN55" s="204" t="str">
        <f>IF(OR(FN54=VALUE(5),FN54=VALUE(7)),0&amp;FN54&amp;"/WK",0&amp;FN54&amp;"/07")</f>
        <v>06/07</v>
      </c>
      <c r="FO55" s="204" t="str">
        <f>0&amp;FO54&amp;"/"&amp;30</f>
        <v>01/30</v>
      </c>
      <c r="FP55" s="267"/>
      <c r="FQ55" s="225"/>
      <c r="FR55" s="225"/>
      <c r="FS55" s="225"/>
      <c r="FT55" s="225"/>
      <c r="FU55" s="268"/>
      <c r="FV55" s="204" t="str">
        <f>0&amp;FV54&amp;"/"&amp;30</f>
        <v>01/30</v>
      </c>
      <c r="FW55" s="38"/>
      <c r="GD55" s="204" t="str">
        <f>IF(OR(GD54=VALUE(5),GD54=VALUE(7)),0&amp;GD54&amp;"/WK",0&amp;GD54&amp;"/07")</f>
        <v>01/07</v>
      </c>
      <c r="GE55" s="267"/>
      <c r="GF55" s="225"/>
      <c r="GG55" s="225"/>
      <c r="GH55" s="225"/>
      <c r="GI55" s="225"/>
      <c r="GJ55" s="268"/>
      <c r="GN55" s="204" t="str">
        <f>IF(OR(GN54=VALUE(5),GN54=VALUE(7)),0&amp;GN54&amp;"/WK",0&amp;GN54&amp;"/07")</f>
        <v>07/WK</v>
      </c>
    </row>
    <row r="56" spans="1:196" ht="15.75" thickBot="1" x14ac:dyDescent="0.3">
      <c r="A56" s="332" t="s">
        <v>181</v>
      </c>
      <c r="B56" s="333"/>
      <c r="C56" s="38"/>
      <c r="K56" s="136">
        <f>IF(OR(I51&lt;C8,J53&lt;D8),1, 0)</f>
        <v>0</v>
      </c>
      <c r="L56" s="267"/>
      <c r="M56" s="225"/>
      <c r="N56" s="225"/>
      <c r="O56" s="225"/>
      <c r="P56" s="268"/>
      <c r="R56" s="38"/>
      <c r="T56" s="219">
        <f>IF(OR(S51&lt;R8,S50&gt;S8),1, 0)</f>
        <v>0</v>
      </c>
      <c r="U56" s="267"/>
      <c r="V56" s="225"/>
      <c r="W56" s="225"/>
      <c r="X56" s="225"/>
      <c r="Y56" s="225"/>
      <c r="Z56" s="225"/>
      <c r="AA56" s="268"/>
      <c r="AG56" s="127"/>
      <c r="AH56" s="127"/>
      <c r="AI56" s="127"/>
      <c r="AJ56" s="218">
        <f>IF(OR(AH49&gt;AB8,AI52&gt;AC8),1,0)</f>
        <v>0</v>
      </c>
      <c r="AK56" s="267"/>
      <c r="AL56" s="225"/>
      <c r="AM56" s="225"/>
      <c r="AN56" s="225"/>
      <c r="AO56" s="225"/>
      <c r="AP56" s="268"/>
      <c r="AQ56" s="38"/>
      <c r="AZ56" s="215">
        <f>IF(OR($AY$49&gt;$AQ$8,$AY$50&gt;$AR$8),1,0)</f>
        <v>0</v>
      </c>
      <c r="BA56" s="267"/>
      <c r="BB56" s="225"/>
      <c r="BC56" s="225"/>
      <c r="BD56" s="225"/>
      <c r="BE56" s="225"/>
      <c r="BF56" s="268"/>
      <c r="BG56" s="38"/>
      <c r="BP56" s="215">
        <f>IF($BO$50&gt;$BG$8,1,0)</f>
        <v>0</v>
      </c>
      <c r="BQ56" s="267"/>
      <c r="BR56" s="225"/>
      <c r="BS56" s="225"/>
      <c r="BT56" s="225"/>
      <c r="BU56" s="225"/>
      <c r="BV56" s="268"/>
      <c r="BW56" s="136"/>
      <c r="BX56" s="136"/>
      <c r="BY56" s="38"/>
      <c r="CF56" s="217">
        <f>IF($BY$8="Report",0,0)</f>
        <v>0</v>
      </c>
      <c r="CG56" s="267"/>
      <c r="CH56" s="225"/>
      <c r="CI56" s="225"/>
      <c r="CJ56" s="225"/>
      <c r="CK56" s="225"/>
      <c r="CL56" s="268"/>
      <c r="CM56" s="38"/>
      <c r="CQ56" s="215">
        <f>IF($CM$8="Report",0,0)</f>
        <v>0</v>
      </c>
      <c r="CR56" s="267"/>
      <c r="CS56" s="225"/>
      <c r="CT56" s="225"/>
      <c r="CU56" s="225"/>
      <c r="CV56" s="225"/>
      <c r="CW56" s="225"/>
      <c r="CX56" s="268"/>
      <c r="CY56" s="38"/>
      <c r="DC56" s="136">
        <f>IF($CY$8="Report",0,0)</f>
        <v>0</v>
      </c>
      <c r="DD56" s="267"/>
      <c r="DE56" s="225"/>
      <c r="DF56" s="225"/>
      <c r="DG56" s="225"/>
      <c r="DH56" s="225"/>
      <c r="DI56" s="225"/>
      <c r="DJ56" s="268"/>
      <c r="DQ56" s="136">
        <f>IF($DK$8="Report",0,0)</f>
        <v>0</v>
      </c>
      <c r="DR56" s="225"/>
      <c r="DS56" s="225"/>
      <c r="DT56" s="225"/>
      <c r="DU56" s="225"/>
      <c r="DV56" s="225"/>
      <c r="DW56" s="225"/>
      <c r="DX56" s="225"/>
      <c r="DY56" s="38"/>
      <c r="EH56" s="136">
        <v>0</v>
      </c>
      <c r="EK56" s="136">
        <v>0</v>
      </c>
      <c r="EL56" s="38"/>
      <c r="EO56" s="136"/>
      <c r="EP56" s="38"/>
      <c r="ES56" s="293">
        <f>IF(OR(EQ49&lt;EP8,ER52&lt;EQ8),0, 1)</f>
        <v>0</v>
      </c>
      <c r="ET56" s="38"/>
      <c r="EX56" s="215">
        <f>IF(ET8="Report",0,0)</f>
        <v>0</v>
      </c>
      <c r="EY56" s="225"/>
      <c r="EZ56" s="225"/>
      <c r="FA56" s="225"/>
      <c r="FB56" s="225"/>
      <c r="FC56" s="225"/>
      <c r="FD56" s="225"/>
      <c r="FE56" s="268"/>
      <c r="FF56" s="38"/>
      <c r="FN56" s="136">
        <f>IF(OR($FL$49&gt;$FF$8,$FM$52&gt;$FG$8),1,0)</f>
        <v>0</v>
      </c>
      <c r="FO56" s="41"/>
      <c r="FP56" s="267"/>
      <c r="FQ56" s="225"/>
      <c r="FR56" s="225"/>
      <c r="FS56" s="225"/>
      <c r="FT56" s="225"/>
      <c r="FU56" s="268"/>
      <c r="FV56" s="41"/>
      <c r="FW56" s="38"/>
      <c r="GD56" s="215">
        <f>IF(FW8="Report",0,0)</f>
        <v>0</v>
      </c>
      <c r="GE56" s="267"/>
      <c r="GF56" s="225"/>
      <c r="GG56" s="225"/>
      <c r="GH56" s="225"/>
      <c r="GI56" s="225"/>
      <c r="GJ56" s="268"/>
      <c r="GN56" s="136">
        <v>0</v>
      </c>
    </row>
    <row r="57" spans="1:196" s="24" customFormat="1" ht="15.75" thickBot="1" x14ac:dyDescent="0.3">
      <c r="A57" s="332" t="s">
        <v>274</v>
      </c>
      <c r="B57" s="333"/>
      <c r="C57" s="153"/>
      <c r="D57" s="117"/>
      <c r="E57" s="117"/>
      <c r="F57" s="117"/>
      <c r="G57" s="117"/>
      <c r="H57" s="117"/>
      <c r="I57" s="117"/>
      <c r="J57" s="399"/>
      <c r="K57" s="400"/>
      <c r="L57" s="267"/>
      <c r="M57" s="225"/>
      <c r="N57" s="225"/>
      <c r="O57" s="225"/>
      <c r="P57" s="268"/>
      <c r="R57" s="153"/>
      <c r="S57" s="399"/>
      <c r="T57" s="400"/>
      <c r="U57" s="267"/>
      <c r="V57" s="225"/>
      <c r="W57" s="225"/>
      <c r="X57" s="225"/>
      <c r="Y57" s="225"/>
      <c r="Z57" s="225"/>
      <c r="AA57" s="268"/>
      <c r="AG57" s="155"/>
      <c r="AH57" s="155"/>
      <c r="AI57" s="399" t="str">
        <f>IF(AG49="&lt;",IF(MAX(AF12:AF48,AC12:AC48)&gt;AB9,"ABOVE SS",""),"")</f>
        <v/>
      </c>
      <c r="AJ57" s="400"/>
      <c r="AK57" s="267"/>
      <c r="AL57" s="225"/>
      <c r="AM57" s="225"/>
      <c r="AN57" s="225"/>
      <c r="AO57" s="225"/>
      <c r="AP57" s="268"/>
      <c r="AQ57" s="153"/>
      <c r="AR57" s="117"/>
      <c r="AS57" s="117"/>
      <c r="AT57" s="117"/>
      <c r="AU57" s="117"/>
      <c r="AV57" s="117"/>
      <c r="AW57" s="117"/>
      <c r="AX57" s="117"/>
      <c r="AY57" s="399" t="str">
        <f>IF(AW50="&lt;",IF(MAX(AV12:AV48,AR12:AR48)&gt;AQ9,"ABOVE SS",""),"")</f>
        <v/>
      </c>
      <c r="AZ57" s="400"/>
      <c r="BA57" s="263"/>
      <c r="BB57" s="227"/>
      <c r="BC57" s="227"/>
      <c r="BD57" s="227"/>
      <c r="BE57" s="227"/>
      <c r="BF57" s="269"/>
      <c r="BG57" s="153"/>
      <c r="BH57" s="117"/>
      <c r="BI57" s="117"/>
      <c r="BJ57" s="117"/>
      <c r="BK57" s="117"/>
      <c r="BL57" s="117"/>
      <c r="BM57" s="117"/>
      <c r="BN57" s="117"/>
      <c r="BO57" s="399" t="str">
        <f>IF(BM50="&lt;",IF(MAX(BL12:BL48,BH12:BH48)&gt;BG9,"ABOVE SS",""),"")</f>
        <v/>
      </c>
      <c r="BP57" s="400"/>
      <c r="BQ57" s="267"/>
      <c r="BR57" s="225"/>
      <c r="BS57" s="225"/>
      <c r="BT57" s="225"/>
      <c r="BU57" s="225"/>
      <c r="BV57" s="268"/>
      <c r="BW57" s="136"/>
      <c r="BX57" s="136"/>
      <c r="BY57" s="153"/>
      <c r="BZ57" s="117"/>
      <c r="CA57" s="117"/>
      <c r="CB57" s="117"/>
      <c r="CC57" s="117"/>
      <c r="CD57" s="117"/>
      <c r="CE57" s="399" t="str">
        <f>IF(CD49="&lt;",IF(MAX(CC12:CC48,BZ12:BZ48)&gt;BY9,"ABOVE SS",""),"")</f>
        <v/>
      </c>
      <c r="CF57" s="400"/>
      <c r="CG57" s="263"/>
      <c r="CH57" s="227"/>
      <c r="CI57" s="227"/>
      <c r="CJ57" s="227"/>
      <c r="CK57" s="227"/>
      <c r="CL57" s="269"/>
      <c r="CM57" s="153"/>
      <c r="CN57" s="117"/>
      <c r="CO57" s="399"/>
      <c r="CP57" s="401"/>
      <c r="CQ57" s="400"/>
      <c r="CR57" s="263"/>
      <c r="CS57" s="227"/>
      <c r="CT57" s="227"/>
      <c r="CU57" s="227"/>
      <c r="CV57" s="227"/>
      <c r="CW57" s="227"/>
      <c r="CX57" s="269"/>
      <c r="CY57" s="153"/>
      <c r="CZ57" s="117"/>
      <c r="DA57" s="399" t="str">
        <f>IF(CN49="&lt;",IF(MAX(CZ12:CZ48)&gt;CY9,"ABOVE SS",""),"")</f>
        <v/>
      </c>
      <c r="DB57" s="401"/>
      <c r="DC57" s="400"/>
      <c r="DD57" s="285"/>
      <c r="DE57" s="227"/>
      <c r="DF57" s="227"/>
      <c r="DG57" s="227"/>
      <c r="DH57" s="227"/>
      <c r="DI57" s="227"/>
      <c r="DJ57" s="269"/>
      <c r="DP57" s="399" t="str">
        <f>IF(DL49="&lt;",IF(MAX(DL12:DL48)&gt;DK9,"ABOVE SS",""),"")</f>
        <v/>
      </c>
      <c r="DQ57" s="400"/>
      <c r="DR57" s="225"/>
      <c r="DS57" s="225"/>
      <c r="DT57" s="225"/>
      <c r="DU57" s="225"/>
      <c r="DV57" s="225"/>
      <c r="DW57" s="225"/>
      <c r="DX57" s="225"/>
      <c r="DY57" s="153"/>
      <c r="DZ57" s="117"/>
      <c r="EA57" s="117"/>
      <c r="EB57" s="117"/>
      <c r="EC57" s="117"/>
      <c r="ED57" s="117"/>
      <c r="EE57" s="117"/>
      <c r="EF57" s="117"/>
      <c r="EG57" s="117"/>
      <c r="EH57" s="136"/>
      <c r="EK57" s="136"/>
      <c r="EL57" s="151"/>
      <c r="EO57" s="136">
        <v>9</v>
      </c>
      <c r="EP57" s="151"/>
      <c r="ER57" s="399"/>
      <c r="ES57" s="401"/>
      <c r="ET57" s="153"/>
      <c r="EU57" s="117"/>
      <c r="EV57" s="294"/>
      <c r="EW57" s="399" t="str">
        <f>IF(ES49="&lt;",IF(MAX(ES12:ES48)&gt;ER9,"ABOVE SS",""),"")</f>
        <v/>
      </c>
      <c r="EX57" s="400"/>
      <c r="EY57" s="225"/>
      <c r="EZ57" s="225"/>
      <c r="FA57" s="225"/>
      <c r="FB57" s="225"/>
      <c r="FC57" s="225"/>
      <c r="FD57" s="225"/>
      <c r="FE57" s="268"/>
      <c r="FF57" s="151"/>
      <c r="FM57" s="399"/>
      <c r="FN57" s="400"/>
      <c r="FO57" s="212"/>
      <c r="FP57" s="263"/>
      <c r="FQ57" s="227"/>
      <c r="FR57" s="227"/>
      <c r="FS57" s="227"/>
      <c r="FT57" s="227"/>
      <c r="FU57" s="269"/>
      <c r="FV57" s="212"/>
      <c r="FW57" s="151"/>
      <c r="GC57" s="399" t="str">
        <f>IF(GB49="&lt;",IF(MAX(FX12:FX48,GA12:GA48)&gt;FW9,"ABOVE PQL",""),"")</f>
        <v/>
      </c>
      <c r="GD57" s="400"/>
      <c r="GE57" s="263"/>
      <c r="GF57" s="227"/>
      <c r="GG57" s="227"/>
      <c r="GH57" s="227"/>
      <c r="GI57" s="227"/>
      <c r="GJ57" s="269"/>
      <c r="GN57" s="136"/>
    </row>
    <row r="58" spans="1:196" ht="15.75" thickBot="1" x14ac:dyDescent="0.3">
      <c r="A58" s="397" t="s">
        <v>273</v>
      </c>
      <c r="B58" s="398"/>
      <c r="C58" s="392"/>
      <c r="D58" s="393"/>
      <c r="E58" s="393"/>
      <c r="F58" s="393"/>
      <c r="G58" s="393"/>
      <c r="H58" s="393"/>
      <c r="I58" s="393"/>
      <c r="J58" s="393"/>
      <c r="K58" s="394"/>
      <c r="L58" s="273"/>
      <c r="M58" s="274"/>
      <c r="N58" s="274"/>
      <c r="O58" s="274"/>
      <c r="P58" s="275"/>
      <c r="R58" s="392"/>
      <c r="S58" s="393"/>
      <c r="T58" s="394"/>
      <c r="U58" s="273"/>
      <c r="V58" s="274"/>
      <c r="W58" s="274"/>
      <c r="X58" s="274"/>
      <c r="Y58" s="274"/>
      <c r="Z58" s="274"/>
      <c r="AA58" s="275"/>
      <c r="AB58" s="393"/>
      <c r="AC58" s="393"/>
      <c r="AD58" s="393"/>
      <c r="AE58" s="393"/>
      <c r="AF58" s="393"/>
      <c r="AG58" s="393"/>
      <c r="AH58" s="393"/>
      <c r="AI58" s="393"/>
      <c r="AJ58" s="394"/>
      <c r="AK58" s="273"/>
      <c r="AL58" s="274"/>
      <c r="AM58" s="274"/>
      <c r="AN58" s="274"/>
      <c r="AO58" s="274"/>
      <c r="AP58" s="275"/>
      <c r="AQ58" s="392"/>
      <c r="AR58" s="393"/>
      <c r="AS58" s="393"/>
      <c r="AT58" s="393"/>
      <c r="AU58" s="393"/>
      <c r="AV58" s="393"/>
      <c r="AW58" s="393"/>
      <c r="AX58" s="393"/>
      <c r="AY58" s="393"/>
      <c r="AZ58" s="394"/>
      <c r="BA58" s="273"/>
      <c r="BB58" s="274"/>
      <c r="BC58" s="274"/>
      <c r="BD58" s="274"/>
      <c r="BE58" s="274"/>
      <c r="BF58" s="275"/>
      <c r="BG58" s="392"/>
      <c r="BH58" s="393"/>
      <c r="BI58" s="393"/>
      <c r="BJ58" s="393"/>
      <c r="BK58" s="393"/>
      <c r="BL58" s="393"/>
      <c r="BM58" s="393"/>
      <c r="BN58" s="393"/>
      <c r="BO58" s="393"/>
      <c r="BP58" s="394"/>
      <c r="BQ58" s="273"/>
      <c r="BR58" s="274"/>
      <c r="BS58" s="274"/>
      <c r="BT58" s="274"/>
      <c r="BU58" s="274"/>
      <c r="BV58" s="275"/>
      <c r="BW58" s="203"/>
      <c r="BX58" s="203"/>
      <c r="BY58" s="392"/>
      <c r="BZ58" s="393"/>
      <c r="CA58" s="393"/>
      <c r="CB58" s="393"/>
      <c r="CC58" s="393"/>
      <c r="CD58" s="393"/>
      <c r="CE58" s="393"/>
      <c r="CF58" s="394"/>
      <c r="CG58" s="273"/>
      <c r="CH58" s="274"/>
      <c r="CI58" s="274"/>
      <c r="CJ58" s="274"/>
      <c r="CK58" s="274"/>
      <c r="CL58" s="275"/>
      <c r="CM58" s="392"/>
      <c r="CN58" s="393"/>
      <c r="CO58" s="393"/>
      <c r="CP58" s="393"/>
      <c r="CQ58" s="394"/>
      <c r="CR58" s="273"/>
      <c r="CS58" s="274"/>
      <c r="CT58" s="274"/>
      <c r="CU58" s="274"/>
      <c r="CV58" s="274"/>
      <c r="CW58" s="274"/>
      <c r="CX58" s="275"/>
      <c r="CY58" s="392"/>
      <c r="CZ58" s="393"/>
      <c r="DA58" s="393"/>
      <c r="DB58" s="393"/>
      <c r="DC58" s="394"/>
      <c r="DD58" s="402"/>
      <c r="DE58" s="403"/>
      <c r="DF58" s="403"/>
      <c r="DG58" s="403"/>
      <c r="DH58" s="403"/>
      <c r="DI58" s="403"/>
      <c r="DJ58" s="404"/>
      <c r="DK58" s="393"/>
      <c r="DL58" s="393"/>
      <c r="DM58" s="393"/>
      <c r="DN58" s="393"/>
      <c r="DO58" s="393"/>
      <c r="DP58" s="393"/>
      <c r="DQ58" s="394"/>
      <c r="DR58" s="273"/>
      <c r="DS58" s="274"/>
      <c r="DT58" s="274"/>
      <c r="DU58" s="274"/>
      <c r="DV58" s="274"/>
      <c r="DW58" s="274"/>
      <c r="DX58" s="275"/>
      <c r="DY58" s="392"/>
      <c r="DZ58" s="393"/>
      <c r="EA58" s="393"/>
      <c r="EB58" s="393"/>
      <c r="EC58" s="393"/>
      <c r="ED58" s="393"/>
      <c r="EE58" s="393"/>
      <c r="EF58" s="393"/>
      <c r="EG58" s="393"/>
      <c r="EH58" s="394"/>
      <c r="EI58" s="392"/>
      <c r="EJ58" s="393"/>
      <c r="EK58" s="394"/>
      <c r="EL58" s="392"/>
      <c r="EM58" s="393"/>
      <c r="EN58" s="393"/>
      <c r="EO58" s="394"/>
      <c r="EP58" s="392"/>
      <c r="EQ58" s="393"/>
      <c r="ER58" s="393"/>
      <c r="ES58" s="394"/>
      <c r="ET58" s="395"/>
      <c r="EU58" s="395"/>
      <c r="EV58" s="395"/>
      <c r="EW58" s="395"/>
      <c r="EX58" s="396"/>
      <c r="EY58" s="273"/>
      <c r="EZ58" s="274"/>
      <c r="FA58" s="274"/>
      <c r="FB58" s="274"/>
      <c r="FC58" s="274"/>
      <c r="FD58" s="274"/>
      <c r="FE58" s="275"/>
      <c r="FF58" s="392"/>
      <c r="FG58" s="393"/>
      <c r="FH58" s="393"/>
      <c r="FI58" s="393"/>
      <c r="FJ58" s="393"/>
      <c r="FK58" s="393"/>
      <c r="FL58" s="393"/>
      <c r="FM58" s="393"/>
      <c r="FN58" s="394"/>
      <c r="FO58" s="203"/>
      <c r="FP58" s="273"/>
      <c r="FQ58" s="274"/>
      <c r="FR58" s="274"/>
      <c r="FS58" s="274"/>
      <c r="FT58" s="274"/>
      <c r="FU58" s="275"/>
      <c r="FV58" s="35"/>
      <c r="FW58" s="392"/>
      <c r="FX58" s="393"/>
      <c r="FY58" s="393"/>
      <c r="FZ58" s="393"/>
      <c r="GA58" s="393"/>
      <c r="GB58" s="393"/>
      <c r="GC58" s="393"/>
      <c r="GD58" s="394"/>
      <c r="GE58" s="273"/>
      <c r="GF58" s="274"/>
      <c r="GG58" s="274"/>
      <c r="GH58" s="274"/>
      <c r="GI58" s="274"/>
      <c r="GJ58" s="275"/>
      <c r="GK58" s="392"/>
      <c r="GL58" s="393"/>
      <c r="GM58" s="393"/>
      <c r="GN58" s="394"/>
    </row>
    <row r="67" ht="17.25" customHeight="1" x14ac:dyDescent="0.25"/>
  </sheetData>
  <mergeCells count="139">
    <mergeCell ref="DD58:DJ58"/>
    <mergeCell ref="DP57:DQ57"/>
    <mergeCell ref="ER57:ES57"/>
    <mergeCell ref="FF58:FN58"/>
    <mergeCell ref="FW58:GD58"/>
    <mergeCell ref="GK58:GN58"/>
    <mergeCell ref="FM57:FN57"/>
    <mergeCell ref="GC57:GD57"/>
    <mergeCell ref="EW57:EX57"/>
    <mergeCell ref="A57:B57"/>
    <mergeCell ref="DY58:EH58"/>
    <mergeCell ref="EI58:EK58"/>
    <mergeCell ref="EL58:EO58"/>
    <mergeCell ref="EP58:ES58"/>
    <mergeCell ref="ET58:EX58"/>
    <mergeCell ref="BG58:BP58"/>
    <mergeCell ref="BY58:CF58"/>
    <mergeCell ref="CM58:CQ58"/>
    <mergeCell ref="CY58:DC58"/>
    <mergeCell ref="DK58:DQ58"/>
    <mergeCell ref="A58:B58"/>
    <mergeCell ref="C58:K58"/>
    <mergeCell ref="R58:T58"/>
    <mergeCell ref="AB58:AJ58"/>
    <mergeCell ref="AQ58:AZ58"/>
    <mergeCell ref="BO57:BP57"/>
    <mergeCell ref="CO57:CQ57"/>
    <mergeCell ref="CE57:CF57"/>
    <mergeCell ref="AY57:AZ57"/>
    <mergeCell ref="AI57:AJ57"/>
    <mergeCell ref="S57:T57"/>
    <mergeCell ref="J57:K57"/>
    <mergeCell ref="DA57:DC57"/>
    <mergeCell ref="GK7:GN7"/>
    <mergeCell ref="AB10:AD10"/>
    <mergeCell ref="AE10:AG10"/>
    <mergeCell ref="R7:T7"/>
    <mergeCell ref="U7:AA7"/>
    <mergeCell ref="CB10:CD10"/>
    <mergeCell ref="R10:T10"/>
    <mergeCell ref="F10:H10"/>
    <mergeCell ref="EP10:ER10"/>
    <mergeCell ref="ET10:EV10"/>
    <mergeCell ref="DK10:DP10"/>
    <mergeCell ref="BG7:BP7"/>
    <mergeCell ref="CY10:DA10"/>
    <mergeCell ref="CM10:CO10"/>
    <mergeCell ref="BY10:CA10"/>
    <mergeCell ref="FW10:FY10"/>
    <mergeCell ref="FF10:FH10"/>
    <mergeCell ref="FI10:FK10"/>
    <mergeCell ref="FZ10:GB10"/>
    <mergeCell ref="AQ7:AZ7"/>
    <mergeCell ref="DD7:DJ7"/>
    <mergeCell ref="C6:K6"/>
    <mergeCell ref="R6:T6"/>
    <mergeCell ref="U6:AA6"/>
    <mergeCell ref="AB6:AJ6"/>
    <mergeCell ref="AK6:AP6"/>
    <mergeCell ref="L6:Q6"/>
    <mergeCell ref="EL6:EO6"/>
    <mergeCell ref="EY6:FE6"/>
    <mergeCell ref="FF6:FN6"/>
    <mergeCell ref="CG6:CL6"/>
    <mergeCell ref="BG6:BP6"/>
    <mergeCell ref="AQ6:AZ6"/>
    <mergeCell ref="BA6:BF6"/>
    <mergeCell ref="BY6:CF6"/>
    <mergeCell ref="A9:B9"/>
    <mergeCell ref="A10:B10"/>
    <mergeCell ref="GE7:GJ7"/>
    <mergeCell ref="C10:E10"/>
    <mergeCell ref="A8:B8"/>
    <mergeCell ref="C7:K7"/>
    <mergeCell ref="L7:Q7"/>
    <mergeCell ref="AB7:AJ7"/>
    <mergeCell ref="AK7:AP7"/>
    <mergeCell ref="AU10:AW10"/>
    <mergeCell ref="BA7:BF7"/>
    <mergeCell ref="GK6:GN6"/>
    <mergeCell ref="BQ7:BV7"/>
    <mergeCell ref="BY7:CF7"/>
    <mergeCell ref="DY6:EH6"/>
    <mergeCell ref="CY7:DC7"/>
    <mergeCell ref="FP7:FU7"/>
    <mergeCell ref="FW7:GD7"/>
    <mergeCell ref="CG7:CL7"/>
    <mergeCell ref="CM7:CQ7"/>
    <mergeCell ref="EI7:EK7"/>
    <mergeCell ref="DK7:DQ7"/>
    <mergeCell ref="DR7:DX7"/>
    <mergeCell ref="DY7:EH7"/>
    <mergeCell ref="CR7:CX7"/>
    <mergeCell ref="BQ6:BV6"/>
    <mergeCell ref="EP6:ES6"/>
    <mergeCell ref="CR6:CX6"/>
    <mergeCell ref="DD6:DJ6"/>
    <mergeCell ref="DR6:DX6"/>
    <mergeCell ref="GE6:GJ6"/>
    <mergeCell ref="EI6:EK6"/>
    <mergeCell ref="DK6:DQ6"/>
    <mergeCell ref="FP6:FU6"/>
    <mergeCell ref="EL7:EO7"/>
    <mergeCell ref="GE11:GJ11"/>
    <mergeCell ref="CG11:CL11"/>
    <mergeCell ref="CR11:CX11"/>
    <mergeCell ref="DR11:DX11"/>
    <mergeCell ref="EY11:FE11"/>
    <mergeCell ref="FP11:FU11"/>
    <mergeCell ref="BQ11:BV11"/>
    <mergeCell ref="EP7:ES7"/>
    <mergeCell ref="EY7:FE7"/>
    <mergeCell ref="FF7:FN7"/>
    <mergeCell ref="FW6:GD6"/>
    <mergeCell ref="R52:T53"/>
    <mergeCell ref="CM52:CP52"/>
    <mergeCell ref="CM51:CP51"/>
    <mergeCell ref="CY51:DC51"/>
    <mergeCell ref="DY10:EA10"/>
    <mergeCell ref="EC10:EE10"/>
    <mergeCell ref="ET7:EX7"/>
    <mergeCell ref="ET6:EX6"/>
    <mergeCell ref="CY6:DC6"/>
    <mergeCell ref="CM6:CQ6"/>
    <mergeCell ref="BG10:BI10"/>
    <mergeCell ref="BK10:BM10"/>
    <mergeCell ref="AQ10:AS10"/>
    <mergeCell ref="Y50:AA51"/>
    <mergeCell ref="A56:B56"/>
    <mergeCell ref="A49:B49"/>
    <mergeCell ref="A50:B50"/>
    <mergeCell ref="A52:B52"/>
    <mergeCell ref="A51:B51"/>
    <mergeCell ref="A53:B53"/>
    <mergeCell ref="A54:B54"/>
    <mergeCell ref="AK11:AP11"/>
    <mergeCell ref="BA11:BF11"/>
    <mergeCell ref="L11:Q11"/>
    <mergeCell ref="U11:AA11"/>
  </mergeCells>
  <conditionalFormatting sqref="C11 J12:K47 T18:T47 AZ12:AZ47 AI12:AJ47 CF12:CF47 CQ12:CQ47 FM12:FN47 GD12:GD47 GN12:GN47 ER12:ES47 EI12:EJ47 B13:B47 EW12:EW48">
    <cfRule type="cellIs" dxfId="83" priority="115" operator="equal">
      <formula>"SCRATCHED"</formula>
    </cfRule>
  </conditionalFormatting>
  <conditionalFormatting sqref="F11">
    <cfRule type="cellIs" dxfId="82" priority="114" operator="equal">
      <formula>"SCRATCHED"</formula>
    </cfRule>
  </conditionalFormatting>
  <conditionalFormatting sqref="S11">
    <cfRule type="cellIs" dxfId="81" priority="113" operator="equal">
      <formula>"SCRATCHED"</formula>
    </cfRule>
  </conditionalFormatting>
  <conditionalFormatting sqref="AD11">
    <cfRule type="cellIs" dxfId="80" priority="111" operator="equal">
      <formula>"SCRATCHED"</formula>
    </cfRule>
  </conditionalFormatting>
  <conditionalFormatting sqref="AG11">
    <cfRule type="cellIs" dxfId="79" priority="110" operator="equal">
      <formula>"SCRATCHED"</formula>
    </cfRule>
  </conditionalFormatting>
  <conditionalFormatting sqref="AS11:AT11">
    <cfRule type="cellIs" dxfId="78" priority="109" operator="equal">
      <formula>"SCRATCHED"</formula>
    </cfRule>
  </conditionalFormatting>
  <conditionalFormatting sqref="AW11">
    <cfRule type="cellIs" dxfId="77" priority="103" operator="equal">
      <formula>"SCRATCHED"</formula>
    </cfRule>
  </conditionalFormatting>
  <conditionalFormatting sqref="BG11">
    <cfRule type="cellIs" dxfId="76" priority="101" operator="equal">
      <formula>"SCRATCHED"</formula>
    </cfRule>
  </conditionalFormatting>
  <conditionalFormatting sqref="BI11:BJ11">
    <cfRule type="cellIs" dxfId="75" priority="100" operator="equal">
      <formula>"SCRATCHED"</formula>
    </cfRule>
  </conditionalFormatting>
  <conditionalFormatting sqref="BK11">
    <cfRule type="cellIs" dxfId="74" priority="99" operator="equal">
      <formula>"SCRATCHED"</formula>
    </cfRule>
  </conditionalFormatting>
  <conditionalFormatting sqref="BM11">
    <cfRule type="cellIs" dxfId="73" priority="98" operator="equal">
      <formula>"SCRATCHED"</formula>
    </cfRule>
  </conditionalFormatting>
  <conditionalFormatting sqref="EW11">
    <cfRule type="cellIs" dxfId="72" priority="74" operator="equal">
      <formula>"SCRATCHED"</formula>
    </cfRule>
  </conditionalFormatting>
  <conditionalFormatting sqref="BY11">
    <cfRule type="cellIs" dxfId="71" priority="95" operator="equal">
      <formula>"SCRATCHED"</formula>
    </cfRule>
  </conditionalFormatting>
  <conditionalFormatting sqref="CA11">
    <cfRule type="cellIs" dxfId="70" priority="94" operator="equal">
      <formula>"SCRATCHED"</formula>
    </cfRule>
  </conditionalFormatting>
  <conditionalFormatting sqref="CB11">
    <cfRule type="cellIs" dxfId="69" priority="93" operator="equal">
      <formula>"SCRATCHED"</formula>
    </cfRule>
  </conditionalFormatting>
  <conditionalFormatting sqref="CD11">
    <cfRule type="cellIs" dxfId="68" priority="92" operator="equal">
      <formula>"SCRATCHED"</formula>
    </cfRule>
  </conditionalFormatting>
  <conditionalFormatting sqref="BP12:BP42">
    <cfRule type="cellIs" dxfId="67" priority="91" operator="equal">
      <formula>"SCRATCHED"</formula>
    </cfRule>
  </conditionalFormatting>
  <conditionalFormatting sqref="CM11">
    <cfRule type="cellIs" dxfId="66" priority="89" operator="equal">
      <formula>"SCRATCHED"</formula>
    </cfRule>
  </conditionalFormatting>
  <conditionalFormatting sqref="CO11:CP11">
    <cfRule type="cellIs" dxfId="65" priority="88" operator="equal">
      <formula>"SCRATCHED"</formula>
    </cfRule>
  </conditionalFormatting>
  <conditionalFormatting sqref="CY11">
    <cfRule type="cellIs" dxfId="64" priority="86" operator="equal">
      <formula>"SCRATCHED"</formula>
    </cfRule>
  </conditionalFormatting>
  <conditionalFormatting sqref="DA11">
    <cfRule type="cellIs" dxfId="63" priority="85" operator="equal">
      <formula>"SCRATCHED"</formula>
    </cfRule>
  </conditionalFormatting>
  <conditionalFormatting sqref="DC12:DC42">
    <cfRule type="cellIs" dxfId="62" priority="84" operator="equal">
      <formula>"SCRATCHED"</formula>
    </cfRule>
  </conditionalFormatting>
  <conditionalFormatting sqref="DK11">
    <cfRule type="cellIs" dxfId="61" priority="83" operator="equal">
      <formula>"SCRATCHED"</formula>
    </cfRule>
  </conditionalFormatting>
  <conditionalFormatting sqref="DM11:DN11">
    <cfRule type="cellIs" dxfId="60" priority="82" operator="equal">
      <formula>"SCRATCHED"</formula>
    </cfRule>
  </conditionalFormatting>
  <conditionalFormatting sqref="DQ12:DQ42">
    <cfRule type="cellIs" dxfId="59" priority="81" operator="equal">
      <formula>"SCRATCHED"</formula>
    </cfRule>
  </conditionalFormatting>
  <conditionalFormatting sqref="EX12:EX42">
    <cfRule type="cellIs" dxfId="58" priority="72" operator="equal">
      <formula>"SCRATCHED"</formula>
    </cfRule>
  </conditionalFormatting>
  <conditionalFormatting sqref="ET11">
    <cfRule type="cellIs" dxfId="57" priority="78" operator="equal">
      <formula>"SCRATCHED"</formula>
    </cfRule>
  </conditionalFormatting>
  <conditionalFormatting sqref="EV11">
    <cfRule type="cellIs" dxfId="56" priority="77" operator="equal">
      <formula>"SCRATCHED"</formula>
    </cfRule>
  </conditionalFormatting>
  <conditionalFormatting sqref="FK11">
    <cfRule type="cellIs" dxfId="55" priority="68" operator="equal">
      <formula>"SCRATCHED"</formula>
    </cfRule>
  </conditionalFormatting>
  <conditionalFormatting sqref="FY11">
    <cfRule type="cellIs" dxfId="54" priority="64" operator="equal">
      <formula>"SCRATCHED"</formula>
    </cfRule>
  </conditionalFormatting>
  <conditionalFormatting sqref="FF11">
    <cfRule type="cellIs" dxfId="53" priority="71" operator="equal">
      <formula>"SCRATCHED"</formula>
    </cfRule>
  </conditionalFormatting>
  <conditionalFormatting sqref="FH11">
    <cfRule type="cellIs" dxfId="52" priority="70" operator="equal">
      <formula>"SCRATCHED"</formula>
    </cfRule>
  </conditionalFormatting>
  <conditionalFormatting sqref="FI11">
    <cfRule type="cellIs" dxfId="51" priority="69" operator="equal">
      <formula>"SCRATCHED"</formula>
    </cfRule>
  </conditionalFormatting>
  <conditionalFormatting sqref="FW11">
    <cfRule type="cellIs" dxfId="50" priority="65" operator="equal">
      <formula>"SCRATCHED"</formula>
    </cfRule>
  </conditionalFormatting>
  <conditionalFormatting sqref="GB11">
    <cfRule type="cellIs" dxfId="49" priority="62" operator="equal">
      <formula>"SCRATCHED"</formula>
    </cfRule>
  </conditionalFormatting>
  <conditionalFormatting sqref="FZ11">
    <cfRule type="cellIs" dxfId="48" priority="63" operator="equal">
      <formula>"SCRATCHED"</formula>
    </cfRule>
  </conditionalFormatting>
  <conditionalFormatting sqref="GK11">
    <cfRule type="cellIs" dxfId="47" priority="60" operator="equal">
      <formula>"SCRATCHED"</formula>
    </cfRule>
  </conditionalFormatting>
  <conditionalFormatting sqref="GL11">
    <cfRule type="cellIs" dxfId="46" priority="59" operator="equal">
      <formula>"SCRATCHED"</formula>
    </cfRule>
  </conditionalFormatting>
  <conditionalFormatting sqref="L11">
    <cfRule type="cellIs" dxfId="45" priority="57" operator="equal">
      <formula>"SCRATCHED"</formula>
    </cfRule>
  </conditionalFormatting>
  <conditionalFormatting sqref="U11">
    <cfRule type="cellIs" dxfId="44" priority="56" operator="equal">
      <formula>"SCRATCHED"</formula>
    </cfRule>
  </conditionalFormatting>
  <conditionalFormatting sqref="AK11">
    <cfRule type="cellIs" dxfId="43" priority="55" operator="equal">
      <formula>"SCRATCHED"</formula>
    </cfRule>
  </conditionalFormatting>
  <conditionalFormatting sqref="CR11">
    <cfRule type="cellIs" dxfId="42" priority="54" operator="equal">
      <formula>"SCRATCHED"</formula>
    </cfRule>
  </conditionalFormatting>
  <conditionalFormatting sqref="EJ10">
    <cfRule type="cellIs" dxfId="41" priority="50" operator="equal">
      <formula>"SCRATCHED"</formula>
    </cfRule>
  </conditionalFormatting>
  <conditionalFormatting sqref="C9">
    <cfRule type="cellIs" dxfId="40" priority="48" operator="equal">
      <formula>"SCRATCHED"</formula>
    </cfRule>
  </conditionalFormatting>
  <conditionalFormatting sqref="B12">
    <cfRule type="cellIs" dxfId="39" priority="46" operator="equal">
      <formula>"SCRATCHED"</formula>
    </cfRule>
  </conditionalFormatting>
  <conditionalFormatting sqref="A58:B58">
    <cfRule type="cellIs" dxfId="38" priority="45" operator="equal">
      <formula>"SCRATCHED"</formula>
    </cfRule>
  </conditionalFormatting>
  <conditionalFormatting sqref="AX11">
    <cfRule type="cellIs" dxfId="37" priority="36" operator="equal">
      <formula>"SCRATCHED"</formula>
    </cfRule>
  </conditionalFormatting>
  <conditionalFormatting sqref="BN11">
    <cfRule type="cellIs" dxfId="36" priority="35" operator="equal">
      <formula>"SCRATCHED"</formula>
    </cfRule>
  </conditionalFormatting>
  <conditionalFormatting sqref="J57">
    <cfRule type="cellIs" dxfId="35" priority="33" operator="equal">
      <formula>"SCRATCHED"</formula>
    </cfRule>
  </conditionalFormatting>
  <conditionalFormatting sqref="DA57:DB57">
    <cfRule type="cellIs" dxfId="34" priority="32" operator="equal">
      <formula>"SCRATCHED"</formula>
    </cfRule>
  </conditionalFormatting>
  <conditionalFormatting sqref="DP57">
    <cfRule type="cellIs" dxfId="33" priority="31" operator="equal">
      <formula>"SCRATCHED"</formula>
    </cfRule>
  </conditionalFormatting>
  <conditionalFormatting sqref="ER57">
    <cfRule type="cellIs" dxfId="32" priority="30" operator="equal">
      <formula>"SCRATCHED"</formula>
    </cfRule>
  </conditionalFormatting>
  <conditionalFormatting sqref="EV57">
    <cfRule type="cellIs" dxfId="31" priority="29" operator="equal">
      <formula>"SCRATCHED"</formula>
    </cfRule>
  </conditionalFormatting>
  <conditionalFormatting sqref="FM57">
    <cfRule type="cellIs" dxfId="30" priority="28" operator="equal">
      <formula>"SCRATCHED"</formula>
    </cfRule>
  </conditionalFormatting>
  <conditionalFormatting sqref="DB11">
    <cfRule type="cellIs" dxfId="29" priority="27" operator="equal">
      <formula>"SCRATCHED"</formula>
    </cfRule>
  </conditionalFormatting>
  <conditionalFormatting sqref="BH11">
    <cfRule type="cellIs" dxfId="28" priority="26" operator="equal">
      <formula>"SCRATCHED"</formula>
    </cfRule>
  </conditionalFormatting>
  <conditionalFormatting sqref="BL11">
    <cfRule type="cellIs" dxfId="27" priority="25" operator="equal">
      <formula>"SCRATCHED"</formula>
    </cfRule>
  </conditionalFormatting>
  <conditionalFormatting sqref="BZ11">
    <cfRule type="cellIs" dxfId="26" priority="24" operator="equal">
      <formula>"SCRATCHED"</formula>
    </cfRule>
  </conditionalFormatting>
  <conditionalFormatting sqref="CC11">
    <cfRule type="cellIs" dxfId="25" priority="23" operator="equal">
      <formula>"SCRATCHED"</formula>
    </cfRule>
  </conditionalFormatting>
  <conditionalFormatting sqref="CN11">
    <cfRule type="cellIs" dxfId="24" priority="22" operator="equal">
      <formula>"SCRATCHED"</formula>
    </cfRule>
  </conditionalFormatting>
  <conditionalFormatting sqref="CZ11">
    <cfRule type="cellIs" dxfId="23" priority="21" operator="equal">
      <formula>"SCRATCHED"</formula>
    </cfRule>
  </conditionalFormatting>
  <conditionalFormatting sqref="DL11">
    <cfRule type="cellIs" dxfId="22" priority="20" operator="equal">
      <formula>"SCRATCHED"</formula>
    </cfRule>
  </conditionalFormatting>
  <conditionalFormatting sqref="EU11">
    <cfRule type="cellIs" dxfId="21" priority="19" operator="equal">
      <formula>"SCRATCHED"</formula>
    </cfRule>
  </conditionalFormatting>
  <conditionalFormatting sqref="FG11">
    <cfRule type="cellIs" dxfId="20" priority="17" operator="equal">
      <formula>"SCRATCHED"</formula>
    </cfRule>
  </conditionalFormatting>
  <conditionalFormatting sqref="FJ11">
    <cfRule type="cellIs" dxfId="19" priority="16" operator="equal">
      <formula>"SCRATCHED"</formula>
    </cfRule>
  </conditionalFormatting>
  <conditionalFormatting sqref="FX11">
    <cfRule type="cellIs" dxfId="18" priority="15" operator="equal">
      <formula>"SCRATCHED"</formula>
    </cfRule>
  </conditionalFormatting>
  <conditionalFormatting sqref="GA11">
    <cfRule type="cellIs" dxfId="17" priority="14" operator="equal">
      <formula>"SCRATCHED"</formula>
    </cfRule>
  </conditionalFormatting>
  <conditionalFormatting sqref="DY11">
    <cfRule type="cellIs" dxfId="16" priority="12" operator="equal">
      <formula>"SCRATCHED"</formula>
    </cfRule>
  </conditionalFormatting>
  <conditionalFormatting sqref="EA11">
    <cfRule type="cellIs" dxfId="15" priority="11" operator="equal">
      <formula>"SCRATCHED"</formula>
    </cfRule>
  </conditionalFormatting>
  <conditionalFormatting sqref="DZ11">
    <cfRule type="cellIs" dxfId="14" priority="10" operator="equal">
      <formula>"SCRATCHED"</formula>
    </cfRule>
  </conditionalFormatting>
  <conditionalFormatting sqref="EC11">
    <cfRule type="cellIs" dxfId="13" priority="9" operator="equal">
      <formula>"SCRATCHED"</formula>
    </cfRule>
  </conditionalFormatting>
  <conditionalFormatting sqref="EE11">
    <cfRule type="cellIs" dxfId="12" priority="8" operator="equal">
      <formula>"SCRATCHED"</formula>
    </cfRule>
  </conditionalFormatting>
  <conditionalFormatting sqref="ED11">
    <cfRule type="cellIs" dxfId="11" priority="7" operator="equal">
      <formula>"SCRATCHED"</formula>
    </cfRule>
  </conditionalFormatting>
  <conditionalFormatting sqref="EB11">
    <cfRule type="cellIs" dxfId="10" priority="6" operator="equal">
      <formula>"SCRATCHED"</formula>
    </cfRule>
  </conditionalFormatting>
  <conditionalFormatting sqref="EF11">
    <cfRule type="cellIs" dxfId="9" priority="5" operator="equal">
      <formula>"SCRATCHED"</formula>
    </cfRule>
  </conditionalFormatting>
  <conditionalFormatting sqref="EB12">
    <cfRule type="cellIs" dxfId="8" priority="3" operator="equal">
      <formula>"SCRATCHED"</formula>
    </cfRule>
  </conditionalFormatting>
  <conditionalFormatting sqref="EF12">
    <cfRule type="cellIs" dxfId="7" priority="2" operator="equal">
      <formula>"SCRATCHED"</formula>
    </cfRule>
  </conditionalFormatting>
  <conditionalFormatting sqref="EW57">
    <cfRule type="cellIs" dxfId="6" priority="1" operator="equal">
      <formula>"SCRATCHED"</formula>
    </cfRule>
  </conditionalFormatting>
  <pageMargins left="0.25" right="0.25" top="0.75" bottom="0.75" header="0.3" footer="0.3"/>
  <pageSetup scale="51" fitToWidth="0" orientation="landscape" r:id="rId1"/>
  <colBreaks count="6" manualBreakCount="6">
    <brk id="42" max="55" man="1"/>
    <brk id="76" max="55" man="1"/>
    <brk id="121" max="55" man="1"/>
    <brk id="149" max="55" man="1"/>
    <brk id="161" max="55" man="1"/>
    <brk id="178" max="55" man="1"/>
  </colBreaks>
  <ignoredErrors>
    <ignoredError sqref="R7 AB7 AQ7 BG7 BW7:BY7 CM7 CY7 DK7 DY7 EL7 EP7 ET7 FF7 FO7 FV7:FW7 GK7 R10"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G12"/>
  <sheetViews>
    <sheetView workbookViewId="0">
      <selection activeCell="E26" sqref="E26"/>
    </sheetView>
  </sheetViews>
  <sheetFormatPr defaultRowHeight="15" x14ac:dyDescent="0.25"/>
  <cols>
    <col min="1" max="1" width="9.28515625" bestFit="1" customWidth="1"/>
    <col min="2" max="2" width="16.42578125" bestFit="1" customWidth="1"/>
    <col min="3" max="3" width="16.42578125" customWidth="1"/>
    <col min="7" max="7" width="11.7109375" bestFit="1" customWidth="1"/>
  </cols>
  <sheetData>
    <row r="1" spans="1:7" ht="15.75" thickBot="1" x14ac:dyDescent="0.3">
      <c r="A1" t="s">
        <v>315</v>
      </c>
      <c r="B1" s="305" t="s">
        <v>19</v>
      </c>
      <c r="C1" s="305" t="s">
        <v>628</v>
      </c>
      <c r="D1" s="306" t="s">
        <v>316</v>
      </c>
      <c r="E1" s="305" t="s">
        <v>317</v>
      </c>
      <c r="F1" s="305" t="s">
        <v>239</v>
      </c>
      <c r="G1" s="324" t="s">
        <v>631</v>
      </c>
    </row>
    <row r="2" spans="1:7" x14ac:dyDescent="0.25">
      <c r="B2" s="325">
        <v>43712</v>
      </c>
      <c r="C2" s="326" t="s">
        <v>629</v>
      </c>
      <c r="D2" s="327">
        <v>0.53402777777777777</v>
      </c>
      <c r="E2" s="27">
        <v>6.7</v>
      </c>
      <c r="F2" s="27">
        <v>42.89</v>
      </c>
      <c r="G2" s="405">
        <f>((E2*F2)+(E3*F3))/(F2+F3)</f>
        <v>6.9757891688386913</v>
      </c>
    </row>
    <row r="3" spans="1:7" ht="15.75" thickBot="1" x14ac:dyDescent="0.3">
      <c r="B3" s="328">
        <v>43712</v>
      </c>
      <c r="C3" s="329" t="s">
        <v>630</v>
      </c>
      <c r="D3" s="330">
        <v>0.55069444444444449</v>
      </c>
      <c r="E3" s="30">
        <v>7.1</v>
      </c>
      <c r="F3" s="30">
        <v>95.23</v>
      </c>
      <c r="G3" s="406"/>
    </row>
    <row r="4" spans="1:7" x14ac:dyDescent="0.25">
      <c r="B4" s="325">
        <v>43712</v>
      </c>
      <c r="C4" s="326" t="s">
        <v>629</v>
      </c>
      <c r="D4" s="327">
        <v>0.7909722222222223</v>
      </c>
      <c r="E4" s="27">
        <v>6.99</v>
      </c>
      <c r="F4" s="27">
        <v>92.19</v>
      </c>
      <c r="G4" s="405">
        <f>((E4*F4)+(E5*F5))/(F4+F5)</f>
        <v>7.0135700410101443</v>
      </c>
    </row>
    <row r="5" spans="1:7" ht="15.75" thickBot="1" x14ac:dyDescent="0.3">
      <c r="B5" s="328">
        <v>43712</v>
      </c>
      <c r="C5" s="329" t="s">
        <v>630</v>
      </c>
      <c r="D5" s="330">
        <v>0.80069444444444438</v>
      </c>
      <c r="E5" s="30">
        <v>7.06</v>
      </c>
      <c r="F5" s="30">
        <v>46.8</v>
      </c>
      <c r="G5" s="406"/>
    </row>
    <row r="6" spans="1:7" x14ac:dyDescent="0.25">
      <c r="B6" s="325">
        <v>43713</v>
      </c>
      <c r="C6" s="326" t="s">
        <v>629</v>
      </c>
      <c r="D6" s="327">
        <v>3.2638888888888891E-2</v>
      </c>
      <c r="E6" s="27">
        <v>7.06</v>
      </c>
      <c r="F6" s="27">
        <v>100.31</v>
      </c>
      <c r="G6" s="405">
        <f>((E6*F6)+(E7*F7))/(F6+F7)</f>
        <v>7.0536476190476183</v>
      </c>
    </row>
    <row r="7" spans="1:7" ht="15.75" thickBot="1" x14ac:dyDescent="0.3">
      <c r="B7" s="328">
        <v>43713</v>
      </c>
      <c r="C7" s="329" t="s">
        <v>630</v>
      </c>
      <c r="D7" s="330">
        <v>4.7916666666666663E-2</v>
      </c>
      <c r="E7" s="30">
        <v>7.04</v>
      </c>
      <c r="F7" s="30">
        <v>46.69</v>
      </c>
      <c r="G7" s="406"/>
    </row>
    <row r="8" spans="1:7" x14ac:dyDescent="0.25">
      <c r="B8" s="325">
        <v>43713</v>
      </c>
      <c r="C8" s="326" t="s">
        <v>629</v>
      </c>
      <c r="D8" s="327">
        <v>0.29444444444444445</v>
      </c>
      <c r="E8" s="27">
        <v>6.86</v>
      </c>
      <c r="F8" s="27">
        <v>30.87</v>
      </c>
      <c r="G8" s="405">
        <f>((E8*F8)+(E9*F9))/(F8+F9)</f>
        <v>6.9094480128462461</v>
      </c>
    </row>
    <row r="9" spans="1:7" ht="15.75" thickBot="1" x14ac:dyDescent="0.3">
      <c r="B9" s="328">
        <v>43713</v>
      </c>
      <c r="C9" s="329" t="s">
        <v>630</v>
      </c>
      <c r="D9" s="330">
        <v>0.32708333333333334</v>
      </c>
      <c r="E9" s="30">
        <v>6.99</v>
      </c>
      <c r="F9" s="30">
        <v>18.95</v>
      </c>
      <c r="G9" s="406"/>
    </row>
    <row r="10" spans="1:7" ht="15.75" thickBot="1" x14ac:dyDescent="0.3"/>
    <row r="11" spans="1:7" ht="15.75" thickBot="1" x14ac:dyDescent="0.3">
      <c r="B11" s="293" t="s">
        <v>318</v>
      </c>
      <c r="C11" s="293"/>
      <c r="D11" s="307" t="s">
        <v>311</v>
      </c>
      <c r="E11" s="331">
        <f>MAX(G2:G9)</f>
        <v>7.0536476190476183</v>
      </c>
    </row>
    <row r="12" spans="1:7" ht="15.75" thickBot="1" x14ac:dyDescent="0.3">
      <c r="D12" s="307" t="s">
        <v>313</v>
      </c>
      <c r="E12" s="331">
        <f>MIN(G2:G9)</f>
        <v>6.9094480128462461</v>
      </c>
    </row>
  </sheetData>
  <sheetProtection algorithmName="SHA-512" hashValue="1z4S6H3HbX5Cq+3D9nmMMvjtA2x69zQ6+o4RMpaFcyQO8iyKKMWrf42pKES6bEDiR8bWeyeCC8DMmS62AukzxA==" saltValue="QWRswjgQpoM6GueoLjIEBA==" spinCount="100000" sheet="1" objects="1" scenarios="1"/>
  <mergeCells count="4">
    <mergeCell ref="G2:G3"/>
    <mergeCell ref="G4:G5"/>
    <mergeCell ref="G6:G7"/>
    <mergeCell ref="G8:G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
  <sheetViews>
    <sheetView workbookViewId="0"/>
  </sheetViews>
  <sheetFormatPr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FF0000"/>
  </sheetPr>
  <dimension ref="A1:FN64"/>
  <sheetViews>
    <sheetView workbookViewId="0">
      <selection activeCell="N44" sqref="N44"/>
    </sheetView>
  </sheetViews>
  <sheetFormatPr defaultRowHeight="15" x14ac:dyDescent="0.25"/>
  <cols>
    <col min="2" max="2" width="11.28515625" bestFit="1" customWidth="1"/>
    <col min="3" max="4" width="10.85546875" hidden="1" customWidth="1"/>
    <col min="5" max="5" width="0" hidden="1" customWidth="1"/>
    <col min="6" max="6" width="11.28515625" bestFit="1" customWidth="1"/>
    <col min="7" max="7" width="14.7109375" bestFit="1" customWidth="1"/>
    <col min="8" max="8" width="10.7109375" bestFit="1" customWidth="1"/>
    <col min="9" max="9" width="10.85546875" customWidth="1"/>
    <col min="10" max="10" width="14.7109375" customWidth="1"/>
    <col min="11" max="11" width="11" bestFit="1" customWidth="1"/>
    <col min="12" max="12" width="9.28515625" bestFit="1" customWidth="1"/>
    <col min="13" max="13" width="12.140625" bestFit="1" customWidth="1"/>
    <col min="14" max="16" width="9.5703125" bestFit="1" customWidth="1"/>
    <col min="17" max="17" width="9.28515625" bestFit="1" customWidth="1"/>
    <col min="18" max="18" width="8.42578125" bestFit="1" customWidth="1"/>
  </cols>
  <sheetData>
    <row r="1" spans="1:26" x14ac:dyDescent="0.25">
      <c r="A1" t="s">
        <v>3</v>
      </c>
    </row>
    <row r="2" spans="1:26" x14ac:dyDescent="0.25">
      <c r="D2" s="1"/>
      <c r="E2" s="1"/>
      <c r="F2" s="1"/>
      <c r="G2" s="1"/>
      <c r="H2" s="1"/>
      <c r="I2" s="1"/>
      <c r="J2" s="1"/>
    </row>
    <row r="3" spans="1:26" x14ac:dyDescent="0.25">
      <c r="D3" s="1"/>
      <c r="E3" s="1"/>
      <c r="I3" s="1"/>
      <c r="J3" s="1"/>
    </row>
    <row r="4" spans="1:26" x14ac:dyDescent="0.25">
      <c r="D4" s="1"/>
      <c r="E4" s="1"/>
      <c r="F4" s="407" t="s">
        <v>16</v>
      </c>
      <c r="G4" s="407"/>
      <c r="H4" s="407"/>
      <c r="I4" s="408" t="s">
        <v>17</v>
      </c>
      <c r="J4" s="408"/>
      <c r="K4" s="408"/>
    </row>
    <row r="5" spans="1:26" ht="60" x14ac:dyDescent="0.25">
      <c r="A5" t="s">
        <v>18</v>
      </c>
      <c r="B5" t="s">
        <v>19</v>
      </c>
      <c r="C5" t="s">
        <v>139</v>
      </c>
      <c r="D5" t="s">
        <v>140</v>
      </c>
      <c r="E5" t="s">
        <v>141</v>
      </c>
      <c r="F5" s="3" t="s">
        <v>253</v>
      </c>
      <c r="G5" s="3" t="s">
        <v>257</v>
      </c>
      <c r="H5" s="3" t="s">
        <v>126</v>
      </c>
      <c r="I5" s="3" t="s">
        <v>253</v>
      </c>
      <c r="J5" s="3" t="s">
        <v>257</v>
      </c>
      <c r="K5" s="3" t="s">
        <v>126</v>
      </c>
      <c r="L5" s="3" t="s">
        <v>212</v>
      </c>
      <c r="M5" s="3" t="s">
        <v>213</v>
      </c>
      <c r="N5" s="3" t="s">
        <v>216</v>
      </c>
      <c r="O5" s="3" t="s">
        <v>217</v>
      </c>
      <c r="P5" s="3" t="s">
        <v>214</v>
      </c>
      <c r="Q5" s="3" t="s">
        <v>218</v>
      </c>
      <c r="R5" s="3" t="s">
        <v>215</v>
      </c>
      <c r="S5" s="44" t="s">
        <v>211</v>
      </c>
      <c r="T5" s="44" t="s">
        <v>219</v>
      </c>
      <c r="U5" s="42"/>
      <c r="V5" s="42"/>
    </row>
    <row r="6" spans="1:26" x14ac:dyDescent="0.25">
      <c r="A6" t="str">
        <f>IF('001-C DMR'!$A12=0,"",'001-C DMR'!$A12)</f>
        <v>Sun</v>
      </c>
      <c r="B6" s="70">
        <f>IF('001-C DMR'!$B12=0,"",'001-C DMR'!$B12)</f>
        <v>43674</v>
      </c>
      <c r="C6">
        <f>IF('001-C DMR'!EI12=0,"",'001-C DMR'!EI12)</f>
        <v>54.6066</v>
      </c>
      <c r="D6">
        <f>IF('001-C DMR'!EJ12=0,"",'001-C DMR'!EJ12)</f>
        <v>71.099900000000005</v>
      </c>
      <c r="E6">
        <f>IF('001-C DMR'!EK12=0,"",'001-C DMR'!EK12)</f>
        <v>125.70650000000001</v>
      </c>
      <c r="F6" s="45">
        <f t="array" ref="F6">_xlfn.IFNA(INDEX('DMR 001C NEW'!$A$3:$O$999,MATCH($A$1&amp;$F$4&amp;$B6,('DMR 001C NEW'!$E$3:$E$1112&amp;'DMR 001C NEW'!$B$3:$B$1112&amp;'DMR 001C NEW'!$A$3:$A$1112),0),MATCH('E.Coli Calculations'!$F$5,'DMR 001C NEW'!$A$2:$O$2,0)),"")</f>
        <v>66</v>
      </c>
      <c r="G6" s="45" t="str">
        <f t="array" ref="G6">_xlfn.IFNA(INDEX('DMR 001C NEW'!$A$3:$O$999,MATCH($A$1&amp;$F$4&amp;$B6,('DMR 001C NEW'!$E$3:$E$1112&amp;'DMR 001C NEW'!$B$3:$B$1112&amp;'DMR 001C NEW'!$A$3:$A$1112),0),MATCH('E.Coli Calculations'!$G$5,'DMR 001C NEW'!$A$2:$O$2,0)),"")</f>
        <v>AE67422</v>
      </c>
      <c r="H6" s="46">
        <f t="array" ref="H6">_xlfn.IFNA(INDEX('DMR 001C NEW'!$A$3:$O$9999,MATCH($F$4&amp;$B6&amp;$H$5&amp;$G6,('DMR 001C NEW'!$B$3:$B$1112&amp;'DMR 001C NEW'!$A$3:$A$1112&amp;'DMR 001C NEW'!$E$3:$E$1112&amp;'DMR 001C NEW'!$M$3:$M$1054),0),MATCH($F$5,'DMR 001C NEW'!$A$2:$O$2,0)),"")</f>
        <v>14.34</v>
      </c>
      <c r="I6" s="45">
        <f t="array" ref="I6">_xlfn.IFNA(INDEX('DMR 001C NEW'!$A$3:$O$9999,MATCH($A$1&amp;$I$4&amp;$B6,('DMR 001C NEW'!$E$3:$E$9018&amp;'DMR 001C NEW'!$B$3:$B$9018&amp;'DMR 001C NEW'!$A$3:$A$9018),0),MATCH('E.Coli Calculations'!$F$5,'DMR 001C NEW'!$A$2:$O$2,0)),"")</f>
        <v>78</v>
      </c>
      <c r="J6" s="45" t="str">
        <f t="array" ref="J6">_xlfn.IFNA(INDEX('DMR 001C NEW'!$A$3:$O$9999,MATCH($A$1&amp;$I$4&amp;$B6,('DMR 001C NEW'!$E$3:$E$9018&amp;'DMR 001C NEW'!$B$3:$B$9018&amp;'DMR 001C NEW'!$A$3:$A$9018),0),MATCH('E.Coli Calculations'!$J$5,'DMR 001C NEW'!$A$2:$O$2,0)),"")</f>
        <v>AE67423</v>
      </c>
      <c r="K6" s="46">
        <f t="array" ref="K6">_xlfn.IFNA(INDEX('DMR 001C NEW'!$A$3:$O$9999,MATCH($I$4&amp;$B6&amp;$H$5&amp;$J6,('DMR 001C NEW'!$B$3:$B$9018&amp;'DMR 001C NEW'!$A$3:$A$9018&amp;'DMR 001C NEW'!$E$3:$E$9018&amp;'DMR 001C NEW'!$M$3:$M$8960),0),MATCH($F$5,'DMR 001C NEW'!$A$2:$O$2,0)),"")</f>
        <v>42.49</v>
      </c>
      <c r="L6" s="43">
        <f>LOG($F$6)</f>
        <v>1.8195439355418688</v>
      </c>
      <c r="M6" s="43">
        <f>LOG($I$6)</f>
        <v>1.8920946026904804</v>
      </c>
      <c r="N6" s="43">
        <f>$L$6*$H$6</f>
        <v>26.0922600356704</v>
      </c>
      <c r="O6" s="43">
        <f>$M$6*$K$6</f>
        <v>80.395099668318508</v>
      </c>
      <c r="P6" s="43">
        <f>SUM($N$6:$O$6)</f>
        <v>106.48735970398891</v>
      </c>
      <c r="Q6" s="43">
        <f>$P$6/($K$6+$H$6)</f>
        <v>1.8737877829313552</v>
      </c>
      <c r="R6" s="43">
        <f>10^($Q$6)</f>
        <v>74.780399839494123</v>
      </c>
      <c r="T6" s="43"/>
      <c r="U6" s="43"/>
      <c r="V6" s="43"/>
      <c r="W6" s="43"/>
      <c r="X6" s="43"/>
      <c r="Y6" s="43"/>
      <c r="Z6" s="43"/>
    </row>
    <row r="7" spans="1:26" x14ac:dyDescent="0.25">
      <c r="A7" t="str">
        <f>IF('001-C DMR'!$A13=0,"",'001-C DMR'!$A13)</f>
        <v>Mon</v>
      </c>
      <c r="B7" s="70">
        <f>IF('001-C DMR'!$B13=0,"",'001-C DMR'!$B13)</f>
        <v>43675</v>
      </c>
      <c r="C7">
        <f>IF('001-C DMR'!EI13=0,"",'001-C DMR'!EI13)</f>
        <v>54.201000000000001</v>
      </c>
      <c r="D7">
        <f>IF('001-C DMR'!EJ13=0,"",'001-C DMR'!EJ13)</f>
        <v>69.071700000000007</v>
      </c>
      <c r="E7">
        <f>IF('001-C DMR'!EK13=0,"",'001-C DMR'!EK13)</f>
        <v>123.27270000000001</v>
      </c>
      <c r="F7" s="45">
        <f t="array" ref="F7">_xlfn.IFNA(INDEX('DMR 001C NEW'!$A$3:$O$999,MATCH($A$1&amp;$F$4&amp;$B7,('DMR 001C NEW'!$E$3:$E$1112&amp;'DMR 001C NEW'!$B$3:$B$1112&amp;'DMR 001C NEW'!$A$3:$A$1112),0),MATCH('E.Coli Calculations'!$F$5,'DMR 001C NEW'!$A$2:$O$2,0)),"")</f>
        <v>115</v>
      </c>
      <c r="G7" s="45" t="str">
        <f t="array" ref="G7">_xlfn.IFNA(INDEX('DMR 001C NEW'!$A$3:$O$999,MATCH($A$1&amp;$F$4&amp;$B7,('DMR 001C NEW'!$E$3:$E$1112&amp;'DMR 001C NEW'!$B$3:$B$1112&amp;'DMR 001C NEW'!$A$3:$A$1112),0),MATCH('E.Coli Calculations'!$G$5,'DMR 001C NEW'!$A$2:$O$2,0)),"")</f>
        <v>AE67489</v>
      </c>
      <c r="H7" s="46">
        <f t="array" ref="H7">_xlfn.IFNA(INDEX('DMR 001C NEW'!$A$3:$O$9999,MATCH($F$4&amp;$B7&amp;$H$5&amp;$G7,('DMR 001C NEW'!$B$3:$B$1112&amp;'DMR 001C NEW'!$A$3:$A$1112&amp;'DMR 001C NEW'!$E$3:$E$1112&amp;'DMR 001C NEW'!$M$3:$M$1054),0),MATCH($F$5,'DMR 001C NEW'!$A$2:$O$2,0)),"")</f>
        <v>15.82</v>
      </c>
      <c r="I7" s="45">
        <f t="array" ref="I7">_xlfn.IFNA(INDEX('DMR 001C NEW'!$A$3:$O$9999,MATCH($A$1&amp;$I$4&amp;$B7,('DMR 001C NEW'!$E$3:$E$9018&amp;'DMR 001C NEW'!$B$3:$B$9018&amp;'DMR 001C NEW'!$A$3:$A$9018),0),MATCH('E.Coli Calculations'!$F$5,'DMR 001C NEW'!$A$2:$O$2,0)),"")</f>
        <v>81</v>
      </c>
      <c r="J7" s="45" t="str">
        <f t="array" ref="J7">_xlfn.IFNA(INDEX('DMR 001C NEW'!$A$3:$O$9999,MATCH($A$1&amp;$I$4&amp;$B7,('DMR 001C NEW'!$E$3:$E$9018&amp;'DMR 001C NEW'!$B$3:$B$9018&amp;'DMR 001C NEW'!$A$3:$A$9018),0),MATCH('E.Coli Calculations'!$J$5,'DMR 001C NEW'!$A$2:$O$2,0)),"")</f>
        <v>AE67490</v>
      </c>
      <c r="K7" s="46">
        <f t="array" ref="K7">_xlfn.IFNA(INDEX('DMR 001C NEW'!$A$3:$O$9999,MATCH($I$4&amp;$B7&amp;$H$5&amp;$J7,('DMR 001C NEW'!$B$3:$B$9018&amp;'DMR 001C NEW'!$A$3:$A$9018&amp;'DMR 001C NEW'!$E$3:$E$9018&amp;'DMR 001C NEW'!$M$3:$M$8960),0),MATCH($F$5,'DMR 001C NEW'!$A$2:$O$2,0)),"")</f>
        <v>48.32</v>
      </c>
      <c r="L7" s="43">
        <f t="shared" ref="L7:L40" si="0">LOG(F7)</f>
        <v>2.0606978403536118</v>
      </c>
      <c r="M7" s="43">
        <f t="shared" ref="M7:M40" si="1">LOG(I7)</f>
        <v>1.9084850188786497</v>
      </c>
      <c r="N7" s="43">
        <f t="shared" ref="N7:N40" si="2">L7*H7</f>
        <v>32.600239834394138</v>
      </c>
      <c r="O7" s="43">
        <f t="shared" ref="O7:O40" si="3">M7*K7</f>
        <v>92.217996112216355</v>
      </c>
      <c r="P7" s="43">
        <f t="shared" ref="P7:P12" si="4">SUM(N7:O7)</f>
        <v>124.81823594661049</v>
      </c>
      <c r="Q7" s="43">
        <f t="shared" ref="Q7:Q40" si="5">P7/(K7+H7)</f>
        <v>1.9460280004148813</v>
      </c>
      <c r="R7" s="43">
        <f t="shared" ref="R7:R40" si="6">10^(Q7)</f>
        <v>88.313683736281632</v>
      </c>
    </row>
    <row r="8" spans="1:26" x14ac:dyDescent="0.25">
      <c r="A8" t="str">
        <f>IF('001-C DMR'!$A14=0,"",'001-C DMR'!$A14)</f>
        <v>Tue</v>
      </c>
      <c r="B8" s="70">
        <f>IF('001-C DMR'!$B14=0,"",'001-C DMR'!$B14)</f>
        <v>43676</v>
      </c>
      <c r="C8">
        <f>IF('001-C DMR'!EI14=0,"",'001-C DMR'!EI14)</f>
        <v>48.517600000000002</v>
      </c>
      <c r="D8">
        <f>IF('001-C DMR'!EJ14=0,"",'001-C DMR'!EJ14)</f>
        <v>72.546800000000005</v>
      </c>
      <c r="E8">
        <f>IF('001-C DMR'!EK14=0,"",'001-C DMR'!EK14)</f>
        <v>121.06440000000001</v>
      </c>
      <c r="F8" s="45">
        <f t="array" ref="F8">_xlfn.IFNA(INDEX('DMR 001C NEW'!$A$3:$O$999,MATCH($A$1&amp;$F$4&amp;$B8,('DMR 001C NEW'!$E$3:$E$1112&amp;'DMR 001C NEW'!$B$3:$B$1112&amp;'DMR 001C NEW'!$A$3:$A$1112),0),MATCH('E.Coli Calculations'!$F$5,'DMR 001C NEW'!$A$2:$O$2,0)),"")</f>
        <v>54</v>
      </c>
      <c r="G8" s="45" t="str">
        <f t="array" ref="G8">_xlfn.IFNA(INDEX('DMR 001C NEW'!$A$3:$O$999,MATCH($A$1&amp;$F$4&amp;$B8,('DMR 001C NEW'!$E$3:$E$1112&amp;'DMR 001C NEW'!$B$3:$B$1112&amp;'DMR 001C NEW'!$A$3:$A$1112),0),MATCH('E.Coli Calculations'!$G$5,'DMR 001C NEW'!$A$2:$O$2,0)),"")</f>
        <v>AE67642</v>
      </c>
      <c r="H8" s="46">
        <f t="array" ref="H8">_xlfn.IFNA(INDEX('DMR 001C NEW'!$A$3:$O$9999,MATCH($F$4&amp;$B8&amp;$H$5&amp;$G8,('DMR 001C NEW'!$B$3:$B$1112&amp;'DMR 001C NEW'!$A$3:$A$1112&amp;'DMR 001C NEW'!$E$3:$E$1112&amp;'DMR 001C NEW'!$M$3:$M$1054),0),MATCH($F$5,'DMR 001C NEW'!$A$2:$O$2,0)),"")</f>
        <v>61.66</v>
      </c>
      <c r="I8" s="45">
        <f t="array" ref="I8">_xlfn.IFNA(INDEX('DMR 001C NEW'!$A$3:$O$9999,MATCH($A$1&amp;$I$4&amp;$B8,('DMR 001C NEW'!$E$3:$E$9018&amp;'DMR 001C NEW'!$B$3:$B$9018&amp;'DMR 001C NEW'!$A$3:$A$9018),0),MATCH('E.Coli Calculations'!$F$5,'DMR 001C NEW'!$A$2:$O$2,0)),"")</f>
        <v>62</v>
      </c>
      <c r="J8" s="45" t="str">
        <f t="array" ref="J8">_xlfn.IFNA(INDEX('DMR 001C NEW'!$A$3:$O$9999,MATCH($A$1&amp;$I$4&amp;$B8,('DMR 001C NEW'!$E$3:$E$9018&amp;'DMR 001C NEW'!$B$3:$B$9018&amp;'DMR 001C NEW'!$A$3:$A$9018),0),MATCH('E.Coli Calculations'!$J$5,'DMR 001C NEW'!$A$2:$O$2,0)),"")</f>
        <v>AE67643</v>
      </c>
      <c r="K8" s="46">
        <f t="array" ref="K8">_xlfn.IFNA(INDEX('DMR 001C NEW'!$A$3:$O$9999,MATCH($I$4&amp;$B8&amp;$H$5&amp;$J8,('DMR 001C NEW'!$B$3:$B$9018&amp;'DMR 001C NEW'!$A$3:$A$9018&amp;'DMR 001C NEW'!$E$3:$E$9018&amp;'DMR 001C NEW'!$M$3:$M$8960),0),MATCH($F$5,'DMR 001C NEW'!$A$2:$O$2,0)),"")</f>
        <v>79.91</v>
      </c>
      <c r="L8" s="43">
        <f t="shared" si="0"/>
        <v>1.7323937598229686</v>
      </c>
      <c r="M8" s="43">
        <f t="shared" si="1"/>
        <v>1.7923916894982539</v>
      </c>
      <c r="N8" s="43">
        <f t="shared" si="2"/>
        <v>106.81939923068424</v>
      </c>
      <c r="O8" s="43">
        <f t="shared" si="3"/>
        <v>143.23001990780546</v>
      </c>
      <c r="P8" s="43">
        <f t="shared" si="4"/>
        <v>250.0494191384897</v>
      </c>
      <c r="Q8" s="43">
        <f t="shared" si="5"/>
        <v>1.7662599359927225</v>
      </c>
      <c r="R8" s="43">
        <f t="shared" si="6"/>
        <v>58.379441512940438</v>
      </c>
    </row>
    <row r="9" spans="1:26" x14ac:dyDescent="0.25">
      <c r="A9" t="str">
        <f>IF('001-C DMR'!$A15=0,"",'001-C DMR'!$A15)</f>
        <v>Wed</v>
      </c>
      <c r="B9" s="70">
        <f>IF('001-C DMR'!$B15=0,"",'001-C DMR'!$B15)</f>
        <v>43677</v>
      </c>
      <c r="C9">
        <f>IF('001-C DMR'!EI15=0,"",'001-C DMR'!EI15)</f>
        <v>49.512799999999999</v>
      </c>
      <c r="D9">
        <f>IF('001-C DMR'!EJ15=0,"",'001-C DMR'!EJ15)</f>
        <v>74.994799999999998</v>
      </c>
      <c r="E9">
        <f>IF('001-C DMR'!EK15=0,"",'001-C DMR'!EK15)</f>
        <v>124.5076</v>
      </c>
      <c r="F9" s="45">
        <f t="array" ref="F9">_xlfn.IFNA(INDEX('DMR 001C NEW'!$A$3:$O$999,MATCH($A$1&amp;$F$4&amp;$B9,('DMR 001C NEW'!$E$3:$E$1112&amp;'DMR 001C NEW'!$B$3:$B$1112&amp;'DMR 001C NEW'!$A$3:$A$1112),0),MATCH('E.Coli Calculations'!$F$5,'DMR 001C NEW'!$A$2:$O$2,0)),"")</f>
        <v>123</v>
      </c>
      <c r="G9" s="45" t="str">
        <f t="array" ref="G9">_xlfn.IFNA(INDEX('DMR 001C NEW'!$A$3:$O$999,MATCH($A$1&amp;$F$4&amp;$B9,('DMR 001C NEW'!$E$3:$E$1112&amp;'DMR 001C NEW'!$B$3:$B$1112&amp;'DMR 001C NEW'!$A$3:$A$1112),0),MATCH('E.Coli Calculations'!$G$5,'DMR 001C NEW'!$A$2:$O$2,0)),"")</f>
        <v>AE67742</v>
      </c>
      <c r="H9" s="46">
        <f t="array" ref="H9">_xlfn.IFNA(INDEX('DMR 001C NEW'!$A$3:$O$9999,MATCH($F$4&amp;$B9&amp;$H$5&amp;$G9,('DMR 001C NEW'!$B$3:$B$1112&amp;'DMR 001C NEW'!$A$3:$A$1112&amp;'DMR 001C NEW'!$E$3:$E$1112&amp;'DMR 001C NEW'!$M$3:$M$1054),0),MATCH($F$5,'DMR 001C NEW'!$A$2:$O$2,0)),"")</f>
        <v>21.3</v>
      </c>
      <c r="I9" s="45">
        <f t="array" ref="I9">_xlfn.IFNA(INDEX('DMR 001C NEW'!$A$3:$O$9999,MATCH($A$1&amp;$I$4&amp;$B9,('DMR 001C NEW'!$E$3:$E$9018&amp;'DMR 001C NEW'!$B$3:$B$9018&amp;'DMR 001C NEW'!$A$3:$A$9018),0),MATCH('E.Coli Calculations'!$F$5,'DMR 001C NEW'!$A$2:$O$2,0)),"")</f>
        <v>155</v>
      </c>
      <c r="J9" s="45" t="str">
        <f t="array" ref="J9">_xlfn.IFNA(INDEX('DMR 001C NEW'!$A$3:$O$9999,MATCH($A$1&amp;$I$4&amp;$B9,('DMR 001C NEW'!$E$3:$E$9018&amp;'DMR 001C NEW'!$B$3:$B$9018&amp;'DMR 001C NEW'!$A$3:$A$9018),0),MATCH('E.Coli Calculations'!$J$5,'DMR 001C NEW'!$A$2:$O$2,0)),"")</f>
        <v>AE67743</v>
      </c>
      <c r="K9" s="46">
        <f t="array" ref="K9">_xlfn.IFNA(INDEX('DMR 001C NEW'!$A$3:$O$9999,MATCH($I$4&amp;$B9&amp;$H$5&amp;$J9,('DMR 001C NEW'!$B$3:$B$9018&amp;'DMR 001C NEW'!$A$3:$A$9018&amp;'DMR 001C NEW'!$E$3:$E$9018&amp;'DMR 001C NEW'!$M$3:$M$8960),0),MATCH($F$5,'DMR 001C NEW'!$A$2:$O$2,0)),"")</f>
        <v>35.81</v>
      </c>
      <c r="L9" s="43">
        <f t="shared" si="0"/>
        <v>2.0899051114393981</v>
      </c>
      <c r="M9" s="43">
        <f t="shared" si="1"/>
        <v>2.1903316981702914</v>
      </c>
      <c r="N9" s="43">
        <f t="shared" si="2"/>
        <v>44.514978873659182</v>
      </c>
      <c r="O9" s="43">
        <f t="shared" si="3"/>
        <v>78.435778111478143</v>
      </c>
      <c r="P9" s="43">
        <f t="shared" si="4"/>
        <v>122.95075698513733</v>
      </c>
      <c r="Q9" s="43">
        <f t="shared" si="5"/>
        <v>2.1528761510267436</v>
      </c>
      <c r="R9" s="43">
        <f t="shared" si="6"/>
        <v>142.1923235469539</v>
      </c>
    </row>
    <row r="10" spans="1:26" x14ac:dyDescent="0.25">
      <c r="A10" t="str">
        <f>IF('001-C DMR'!$A16=0,"",'001-C DMR'!$A16)</f>
        <v>Thu</v>
      </c>
      <c r="B10" s="70">
        <f>IF('001-C DMR'!$B16=0,"",'001-C DMR'!$B16)</f>
        <v>43678</v>
      </c>
      <c r="C10">
        <f>IF('001-C DMR'!EI16=0,"",'001-C DMR'!EI16)</f>
        <v>56.402900000000002</v>
      </c>
      <c r="D10">
        <f>IF('001-C DMR'!EJ16=0,"",'001-C DMR'!EJ16)</f>
        <v>72.420100000000005</v>
      </c>
      <c r="E10">
        <f>IF('001-C DMR'!EK16=0,"",'001-C DMR'!EK16)</f>
        <v>128.82300000000001</v>
      </c>
      <c r="F10" s="45">
        <f t="array" ref="F10">_xlfn.IFNA(INDEX('DMR 001C NEW'!$A$3:$O$999,MATCH($A$1&amp;$F$4&amp;$B10,('DMR 001C NEW'!$E$3:$E$1112&amp;'DMR 001C NEW'!$B$3:$B$1112&amp;'DMR 001C NEW'!$A$3:$A$1112),0),MATCH('E.Coli Calculations'!$F$5,'DMR 001C NEW'!$A$2:$O$2,0)),"")</f>
        <v>156</v>
      </c>
      <c r="G10" s="45" t="str">
        <f t="array" ref="G10">_xlfn.IFNA(INDEX('DMR 001C NEW'!$A$3:$O$999,MATCH($A$1&amp;$F$4&amp;$B10,('DMR 001C NEW'!$E$3:$E$1112&amp;'DMR 001C NEW'!$B$3:$B$1112&amp;'DMR 001C NEW'!$A$3:$A$1112),0),MATCH('E.Coli Calculations'!$G$5,'DMR 001C NEW'!$A$2:$O$2,0)),"")</f>
        <v>AE67879</v>
      </c>
      <c r="H10" s="46">
        <f t="array" ref="H10">_xlfn.IFNA(INDEX('DMR 001C NEW'!$A$3:$O$9999,MATCH($F$4&amp;$B10&amp;$H$5&amp;$G10,('DMR 001C NEW'!$B$3:$B$1112&amp;'DMR 001C NEW'!$A$3:$A$1112&amp;'DMR 001C NEW'!$E$3:$E$1112&amp;'DMR 001C NEW'!$M$3:$M$1054),0),MATCH($F$5,'DMR 001C NEW'!$A$2:$O$2,0)),"")</f>
        <v>44.29</v>
      </c>
      <c r="I10" s="45">
        <f t="array" ref="I10">_xlfn.IFNA(INDEX('DMR 001C NEW'!$A$3:$O$9999,MATCH($A$1&amp;$I$4&amp;$B10,('DMR 001C NEW'!$E$3:$E$9018&amp;'DMR 001C NEW'!$B$3:$B$9018&amp;'DMR 001C NEW'!$A$3:$A$9018),0),MATCH('E.Coli Calculations'!$F$5,'DMR 001C NEW'!$A$2:$O$2,0)),"")</f>
        <v>411</v>
      </c>
      <c r="J10" s="45" t="str">
        <f t="array" ref="J10">_xlfn.IFNA(INDEX('DMR 001C NEW'!$A$3:$O$9999,MATCH($A$1&amp;$I$4&amp;$B10,('DMR 001C NEW'!$E$3:$E$9018&amp;'DMR 001C NEW'!$B$3:$B$9018&amp;'DMR 001C NEW'!$A$3:$A$9018),0),MATCH('E.Coli Calculations'!$J$5,'DMR 001C NEW'!$A$2:$O$2,0)),"")</f>
        <v>AE67880</v>
      </c>
      <c r="K10" s="46">
        <f t="array" ref="K10">_xlfn.IFNA(INDEX('DMR 001C NEW'!$A$3:$O$9999,MATCH($I$4&amp;$B10&amp;$H$5&amp;$J10,('DMR 001C NEW'!$B$3:$B$9018&amp;'DMR 001C NEW'!$A$3:$A$9018&amp;'DMR 001C NEW'!$E$3:$E$9018&amp;'DMR 001C NEW'!$M$3:$M$8960),0),MATCH($F$5,'DMR 001C NEW'!$A$2:$O$2,0)),"")</f>
        <v>50.79</v>
      </c>
      <c r="L10" s="43">
        <f t="shared" si="0"/>
        <v>2.1931245983544616</v>
      </c>
      <c r="M10" s="43">
        <f t="shared" si="1"/>
        <v>2.6138418218760693</v>
      </c>
      <c r="N10" s="43">
        <f t="shared" si="2"/>
        <v>97.1334884611191</v>
      </c>
      <c r="O10" s="43">
        <f t="shared" si="3"/>
        <v>132.75702613308556</v>
      </c>
      <c r="P10" s="43">
        <f t="shared" si="4"/>
        <v>229.89051459420466</v>
      </c>
      <c r="Q10" s="43">
        <f t="shared" si="5"/>
        <v>2.417864057574723</v>
      </c>
      <c r="R10" s="43">
        <f t="shared" si="6"/>
        <v>261.73635954394126</v>
      </c>
    </row>
    <row r="11" spans="1:26" x14ac:dyDescent="0.25">
      <c r="A11" t="str">
        <f>IF('001-C DMR'!$A17=0,"",'001-C DMR'!$A17)</f>
        <v>Fri</v>
      </c>
      <c r="B11" s="70">
        <f>IF('001-C DMR'!$B17=0,"",'001-C DMR'!$B17)</f>
        <v>43679</v>
      </c>
      <c r="C11">
        <f>IF('001-C DMR'!EI17=0,"",'001-C DMR'!EI17)</f>
        <v>54.080399999999997</v>
      </c>
      <c r="D11">
        <f>IF('001-C DMR'!EJ17=0,"",'001-C DMR'!EJ17)</f>
        <v>71.528000000000006</v>
      </c>
      <c r="E11">
        <f>IF('001-C DMR'!EK17=0,"",'001-C DMR'!EK17)</f>
        <v>125.6084</v>
      </c>
      <c r="F11" s="45">
        <f t="array" ref="F11">_xlfn.IFNA(INDEX('DMR 001C NEW'!$A$3:$O$999,MATCH($A$1&amp;$F$4&amp;$B11,('DMR 001C NEW'!$E$3:$E$1112&amp;'DMR 001C NEW'!$B$3:$B$1112&amp;'DMR 001C NEW'!$A$3:$A$1112),0),MATCH('E.Coli Calculations'!$F$5,'DMR 001C NEW'!$A$2:$O$2,0)),"")</f>
        <v>110</v>
      </c>
      <c r="G11" s="45" t="str">
        <f t="array" ref="G11">_xlfn.IFNA(INDEX('DMR 001C NEW'!$A$3:$O$999,MATCH($A$1&amp;$F$4&amp;$B11,('DMR 001C NEW'!$E$3:$E$1112&amp;'DMR 001C NEW'!$B$3:$B$1112&amp;'DMR 001C NEW'!$A$3:$A$1112),0),MATCH('E.Coli Calculations'!$G$5,'DMR 001C NEW'!$A$2:$O$2,0)),"")</f>
        <v>AE68003</v>
      </c>
      <c r="H11" s="46">
        <f t="array" ref="H11">_xlfn.IFNA(INDEX('DMR 001C NEW'!$A$3:$O$9999,MATCH($F$4&amp;$B11&amp;$H$5&amp;$G11,('DMR 001C NEW'!$B$3:$B$1112&amp;'DMR 001C NEW'!$A$3:$A$1112&amp;'DMR 001C NEW'!$E$3:$E$1112&amp;'DMR 001C NEW'!$M$3:$M$1054),0),MATCH($F$5,'DMR 001C NEW'!$A$2:$O$2,0)),"")</f>
        <v>68.900000000000006</v>
      </c>
      <c r="I11" s="45">
        <f t="array" ref="I11">_xlfn.IFNA(INDEX('DMR 001C NEW'!$A$3:$O$9999,MATCH($A$1&amp;$I$4&amp;$B11,('DMR 001C NEW'!$E$3:$E$9018&amp;'DMR 001C NEW'!$B$3:$B$9018&amp;'DMR 001C NEW'!$A$3:$A$9018),0),MATCH('E.Coli Calculations'!$F$5,'DMR 001C NEW'!$A$2:$O$2,0)),"")</f>
        <v>162</v>
      </c>
      <c r="J11" s="45" t="str">
        <f t="array" ref="J11">_xlfn.IFNA(INDEX('DMR 001C NEW'!$A$3:$O$9999,MATCH($A$1&amp;$I$4&amp;$B11,('DMR 001C NEW'!$E$3:$E$9018&amp;'DMR 001C NEW'!$B$3:$B$9018&amp;'DMR 001C NEW'!$A$3:$A$9018),0),MATCH('E.Coli Calculations'!$J$5,'DMR 001C NEW'!$A$2:$O$2,0)),"")</f>
        <v>AE68004</v>
      </c>
      <c r="K11" s="46">
        <f t="array" ref="K11">_xlfn.IFNA(INDEX('DMR 001C NEW'!$A$3:$O$9999,MATCH($I$4&amp;$B11&amp;$H$5&amp;$J11,('DMR 001C NEW'!$B$3:$B$9018&amp;'DMR 001C NEW'!$A$3:$A$9018&amp;'DMR 001C NEW'!$E$3:$E$9018&amp;'DMR 001C NEW'!$M$3:$M$8960),0),MATCH($F$5,'DMR 001C NEW'!$A$2:$O$2,0)),"")</f>
        <v>71.36</v>
      </c>
      <c r="L11" s="43">
        <f t="shared" si="0"/>
        <v>2.0413926851582249</v>
      </c>
      <c r="M11" s="43">
        <f t="shared" si="1"/>
        <v>2.2095150145426308</v>
      </c>
      <c r="N11" s="43">
        <f t="shared" si="2"/>
        <v>140.65195600740171</v>
      </c>
      <c r="O11" s="43">
        <f t="shared" si="3"/>
        <v>157.67099143776213</v>
      </c>
      <c r="P11" s="43">
        <f t="shared" si="4"/>
        <v>298.32294744516383</v>
      </c>
      <c r="Q11" s="43">
        <f t="shared" si="5"/>
        <v>2.1269281865475822</v>
      </c>
      <c r="R11" s="43">
        <f t="shared" si="6"/>
        <v>133.94551813781268</v>
      </c>
    </row>
    <row r="12" spans="1:26" x14ac:dyDescent="0.25">
      <c r="A12" t="str">
        <f>IF('001-C DMR'!$A18=0,"",'001-C DMR'!$A18)</f>
        <v>Sat</v>
      </c>
      <c r="B12" s="70">
        <f>IF('001-C DMR'!$B18=0,"",'001-C DMR'!$B18)</f>
        <v>43680</v>
      </c>
      <c r="C12">
        <f>IF('001-C DMR'!EI18=0,"",'001-C DMR'!EI18)</f>
        <v>53.453699999999998</v>
      </c>
      <c r="D12">
        <f>IF('001-C DMR'!EJ18=0,"",'001-C DMR'!EJ18)</f>
        <v>70.555999999999997</v>
      </c>
      <c r="E12">
        <f>IF('001-C DMR'!EK18=0,"",'001-C DMR'!EK18)</f>
        <v>124.0097</v>
      </c>
      <c r="F12" s="45">
        <f t="array" ref="F12">_xlfn.IFNA(INDEX('DMR 001C NEW'!$A$3:$O$999,MATCH($A$1&amp;$F$4&amp;$B12,('DMR 001C NEW'!$E$3:$E$1112&amp;'DMR 001C NEW'!$B$3:$B$1112&amp;'DMR 001C NEW'!$A$3:$A$1112),0),MATCH('E.Coli Calculations'!$F$5,'DMR 001C NEW'!$A$2:$O$2,0)),"")</f>
        <v>57</v>
      </c>
      <c r="G12" s="45" t="str">
        <f t="array" ref="G12">_xlfn.IFNA(INDEX('DMR 001C NEW'!$A$3:$O$999,MATCH($A$1&amp;$F$4&amp;$B12,('DMR 001C NEW'!$E$3:$E$1112&amp;'DMR 001C NEW'!$B$3:$B$1112&amp;'DMR 001C NEW'!$A$3:$A$1112),0),MATCH('E.Coli Calculations'!$G$5,'DMR 001C NEW'!$A$2:$O$2,0)),"")</f>
        <v>AE68117</v>
      </c>
      <c r="H12" s="46">
        <f t="array" ref="H12">_xlfn.IFNA(INDEX('DMR 001C NEW'!$A$3:$O$9999,MATCH($F$4&amp;$B12&amp;$H$5&amp;$G12,('DMR 001C NEW'!$B$3:$B$1112&amp;'DMR 001C NEW'!$A$3:$A$1112&amp;'DMR 001C NEW'!$E$3:$E$1112&amp;'DMR 001C NEW'!$M$3:$M$1054),0),MATCH($F$5,'DMR 001C NEW'!$A$2:$O$2,0)),"")</f>
        <v>73.06</v>
      </c>
      <c r="I12" s="45">
        <f t="array" ref="I12">_xlfn.IFNA(INDEX('DMR 001C NEW'!$A$3:$O$9999,MATCH($A$1&amp;$I$4&amp;$B12,('DMR 001C NEW'!$E$3:$E$9018&amp;'DMR 001C NEW'!$B$3:$B$9018&amp;'DMR 001C NEW'!$A$3:$A$9018),0),MATCH('E.Coli Calculations'!$F$5,'DMR 001C NEW'!$A$2:$O$2,0)),"")</f>
        <v>59</v>
      </c>
      <c r="J12" s="45" t="str">
        <f t="array" ref="J12">_xlfn.IFNA(INDEX('DMR 001C NEW'!$A$3:$O$9999,MATCH($A$1&amp;$I$4&amp;$B12,('DMR 001C NEW'!$E$3:$E$9018&amp;'DMR 001C NEW'!$B$3:$B$9018&amp;'DMR 001C NEW'!$A$3:$A$9018),0),MATCH('E.Coli Calculations'!$J$5,'DMR 001C NEW'!$A$2:$O$2,0)),"")</f>
        <v>AE68118</v>
      </c>
      <c r="K12" s="46">
        <f t="array" ref="K12">_xlfn.IFNA(INDEX('DMR 001C NEW'!$A$3:$O$9999,MATCH($I$4&amp;$B12&amp;$H$5&amp;$J12,('DMR 001C NEW'!$B$3:$B$9018&amp;'DMR 001C NEW'!$A$3:$A$9018&amp;'DMR 001C NEW'!$E$3:$E$9018&amp;'DMR 001C NEW'!$M$3:$M$8960),0),MATCH($F$5,'DMR 001C NEW'!$A$2:$O$2,0)),"")</f>
        <v>73.98</v>
      </c>
      <c r="L12" s="43">
        <f t="shared" si="0"/>
        <v>1.7558748556724915</v>
      </c>
      <c r="M12" s="43">
        <f t="shared" si="1"/>
        <v>1.7708520116421442</v>
      </c>
      <c r="N12" s="43">
        <f t="shared" si="2"/>
        <v>128.28421695543224</v>
      </c>
      <c r="O12" s="43">
        <f t="shared" si="3"/>
        <v>131.00763182128583</v>
      </c>
      <c r="P12" s="43">
        <f t="shared" si="4"/>
        <v>259.2918487767181</v>
      </c>
      <c r="Q12" s="43">
        <f t="shared" si="5"/>
        <v>1.7634102881985723</v>
      </c>
      <c r="R12" s="43">
        <f t="shared" si="6"/>
        <v>57.997635497931427</v>
      </c>
      <c r="S12">
        <f>IF(A12="Sat",PRODUCT(R6:R12)^(1/7),"")</f>
        <v>101.5631923531012</v>
      </c>
    </row>
    <row r="13" spans="1:26" x14ac:dyDescent="0.25">
      <c r="A13" t="str">
        <f>IF('001-C DMR'!$A19=0,"",'001-C DMR'!$A19)</f>
        <v>Sun</v>
      </c>
      <c r="B13" s="70">
        <f>IF('001-C DMR'!$B19=0,"",'001-C DMR'!$B19)</f>
        <v>43681</v>
      </c>
      <c r="C13">
        <f>IF('001-C DMR'!EI19=0,"",'001-C DMR'!EI19)</f>
        <v>54.512</v>
      </c>
      <c r="D13">
        <f>IF('001-C DMR'!EJ19=0,"",'001-C DMR'!EJ19)</f>
        <v>72.327100000000002</v>
      </c>
      <c r="E13">
        <f>IF('001-C DMR'!EK19=0,"",'001-C DMR'!EK19)</f>
        <v>126.8391</v>
      </c>
      <c r="F13" s="45">
        <f t="array" ref="F13">_xlfn.IFNA(INDEX('DMR 001C NEW'!$A$3:$O$999,MATCH($A$1&amp;$F$4&amp;$B13,('DMR 001C NEW'!$E$3:$E$1112&amp;'DMR 001C NEW'!$B$3:$B$1112&amp;'DMR 001C NEW'!$A$3:$A$1112),0),MATCH('E.Coli Calculations'!$F$5,'DMR 001C NEW'!$A$2:$O$2,0)),"")</f>
        <v>41</v>
      </c>
      <c r="G13" s="45" t="str">
        <f t="array" ref="G13">_xlfn.IFNA(INDEX('DMR 001C NEW'!$A$3:$O$999,MATCH($A$1&amp;$F$4&amp;$B13,('DMR 001C NEW'!$E$3:$E$1112&amp;'DMR 001C NEW'!$B$3:$B$1112&amp;'DMR 001C NEW'!$A$3:$A$1112),0),MATCH('E.Coli Calculations'!$G$5,'DMR 001C NEW'!$A$2:$O$2,0)),"")</f>
        <v>AE68192</v>
      </c>
      <c r="H13" s="46">
        <f t="array" ref="H13">_xlfn.IFNA(INDEX('DMR 001C NEW'!$A$3:$O$9999,MATCH($F$4&amp;$B13&amp;$H$5&amp;$G13,('DMR 001C NEW'!$B$3:$B$1112&amp;'DMR 001C NEW'!$A$3:$A$1112&amp;'DMR 001C NEW'!$E$3:$E$1112&amp;'DMR 001C NEW'!$M$3:$M$1054),0),MATCH($F$5,'DMR 001C NEW'!$A$2:$O$2,0)),"")</f>
        <v>74.739999999999995</v>
      </c>
      <c r="I13" s="45">
        <f t="array" ref="I13">_xlfn.IFNA(INDEX('DMR 001C NEW'!$A$3:$O$9999,MATCH($A$1&amp;$I$4&amp;$B13,('DMR 001C NEW'!$E$3:$E$9018&amp;'DMR 001C NEW'!$B$3:$B$9018&amp;'DMR 001C NEW'!$A$3:$A$9018),0),MATCH('E.Coli Calculations'!$F$5,'DMR 001C NEW'!$A$2:$O$2,0)),"")</f>
        <v>53</v>
      </c>
      <c r="J13" s="45" t="str">
        <f t="array" ref="J13">_xlfn.IFNA(INDEX('DMR 001C NEW'!$A$3:$O$9999,MATCH($A$1&amp;$I$4&amp;$B13,('DMR 001C NEW'!$E$3:$E$9018&amp;'DMR 001C NEW'!$B$3:$B$9018&amp;'DMR 001C NEW'!$A$3:$A$9018),0),MATCH('E.Coli Calculations'!$J$5,'DMR 001C NEW'!$A$2:$O$2,0)),"")</f>
        <v>AE68193</v>
      </c>
      <c r="K13" s="46">
        <f t="array" ref="K13">_xlfn.IFNA(INDEX('DMR 001C NEW'!$A$3:$O$9999,MATCH($I$4&amp;$B13&amp;$H$5&amp;$J13,('DMR 001C NEW'!$B$3:$B$9018&amp;'DMR 001C NEW'!$A$3:$A$9018&amp;'DMR 001C NEW'!$E$3:$E$9018&amp;'DMR 001C NEW'!$M$3:$M$8960),0),MATCH($F$5,'DMR 001C NEW'!$A$2:$O$2,0)),"")</f>
        <v>85.52</v>
      </c>
      <c r="L13" s="43">
        <f t="shared" si="0"/>
        <v>1.6127838567197355</v>
      </c>
      <c r="M13" s="43">
        <f t="shared" si="1"/>
        <v>1.7242758696007889</v>
      </c>
      <c r="N13" s="43">
        <f t="shared" si="2"/>
        <v>120.53946545123301</v>
      </c>
      <c r="O13" s="43">
        <f t="shared" si="3"/>
        <v>147.46007236825946</v>
      </c>
      <c r="P13" s="43">
        <f t="shared" ref="P13:P40" si="7">SUM(N13:O13)</f>
        <v>267.9995378194925</v>
      </c>
      <c r="Q13" s="43">
        <f t="shared" si="5"/>
        <v>1.6722796569293181</v>
      </c>
      <c r="R13" s="43">
        <f t="shared" si="6"/>
        <v>47.019678678206851</v>
      </c>
      <c r="S13" t="str">
        <f t="shared" ref="S13:S18" si="8">IF(A13="Sat",PRODUCT(R7:R13)^(1/7),"")</f>
        <v/>
      </c>
    </row>
    <row r="14" spans="1:26" x14ac:dyDescent="0.25">
      <c r="A14" t="str">
        <f>IF('001-C DMR'!$A20=0,"",'001-C DMR'!$A20)</f>
        <v>Mon</v>
      </c>
      <c r="B14" s="70">
        <f>IF('001-C DMR'!$B20=0,"",'001-C DMR'!$B20)</f>
        <v>43682</v>
      </c>
      <c r="C14">
        <f>IF('001-C DMR'!EI20=0,"",'001-C DMR'!EI20)</f>
        <v>52.2712</v>
      </c>
      <c r="D14">
        <f>IF('001-C DMR'!EJ20=0,"",'001-C DMR'!EJ20)</f>
        <v>72.749200000000002</v>
      </c>
      <c r="E14">
        <f>IF('001-C DMR'!EK20=0,"",'001-C DMR'!EK20)</f>
        <v>125.0204</v>
      </c>
      <c r="F14" s="45">
        <f t="array" ref="F14">_xlfn.IFNA(INDEX('DMR 001C NEW'!$A$3:$O$999,MATCH($A$1&amp;$F$4&amp;$B14,('DMR 001C NEW'!$E$3:$E$1112&amp;'DMR 001C NEW'!$B$3:$B$1112&amp;'DMR 001C NEW'!$A$3:$A$1112),0),MATCH('E.Coli Calculations'!$F$5,'DMR 001C NEW'!$A$2:$O$2,0)),"")</f>
        <v>56</v>
      </c>
      <c r="G14" s="45" t="str">
        <f t="array" ref="G14">_xlfn.IFNA(INDEX('DMR 001C NEW'!$A$3:$O$999,MATCH($A$1&amp;$F$4&amp;$B14,('DMR 001C NEW'!$E$3:$E$1112&amp;'DMR 001C NEW'!$B$3:$B$1112&amp;'DMR 001C NEW'!$A$3:$A$1112),0),MATCH('E.Coli Calculations'!$G$5,'DMR 001C NEW'!$A$2:$O$2,0)),"")</f>
        <v>AE68252</v>
      </c>
      <c r="H14" s="46">
        <f t="array" ref="H14">_xlfn.IFNA(INDEX('DMR 001C NEW'!$A$3:$O$9999,MATCH($F$4&amp;$B14&amp;$H$5&amp;$G14,('DMR 001C NEW'!$B$3:$B$1112&amp;'DMR 001C NEW'!$A$3:$A$1112&amp;'DMR 001C NEW'!$E$3:$E$1112&amp;'DMR 001C NEW'!$M$3:$M$1054),0),MATCH($F$5,'DMR 001C NEW'!$A$2:$O$2,0)),"")</f>
        <v>56.29</v>
      </c>
      <c r="I14" s="45">
        <f t="array" ref="I14">_xlfn.IFNA(INDEX('DMR 001C NEW'!$A$3:$O$9999,MATCH($A$1&amp;$I$4&amp;$B14,('DMR 001C NEW'!$E$3:$E$9018&amp;'DMR 001C NEW'!$B$3:$B$9018&amp;'DMR 001C NEW'!$A$3:$A$9018),0),MATCH('E.Coli Calculations'!$F$5,'DMR 001C NEW'!$A$2:$O$2,0)),"")</f>
        <v>60</v>
      </c>
      <c r="J14" s="45" t="str">
        <f t="array" ref="J14">_xlfn.IFNA(INDEX('DMR 001C NEW'!$A$3:$O$9999,MATCH($A$1&amp;$I$4&amp;$B14,('DMR 001C NEW'!$E$3:$E$9018&amp;'DMR 001C NEW'!$B$3:$B$9018&amp;'DMR 001C NEW'!$A$3:$A$9018),0),MATCH('E.Coli Calculations'!$J$5,'DMR 001C NEW'!$A$2:$O$2,0)),"")</f>
        <v>AE68253</v>
      </c>
      <c r="K14" s="46">
        <f t="array" ref="K14">_xlfn.IFNA(INDEX('DMR 001C NEW'!$A$3:$O$9999,MATCH($I$4&amp;$B14&amp;$H$5&amp;$J14,('DMR 001C NEW'!$B$3:$B$9018&amp;'DMR 001C NEW'!$A$3:$A$9018&amp;'DMR 001C NEW'!$E$3:$E$9018&amp;'DMR 001C NEW'!$M$3:$M$8960),0),MATCH($F$5,'DMR 001C NEW'!$A$2:$O$2,0)),"")</f>
        <v>63.95</v>
      </c>
      <c r="L14" s="43">
        <f t="shared" si="0"/>
        <v>1.7481880270062005</v>
      </c>
      <c r="M14" s="43">
        <f t="shared" si="1"/>
        <v>1.7781512503836436</v>
      </c>
      <c r="N14" s="43">
        <f t="shared" si="2"/>
        <v>98.405504040179025</v>
      </c>
      <c r="O14" s="43">
        <f t="shared" si="3"/>
        <v>113.71277246203401</v>
      </c>
      <c r="P14" s="43">
        <f t="shared" si="7"/>
        <v>212.11827650221304</v>
      </c>
      <c r="Q14" s="43">
        <f t="shared" si="5"/>
        <v>1.7641240560729625</v>
      </c>
      <c r="R14" s="43">
        <f t="shared" si="6"/>
        <v>58.093033637841877</v>
      </c>
      <c r="S14" t="str">
        <f t="shared" si="8"/>
        <v/>
      </c>
    </row>
    <row r="15" spans="1:26" x14ac:dyDescent="0.25">
      <c r="A15" t="str">
        <f>IF('001-C DMR'!$A21=0,"",'001-C DMR'!$A21)</f>
        <v>Tue</v>
      </c>
      <c r="B15" s="70">
        <f>IF('001-C DMR'!$B21=0,"",'001-C DMR'!$B21)</f>
        <v>43683</v>
      </c>
      <c r="C15">
        <f>IF('001-C DMR'!EI21=0,"",'001-C DMR'!EI21)</f>
        <v>53.790799999999997</v>
      </c>
      <c r="D15">
        <f>IF('001-C DMR'!EJ21=0,"",'001-C DMR'!EJ21)</f>
        <v>70.638599999999997</v>
      </c>
      <c r="E15">
        <f>IF('001-C DMR'!EK21=0,"",'001-C DMR'!EK21)</f>
        <v>124.42939999999999</v>
      </c>
      <c r="F15" s="45">
        <f t="array" ref="F15">_xlfn.IFNA(INDEX('DMR 001C NEW'!$A$3:$O$999,MATCH($A$1&amp;$F$4&amp;$B15,('DMR 001C NEW'!$E$3:$E$1112&amp;'DMR 001C NEW'!$B$3:$B$1112&amp;'DMR 001C NEW'!$A$3:$A$1112),0),MATCH('E.Coli Calculations'!$F$5,'DMR 001C NEW'!$A$2:$O$2,0)),"")</f>
        <v>114</v>
      </c>
      <c r="G15" s="45" t="str">
        <f t="array" ref="G15">_xlfn.IFNA(INDEX('DMR 001C NEW'!$A$3:$O$999,MATCH($A$1&amp;$F$4&amp;$B15,('DMR 001C NEW'!$E$3:$E$1112&amp;'DMR 001C NEW'!$B$3:$B$1112&amp;'DMR 001C NEW'!$A$3:$A$1112),0),MATCH('E.Coli Calculations'!$G$5,'DMR 001C NEW'!$A$2:$O$2,0)),"")</f>
        <v>AE68363</v>
      </c>
      <c r="H15" s="46">
        <f t="array" ref="H15">_xlfn.IFNA(INDEX('DMR 001C NEW'!$A$3:$O$9999,MATCH($F$4&amp;$B15&amp;$H$5&amp;$G15,('DMR 001C NEW'!$B$3:$B$1112&amp;'DMR 001C NEW'!$A$3:$A$1112&amp;'DMR 001C NEW'!$E$3:$E$1112&amp;'DMR 001C NEW'!$M$3:$M$1054),0),MATCH($F$5,'DMR 001C NEW'!$A$2:$O$2,0)),"")</f>
        <v>37.380000000000003</v>
      </c>
      <c r="I15" s="45">
        <f t="array" ref="I15">_xlfn.IFNA(INDEX('DMR 001C NEW'!$A$3:$O$9999,MATCH($A$1&amp;$I$4&amp;$B15,('DMR 001C NEW'!$E$3:$E$9018&amp;'DMR 001C NEW'!$B$3:$B$9018&amp;'DMR 001C NEW'!$A$3:$A$9018),0),MATCH('E.Coli Calculations'!$F$5,'DMR 001C NEW'!$A$2:$O$2,0)),"")</f>
        <v>78</v>
      </c>
      <c r="J15" s="45" t="str">
        <f t="array" ref="J15">_xlfn.IFNA(INDEX('DMR 001C NEW'!$A$3:$O$9999,MATCH($A$1&amp;$I$4&amp;$B15,('DMR 001C NEW'!$E$3:$E$9018&amp;'DMR 001C NEW'!$B$3:$B$9018&amp;'DMR 001C NEW'!$A$3:$A$9018),0),MATCH('E.Coli Calculations'!$J$5,'DMR 001C NEW'!$A$2:$O$2,0)),"")</f>
        <v>AE68364</v>
      </c>
      <c r="K15" s="46">
        <f t="array" ref="K15">_xlfn.IFNA(INDEX('DMR 001C NEW'!$A$3:$O$9999,MATCH($I$4&amp;$B15&amp;$H$5&amp;$J15,('DMR 001C NEW'!$B$3:$B$9018&amp;'DMR 001C NEW'!$A$3:$A$9018&amp;'DMR 001C NEW'!$E$3:$E$9018&amp;'DMR 001C NEW'!$M$3:$M$8960),0),MATCH($F$5,'DMR 001C NEW'!$A$2:$O$2,0)),"")</f>
        <v>45.65</v>
      </c>
      <c r="L15" s="43">
        <f t="shared" si="0"/>
        <v>2.0569048513364727</v>
      </c>
      <c r="M15" s="43">
        <f t="shared" si="1"/>
        <v>1.8920946026904804</v>
      </c>
      <c r="N15" s="43">
        <f t="shared" si="2"/>
        <v>76.88710334295736</v>
      </c>
      <c r="O15" s="43">
        <f t="shared" si="3"/>
        <v>86.374118612820425</v>
      </c>
      <c r="P15" s="43">
        <f t="shared" si="7"/>
        <v>163.26122195577778</v>
      </c>
      <c r="Q15" s="43">
        <f t="shared" si="5"/>
        <v>1.9662919662263976</v>
      </c>
      <c r="R15" s="43">
        <f t="shared" si="6"/>
        <v>92.532003633549564</v>
      </c>
      <c r="S15" t="str">
        <f t="shared" si="8"/>
        <v/>
      </c>
    </row>
    <row r="16" spans="1:26" x14ac:dyDescent="0.25">
      <c r="A16" t="str">
        <f>IF('001-C DMR'!$A22=0,"",'001-C DMR'!$A22)</f>
        <v>Wed</v>
      </c>
      <c r="B16" s="70">
        <f>IF('001-C DMR'!$B22=0,"",'001-C DMR'!$B22)</f>
        <v>43684</v>
      </c>
      <c r="C16">
        <f>IF('001-C DMR'!EI22=0,"",'001-C DMR'!EI22)</f>
        <v>58.594700000000003</v>
      </c>
      <c r="D16">
        <f>IF('001-C DMR'!EJ22=0,"",'001-C DMR'!EJ22)</f>
        <v>64.610699999999994</v>
      </c>
      <c r="E16">
        <f>IF('001-C DMR'!EK22=0,"",'001-C DMR'!EK22)</f>
        <v>123.2054</v>
      </c>
      <c r="F16" s="45">
        <f t="array" ref="F16">_xlfn.IFNA(INDEX('DMR 001C NEW'!$A$3:$O$999,MATCH($A$1&amp;$F$4&amp;$B16,('DMR 001C NEW'!$E$3:$E$1112&amp;'DMR 001C NEW'!$B$3:$B$1112&amp;'DMR 001C NEW'!$A$3:$A$1112),0),MATCH('E.Coli Calculations'!$F$5,'DMR 001C NEW'!$A$2:$O$2,0)),"")</f>
        <v>102</v>
      </c>
      <c r="G16" s="45" t="str">
        <f t="array" ref="G16">_xlfn.IFNA(INDEX('DMR 001C NEW'!$A$3:$O$999,MATCH($A$1&amp;$F$4&amp;$B16,('DMR 001C NEW'!$E$3:$E$1112&amp;'DMR 001C NEW'!$B$3:$B$1112&amp;'DMR 001C NEW'!$A$3:$A$1112),0),MATCH('E.Coli Calculations'!$G$5,'DMR 001C NEW'!$A$2:$O$2,0)),"")</f>
        <v>AE68515</v>
      </c>
      <c r="H16" s="46">
        <f t="array" ref="H16">_xlfn.IFNA(INDEX('DMR 001C NEW'!$A$3:$O$9999,MATCH($F$4&amp;$B16&amp;$H$5&amp;$G16,('DMR 001C NEW'!$B$3:$B$1112&amp;'DMR 001C NEW'!$A$3:$A$1112&amp;'DMR 001C NEW'!$E$3:$E$1112&amp;'DMR 001C NEW'!$M$3:$M$1054),0),MATCH($F$5,'DMR 001C NEW'!$A$2:$O$2,0)),"")</f>
        <v>78.33</v>
      </c>
      <c r="I16" s="45">
        <f t="array" ref="I16">_xlfn.IFNA(INDEX('DMR 001C NEW'!$A$3:$O$9999,MATCH($A$1&amp;$I$4&amp;$B16,('DMR 001C NEW'!$E$3:$E$9018&amp;'DMR 001C NEW'!$B$3:$B$9018&amp;'DMR 001C NEW'!$A$3:$A$9018),0),MATCH('E.Coli Calculations'!$F$5,'DMR 001C NEW'!$A$2:$O$2,0)),"")</f>
        <v>46</v>
      </c>
      <c r="J16" s="45" t="str">
        <f t="array" ref="J16">_xlfn.IFNA(INDEX('DMR 001C NEW'!$A$3:$O$9999,MATCH($A$1&amp;$I$4&amp;$B16,('DMR 001C NEW'!$E$3:$E$9018&amp;'DMR 001C NEW'!$B$3:$B$9018&amp;'DMR 001C NEW'!$A$3:$A$9018),0),MATCH('E.Coli Calculations'!$J$5,'DMR 001C NEW'!$A$2:$O$2,0)),"")</f>
        <v>AE68516</v>
      </c>
      <c r="K16" s="46">
        <f t="array" ref="K16">_xlfn.IFNA(INDEX('DMR 001C NEW'!$A$3:$O$9999,MATCH($I$4&amp;$B16&amp;$H$5&amp;$J16,('DMR 001C NEW'!$B$3:$B$9018&amp;'DMR 001C NEW'!$A$3:$A$9018&amp;'DMR 001C NEW'!$E$3:$E$9018&amp;'DMR 001C NEW'!$M$3:$M$8960),0),MATCH($F$5,'DMR 001C NEW'!$A$2:$O$2,0)),"")</f>
        <v>56.64</v>
      </c>
      <c r="L16" s="43">
        <f t="shared" si="0"/>
        <v>2.0086001717619175</v>
      </c>
      <c r="M16" s="43">
        <f t="shared" si="1"/>
        <v>1.6627578316815741</v>
      </c>
      <c r="N16" s="43">
        <f t="shared" si="2"/>
        <v>157.33365145411099</v>
      </c>
      <c r="O16" s="43">
        <f t="shared" si="3"/>
        <v>94.178603586444353</v>
      </c>
      <c r="P16" s="43">
        <f t="shared" si="7"/>
        <v>251.51225504055535</v>
      </c>
      <c r="Q16" s="43">
        <f t="shared" si="5"/>
        <v>1.8634678450067077</v>
      </c>
      <c r="R16" s="43">
        <f t="shared" si="6"/>
        <v>73.024374391106363</v>
      </c>
      <c r="S16" t="str">
        <f t="shared" si="8"/>
        <v/>
      </c>
    </row>
    <row r="17" spans="1:19" x14ac:dyDescent="0.25">
      <c r="A17" t="str">
        <f>IF('001-C DMR'!$A23=0,"",'001-C DMR'!$A23)</f>
        <v>Thu</v>
      </c>
      <c r="B17" s="70">
        <f>IF('001-C DMR'!$B23=0,"",'001-C DMR'!$B23)</f>
        <v>43685</v>
      </c>
      <c r="C17">
        <f>IF('001-C DMR'!EI23=0,"",'001-C DMR'!EI23)</f>
        <v>53.7104</v>
      </c>
      <c r="D17">
        <f>IF('001-C DMR'!EJ23=0,"",'001-C DMR'!EJ23)</f>
        <v>70.550399999999996</v>
      </c>
      <c r="E17">
        <f>IF('001-C DMR'!EK23=0,"",'001-C DMR'!EK23)</f>
        <v>124.26079999999999</v>
      </c>
      <c r="F17" s="45">
        <f t="array" ref="F17">_xlfn.IFNA(INDEX('DMR 001C NEW'!$A$3:$O$999,MATCH($A$1&amp;$F$4&amp;$B17,('DMR 001C NEW'!$E$3:$E$1112&amp;'DMR 001C NEW'!$B$3:$B$1112&amp;'DMR 001C NEW'!$A$3:$A$1112),0),MATCH('E.Coli Calculations'!$F$5,'DMR 001C NEW'!$A$2:$O$2,0)),"")</f>
        <v>219</v>
      </c>
      <c r="G17" s="45" t="str">
        <f t="array" ref="G17">_xlfn.IFNA(INDEX('DMR 001C NEW'!$A$3:$O$999,MATCH($A$1&amp;$F$4&amp;$B17,('DMR 001C NEW'!$E$3:$E$1112&amp;'DMR 001C NEW'!$B$3:$B$1112&amp;'DMR 001C NEW'!$A$3:$A$1112),0),MATCH('E.Coli Calculations'!$G$5,'DMR 001C NEW'!$A$2:$O$2,0)),"")</f>
        <v>AE68654</v>
      </c>
      <c r="H17" s="46">
        <f t="array" ref="H17">_xlfn.IFNA(INDEX('DMR 001C NEW'!$A$3:$O$9999,MATCH($F$4&amp;$B17&amp;$H$5&amp;$G17,('DMR 001C NEW'!$B$3:$B$1112&amp;'DMR 001C NEW'!$A$3:$A$1112&amp;'DMR 001C NEW'!$E$3:$E$1112&amp;'DMR 001C NEW'!$M$3:$M$1054),0),MATCH($F$5,'DMR 001C NEW'!$A$2:$O$2,0)),"")</f>
        <v>77.790000000000006</v>
      </c>
      <c r="I17" s="45">
        <f t="array" ref="I17">_xlfn.IFNA(INDEX('DMR 001C NEW'!$A$3:$O$9999,MATCH($A$1&amp;$I$4&amp;$B17,('DMR 001C NEW'!$E$3:$E$9018&amp;'DMR 001C NEW'!$B$3:$B$9018&amp;'DMR 001C NEW'!$A$3:$A$9018),0),MATCH('E.Coli Calculations'!$F$5,'DMR 001C NEW'!$A$2:$O$2,0)),"")</f>
        <v>361</v>
      </c>
      <c r="J17" s="45" t="str">
        <f t="array" ref="J17">_xlfn.IFNA(INDEX('DMR 001C NEW'!$A$3:$O$9999,MATCH($A$1&amp;$I$4&amp;$B17,('DMR 001C NEW'!$E$3:$E$9018&amp;'DMR 001C NEW'!$B$3:$B$9018&amp;'DMR 001C NEW'!$A$3:$A$9018),0),MATCH('E.Coli Calculations'!$J$5,'DMR 001C NEW'!$A$2:$O$2,0)),"")</f>
        <v>AE68655</v>
      </c>
      <c r="K17" s="46">
        <f t="array" ref="K17">_xlfn.IFNA(INDEX('DMR 001C NEW'!$A$3:$O$9999,MATCH($I$4&amp;$B17&amp;$H$5&amp;$J17,('DMR 001C NEW'!$B$3:$B$9018&amp;'DMR 001C NEW'!$A$3:$A$9018&amp;'DMR 001C NEW'!$E$3:$E$9018&amp;'DMR 001C NEW'!$M$3:$M$8960),0),MATCH($F$5,'DMR 001C NEW'!$A$2:$O$2,0)),"")</f>
        <v>87.58</v>
      </c>
      <c r="L17" s="43">
        <f t="shared" si="0"/>
        <v>2.3404441148401185</v>
      </c>
      <c r="M17" s="43">
        <f t="shared" si="1"/>
        <v>2.5575072019056577</v>
      </c>
      <c r="N17" s="43">
        <f t="shared" si="2"/>
        <v>182.06314769341284</v>
      </c>
      <c r="O17" s="43">
        <f t="shared" si="3"/>
        <v>223.9864807428975</v>
      </c>
      <c r="P17" s="43">
        <f t="shared" si="7"/>
        <v>406.04962843631034</v>
      </c>
      <c r="Q17" s="43">
        <f t="shared" si="5"/>
        <v>2.4554007887543712</v>
      </c>
      <c r="R17" s="43">
        <f t="shared" si="6"/>
        <v>285.36505447263465</v>
      </c>
      <c r="S17" t="str">
        <f t="shared" si="8"/>
        <v/>
      </c>
    </row>
    <row r="18" spans="1:19" x14ac:dyDescent="0.25">
      <c r="A18" t="str">
        <f>IF('001-C DMR'!$A24=0,"",'001-C DMR'!$A24)</f>
        <v>Fri</v>
      </c>
      <c r="B18" s="70">
        <f>IF('001-C DMR'!$B24=0,"",'001-C DMR'!$B24)</f>
        <v>43686</v>
      </c>
      <c r="C18">
        <f>IF('001-C DMR'!EI24=0,"",'001-C DMR'!EI24)</f>
        <v>55.0336</v>
      </c>
      <c r="D18">
        <f>IF('001-C DMR'!EJ24=0,"",'001-C DMR'!EJ24)</f>
        <v>71.215900000000005</v>
      </c>
      <c r="E18">
        <f>IF('001-C DMR'!EK24=0,"",'001-C DMR'!EK24)</f>
        <v>126.24950000000001</v>
      </c>
      <c r="F18" s="45">
        <f t="array" ref="F18">_xlfn.IFNA(INDEX('DMR 001C NEW'!$A$3:$O$999,MATCH($A$1&amp;$F$4&amp;$B18,('DMR 001C NEW'!$E$3:$E$1112&amp;'DMR 001C NEW'!$B$3:$B$1112&amp;'DMR 001C NEW'!$A$3:$A$1112),0),MATCH('E.Coli Calculations'!$F$5,'DMR 001C NEW'!$A$2:$O$2,0)),"")</f>
        <v>172</v>
      </c>
      <c r="G18" s="45" t="str">
        <f t="array" ref="G18">_xlfn.IFNA(INDEX('DMR 001C NEW'!$A$3:$O$999,MATCH($A$1&amp;$F$4&amp;$B18,('DMR 001C NEW'!$E$3:$E$1112&amp;'DMR 001C NEW'!$B$3:$B$1112&amp;'DMR 001C NEW'!$A$3:$A$1112),0),MATCH('E.Coli Calculations'!$G$5,'DMR 001C NEW'!$A$2:$O$2,0)),"")</f>
        <v>AE68811</v>
      </c>
      <c r="H18" s="46">
        <f t="array" ref="H18">_xlfn.IFNA(INDEX('DMR 001C NEW'!$A$3:$O$9999,MATCH($F$4&amp;$B18&amp;$H$5&amp;$G18,('DMR 001C NEW'!$B$3:$B$1112&amp;'DMR 001C NEW'!$A$3:$A$1112&amp;'DMR 001C NEW'!$E$3:$E$1112&amp;'DMR 001C NEW'!$M$3:$M$1054),0),MATCH($F$5,'DMR 001C NEW'!$A$2:$O$2,0)),"")</f>
        <v>74.540000000000006</v>
      </c>
      <c r="I18" s="45">
        <f t="array" ref="I18">_xlfn.IFNA(INDEX('DMR 001C NEW'!$A$3:$O$9999,MATCH($A$1&amp;$I$4&amp;$B18,('DMR 001C NEW'!$E$3:$E$9018&amp;'DMR 001C NEW'!$B$3:$B$9018&amp;'DMR 001C NEW'!$A$3:$A$9018),0),MATCH('E.Coli Calculations'!$F$5,'DMR 001C NEW'!$A$2:$O$2,0)),"")</f>
        <v>345</v>
      </c>
      <c r="J18" s="45" t="str">
        <f t="array" ref="J18">_xlfn.IFNA(INDEX('DMR 001C NEW'!$A$3:$O$9999,MATCH($A$1&amp;$I$4&amp;$B18,('DMR 001C NEW'!$E$3:$E$9018&amp;'DMR 001C NEW'!$B$3:$B$9018&amp;'DMR 001C NEW'!$A$3:$A$9018),0),MATCH('E.Coli Calculations'!$J$5,'DMR 001C NEW'!$A$2:$O$2,0)),"")</f>
        <v>AE68812</v>
      </c>
      <c r="K18" s="46">
        <f t="array" ref="K18">_xlfn.IFNA(INDEX('DMR 001C NEW'!$A$3:$O$9999,MATCH($I$4&amp;$B18&amp;$H$5&amp;$J18,('DMR 001C NEW'!$B$3:$B$9018&amp;'DMR 001C NEW'!$A$3:$A$9018&amp;'DMR 001C NEW'!$E$3:$E$9018&amp;'DMR 001C NEW'!$M$3:$M$8960),0),MATCH($F$5,'DMR 001C NEW'!$A$2:$O$2,0)),"")</f>
        <v>87.98</v>
      </c>
      <c r="L18" s="43">
        <f t="shared" si="0"/>
        <v>2.2355284469075487</v>
      </c>
      <c r="M18" s="43">
        <f t="shared" si="1"/>
        <v>2.537819095073274</v>
      </c>
      <c r="N18" s="43">
        <f t="shared" si="2"/>
        <v>166.63629043248869</v>
      </c>
      <c r="O18" s="43">
        <f t="shared" si="3"/>
        <v>223.27732398454665</v>
      </c>
      <c r="P18" s="43">
        <f t="shared" si="7"/>
        <v>389.91361441703532</v>
      </c>
      <c r="Q18" s="43">
        <f t="shared" si="5"/>
        <v>2.3991731135677781</v>
      </c>
      <c r="R18" s="43">
        <f t="shared" si="6"/>
        <v>250.71084091579942</v>
      </c>
      <c r="S18" t="str">
        <f t="shared" si="8"/>
        <v/>
      </c>
    </row>
    <row r="19" spans="1:19" x14ac:dyDescent="0.25">
      <c r="A19" t="str">
        <f>IF('001-C DMR'!$A25=0,"",'001-C DMR'!$A25)</f>
        <v>Sat</v>
      </c>
      <c r="B19" s="70">
        <f>IF('001-C DMR'!$B25=0,"",'001-C DMR'!$B25)</f>
        <v>43687</v>
      </c>
      <c r="C19">
        <f>IF('001-C DMR'!EI25=0,"",'001-C DMR'!EI25)</f>
        <v>51.062100000000001</v>
      </c>
      <c r="D19">
        <f>IF('001-C DMR'!EJ25=0,"",'001-C DMR'!EJ25)</f>
        <v>70.581500000000005</v>
      </c>
      <c r="E19">
        <f>IF('001-C DMR'!EK25=0,"",'001-C DMR'!EK25)</f>
        <v>121.64360000000001</v>
      </c>
      <c r="F19" s="45">
        <f t="array" ref="F19">_xlfn.IFNA(INDEX('DMR 001C NEW'!$A$3:$O$999,MATCH($A$1&amp;$F$4&amp;$B19,('DMR 001C NEW'!$E$3:$E$1112&amp;'DMR 001C NEW'!$B$3:$B$1112&amp;'DMR 001C NEW'!$A$3:$A$1112),0),MATCH('E.Coli Calculations'!$F$5,'DMR 001C NEW'!$A$2:$O$2,0)),"")</f>
        <v>162</v>
      </c>
      <c r="G19" s="45" t="str">
        <f t="array" ref="G19">_xlfn.IFNA(INDEX('DMR 001C NEW'!$A$3:$O$999,MATCH($A$1&amp;$F$4&amp;$B19,('DMR 001C NEW'!$E$3:$E$1112&amp;'DMR 001C NEW'!$B$3:$B$1112&amp;'DMR 001C NEW'!$A$3:$A$1112),0),MATCH('E.Coli Calculations'!$G$5,'DMR 001C NEW'!$A$2:$O$2,0)),"")</f>
        <v>AE68886</v>
      </c>
      <c r="H19" s="46">
        <f t="array" ref="H19">_xlfn.IFNA(INDEX('DMR 001C NEW'!$A$3:$O$9999,MATCH($F$4&amp;$B19&amp;$H$5&amp;$G19,('DMR 001C NEW'!$B$3:$B$1112&amp;'DMR 001C NEW'!$A$3:$A$1112&amp;'DMR 001C NEW'!$E$3:$E$1112&amp;'DMR 001C NEW'!$M$3:$M$1054),0),MATCH($F$5,'DMR 001C NEW'!$A$2:$O$2,0)),"")</f>
        <v>61.66</v>
      </c>
      <c r="I19" s="45">
        <f t="array" ref="I19">_xlfn.IFNA(INDEX('DMR 001C NEW'!$A$3:$O$9999,MATCH($A$1&amp;$I$4&amp;$B19,('DMR 001C NEW'!$E$3:$E$9018&amp;'DMR 001C NEW'!$B$3:$B$9018&amp;'DMR 001C NEW'!$A$3:$A$9018),0),MATCH('E.Coli Calculations'!$F$5,'DMR 001C NEW'!$A$2:$O$2,0)),"")</f>
        <v>195</v>
      </c>
      <c r="J19" s="45" t="str">
        <f t="array" ref="J19">_xlfn.IFNA(INDEX('DMR 001C NEW'!$A$3:$O$9999,MATCH($A$1&amp;$I$4&amp;$B19,('DMR 001C NEW'!$E$3:$E$9018&amp;'DMR 001C NEW'!$B$3:$B$9018&amp;'DMR 001C NEW'!$A$3:$A$9018),0),MATCH('E.Coli Calculations'!$J$5,'DMR 001C NEW'!$A$2:$O$2,0)),"")</f>
        <v>AE68887</v>
      </c>
      <c r="K19" s="46">
        <f t="array" ref="K19">_xlfn.IFNA(INDEX('DMR 001C NEW'!$A$3:$O$9999,MATCH($I$4&amp;$B19&amp;$H$5&amp;$J19,('DMR 001C NEW'!$B$3:$B$9018&amp;'DMR 001C NEW'!$A$3:$A$9018&amp;'DMR 001C NEW'!$E$3:$E$9018&amp;'DMR 001C NEW'!$M$3:$M$8960),0),MATCH($F$5,'DMR 001C NEW'!$A$2:$O$2,0)),"")</f>
        <v>80.81</v>
      </c>
      <c r="L19" s="43">
        <f t="shared" si="0"/>
        <v>2.2095150145426308</v>
      </c>
      <c r="M19" s="43">
        <f t="shared" si="1"/>
        <v>2.2900346113625178</v>
      </c>
      <c r="N19" s="43">
        <f t="shared" si="2"/>
        <v>136.23869579669861</v>
      </c>
      <c r="O19" s="43">
        <f t="shared" si="3"/>
        <v>185.05769694420508</v>
      </c>
      <c r="P19" s="43">
        <f t="shared" si="7"/>
        <v>321.29639274090368</v>
      </c>
      <c r="Q19" s="43">
        <f t="shared" si="5"/>
        <v>2.2551863040703566</v>
      </c>
      <c r="R19" s="43">
        <f t="shared" si="6"/>
        <v>179.9642762070151</v>
      </c>
      <c r="S19">
        <f t="shared" ref="S19:S34" si="9">IF(A19="Sat",PRODUCT(R13:R19)^(1/7),"")</f>
        <v>113.16272323026172</v>
      </c>
    </row>
    <row r="20" spans="1:19" x14ac:dyDescent="0.25">
      <c r="A20" t="str">
        <f>IF('001-C DMR'!$A26=0,"",'001-C DMR'!$A26)</f>
        <v>Sun</v>
      </c>
      <c r="B20" s="70">
        <f>IF('001-C DMR'!$B26=0,"",'001-C DMR'!$B26)</f>
        <v>43688</v>
      </c>
      <c r="C20">
        <f>IF('001-C DMR'!EI26=0,"",'001-C DMR'!EI26)</f>
        <v>52.520299999999999</v>
      </c>
      <c r="D20">
        <f>IF('001-C DMR'!EJ26=0,"",'001-C DMR'!EJ26)</f>
        <v>82.240700000000004</v>
      </c>
      <c r="E20">
        <f>IF('001-C DMR'!EK26=0,"",'001-C DMR'!EK26)</f>
        <v>134.761</v>
      </c>
      <c r="F20" s="45">
        <f t="array" ref="F20">_xlfn.IFNA(INDEX('DMR 001C NEW'!$A$3:$O$999,MATCH($A$1&amp;$F$4&amp;$B20,('DMR 001C NEW'!$E$3:$E$1112&amp;'DMR 001C NEW'!$B$3:$B$1112&amp;'DMR 001C NEW'!$A$3:$A$1112),0),MATCH('E.Coli Calculations'!$F$5,'DMR 001C NEW'!$A$2:$O$2,0)),"")</f>
        <v>147</v>
      </c>
      <c r="G20" s="45" t="str">
        <f t="array" ref="G20">_xlfn.IFNA(INDEX('DMR 001C NEW'!$A$3:$O$999,MATCH($A$1&amp;$F$4&amp;$B20,('DMR 001C NEW'!$E$3:$E$1112&amp;'DMR 001C NEW'!$B$3:$B$1112&amp;'DMR 001C NEW'!$A$3:$A$1112),0),MATCH('E.Coli Calculations'!$G$5,'DMR 001C NEW'!$A$2:$O$2,0)),"")</f>
        <v>AE68947</v>
      </c>
      <c r="H20" s="46">
        <f t="array" ref="H20">_xlfn.IFNA(INDEX('DMR 001C NEW'!$A$3:$O$9999,MATCH($F$4&amp;$B20&amp;$H$5&amp;$G20,('DMR 001C NEW'!$B$3:$B$1112&amp;'DMR 001C NEW'!$A$3:$A$1112&amp;'DMR 001C NEW'!$E$3:$E$1112&amp;'DMR 001C NEW'!$M$3:$M$1054),0),MATCH($F$5,'DMR 001C NEW'!$A$2:$O$2,0)),"")</f>
        <v>45.33</v>
      </c>
      <c r="I20" s="45">
        <f t="array" ref="I20">_xlfn.IFNA(INDEX('DMR 001C NEW'!$A$3:$O$9999,MATCH($A$1&amp;$I$4&amp;$B20,('DMR 001C NEW'!$E$3:$E$9018&amp;'DMR 001C NEW'!$B$3:$B$9018&amp;'DMR 001C NEW'!$A$3:$A$9018),0),MATCH('E.Coli Calculations'!$F$5,'DMR 001C NEW'!$A$2:$O$2,0)),"")</f>
        <v>73</v>
      </c>
      <c r="J20" s="45" t="str">
        <f t="array" ref="J20">_xlfn.IFNA(INDEX('DMR 001C NEW'!$A$3:$O$9999,MATCH($A$1&amp;$I$4&amp;$B20,('DMR 001C NEW'!$E$3:$E$9018&amp;'DMR 001C NEW'!$B$3:$B$9018&amp;'DMR 001C NEW'!$A$3:$A$9018),0),MATCH('E.Coli Calculations'!$J$5,'DMR 001C NEW'!$A$2:$O$2,0)),"")</f>
        <v>AE68948</v>
      </c>
      <c r="K20" s="46">
        <f t="array" ref="K20">_xlfn.IFNA(INDEX('DMR 001C NEW'!$A$3:$O$9999,MATCH($I$4&amp;$B20&amp;$H$5&amp;$J20,('DMR 001C NEW'!$B$3:$B$9018&amp;'DMR 001C NEW'!$A$3:$A$9018&amp;'DMR 001C NEW'!$E$3:$E$9018&amp;'DMR 001C NEW'!$M$3:$M$8960),0),MATCH($F$5,'DMR 001C NEW'!$A$2:$O$2,0)),"")</f>
        <v>94.66</v>
      </c>
      <c r="L20" s="43">
        <f t="shared" si="0"/>
        <v>2.167317334748176</v>
      </c>
      <c r="M20" s="43">
        <f t="shared" si="1"/>
        <v>1.8633228601204559</v>
      </c>
      <c r="N20" s="43">
        <f t="shared" si="2"/>
        <v>98.244494784134815</v>
      </c>
      <c r="O20" s="43">
        <f t="shared" si="3"/>
        <v>176.38214193900234</v>
      </c>
      <c r="P20" s="43">
        <f t="shared" si="7"/>
        <v>274.62663672313715</v>
      </c>
      <c r="Q20" s="43">
        <f t="shared" si="5"/>
        <v>1.9617589593766493</v>
      </c>
      <c r="R20" s="43">
        <f t="shared" si="6"/>
        <v>91.571211368179391</v>
      </c>
      <c r="S20" t="str">
        <f t="shared" si="9"/>
        <v/>
      </c>
    </row>
    <row r="21" spans="1:19" x14ac:dyDescent="0.25">
      <c r="A21" t="str">
        <f>IF('001-C DMR'!$A27=0,"",'001-C DMR'!$A27)</f>
        <v>Mon</v>
      </c>
      <c r="B21" s="70">
        <f>IF('001-C DMR'!$B27=0,"",'001-C DMR'!$B27)</f>
        <v>43689</v>
      </c>
      <c r="C21">
        <f>IF('001-C DMR'!EI27=0,"",'001-C DMR'!EI27)</f>
        <v>53.8855</v>
      </c>
      <c r="D21">
        <f>IF('001-C DMR'!EJ27=0,"",'001-C DMR'!EJ27)</f>
        <v>78.660200000000003</v>
      </c>
      <c r="E21">
        <f>IF('001-C DMR'!EK27=0,"",'001-C DMR'!EK27)</f>
        <v>132.54570000000001</v>
      </c>
      <c r="F21" s="45">
        <f t="array" ref="F21">_xlfn.IFNA(INDEX('DMR 001C NEW'!$A$3:$O$999,MATCH($A$1&amp;$F$4&amp;$B21,('DMR 001C NEW'!$E$3:$E$1112&amp;'DMR 001C NEW'!$B$3:$B$1112&amp;'DMR 001C NEW'!$A$3:$A$1112),0),MATCH('E.Coli Calculations'!$F$5,'DMR 001C NEW'!$A$2:$O$2,0)),"")</f>
        <v>276</v>
      </c>
      <c r="G21" s="45" t="str">
        <f t="array" ref="G21">_xlfn.IFNA(INDEX('DMR 001C NEW'!$A$3:$O$999,MATCH($A$1&amp;$F$4&amp;$B21,('DMR 001C NEW'!$E$3:$E$1112&amp;'DMR 001C NEW'!$B$3:$B$1112&amp;'DMR 001C NEW'!$A$3:$A$1112),0),MATCH('E.Coli Calculations'!$G$5,'DMR 001C NEW'!$A$2:$O$2,0)),"")</f>
        <v>AE69019</v>
      </c>
      <c r="H21" s="46">
        <f t="array" ref="H21">_xlfn.IFNA(INDEX('DMR 001C NEW'!$A$3:$O$9999,MATCH($F$4&amp;$B21&amp;$H$5&amp;$G21,('DMR 001C NEW'!$B$3:$B$1112&amp;'DMR 001C NEW'!$A$3:$A$1112&amp;'DMR 001C NEW'!$E$3:$E$1112&amp;'DMR 001C NEW'!$M$3:$M$1054),0),MATCH($F$5,'DMR 001C NEW'!$A$2:$O$2,0)),"")</f>
        <v>74.459999999999994</v>
      </c>
      <c r="I21" s="45">
        <f t="array" ref="I21">_xlfn.IFNA(INDEX('DMR 001C NEW'!$A$3:$O$9999,MATCH($A$1&amp;$I$4&amp;$B21,('DMR 001C NEW'!$E$3:$E$9018&amp;'DMR 001C NEW'!$B$3:$B$9018&amp;'DMR 001C NEW'!$A$3:$A$9018),0),MATCH('E.Coli Calculations'!$F$5,'DMR 001C NEW'!$A$2:$O$2,0)),"")</f>
        <v>86</v>
      </c>
      <c r="J21" s="45" t="str">
        <f t="array" ref="J21">_xlfn.IFNA(INDEX('DMR 001C NEW'!$A$3:$O$9999,MATCH($A$1&amp;$I$4&amp;$B21,('DMR 001C NEW'!$E$3:$E$9018&amp;'DMR 001C NEW'!$B$3:$B$9018&amp;'DMR 001C NEW'!$A$3:$A$9018),0),MATCH('E.Coli Calculations'!$J$5,'DMR 001C NEW'!$A$2:$O$2,0)),"")</f>
        <v>AE69020</v>
      </c>
      <c r="K21" s="46">
        <f t="array" ref="K21">_xlfn.IFNA(INDEX('DMR 001C NEW'!$A$3:$O$9999,MATCH($I$4&amp;$B21&amp;$H$5&amp;$J21,('DMR 001C NEW'!$B$3:$B$9018&amp;'DMR 001C NEW'!$A$3:$A$9018&amp;'DMR 001C NEW'!$E$3:$E$9018&amp;'DMR 001C NEW'!$M$3:$M$8960),0),MATCH($F$5,'DMR 001C NEW'!$A$2:$O$2,0)),"")</f>
        <v>77.45</v>
      </c>
      <c r="L21" s="43">
        <f t="shared" si="0"/>
        <v>2.4409090820652177</v>
      </c>
      <c r="M21" s="43">
        <f t="shared" si="1"/>
        <v>1.9344984512435677</v>
      </c>
      <c r="N21" s="43">
        <f t="shared" si="2"/>
        <v>181.75009025057611</v>
      </c>
      <c r="O21" s="43">
        <f t="shared" si="3"/>
        <v>149.82690504881433</v>
      </c>
      <c r="P21" s="43">
        <f t="shared" si="7"/>
        <v>331.57699529939043</v>
      </c>
      <c r="Q21" s="43">
        <f t="shared" si="5"/>
        <v>2.182720000654272</v>
      </c>
      <c r="R21" s="43">
        <f t="shared" si="6"/>
        <v>152.30704796518484</v>
      </c>
      <c r="S21" t="str">
        <f t="shared" si="9"/>
        <v/>
      </c>
    </row>
    <row r="22" spans="1:19" x14ac:dyDescent="0.25">
      <c r="A22" t="str">
        <f>IF('001-C DMR'!$A28=0,"",'001-C DMR'!$A28)</f>
        <v>Tue</v>
      </c>
      <c r="B22" s="70">
        <f>IF('001-C DMR'!$B28=0,"",'001-C DMR'!$B28)</f>
        <v>43690</v>
      </c>
      <c r="C22">
        <f>IF('001-C DMR'!EI28=0,"",'001-C DMR'!EI28)</f>
        <v>51.302599999999998</v>
      </c>
      <c r="D22">
        <f>IF('001-C DMR'!EJ28=0,"",'001-C DMR'!EJ28)</f>
        <v>80.340500000000006</v>
      </c>
      <c r="E22">
        <f>IF('001-C DMR'!EK28=0,"",'001-C DMR'!EK28)</f>
        <v>131.6431</v>
      </c>
      <c r="F22" s="45">
        <f t="array" ref="F22">_xlfn.IFNA(INDEX('DMR 001C NEW'!$A$3:$O$999,MATCH($A$1&amp;$F$4&amp;$B22,('DMR 001C NEW'!$E$3:$E$1112&amp;'DMR 001C NEW'!$B$3:$B$1112&amp;'DMR 001C NEW'!$A$3:$A$1112),0),MATCH('E.Coli Calculations'!$F$5,'DMR 001C NEW'!$A$2:$O$2,0)),"")</f>
        <v>162</v>
      </c>
      <c r="G22" s="45" t="str">
        <f t="array" ref="G22">_xlfn.IFNA(INDEX('DMR 001C NEW'!$A$3:$O$999,MATCH($A$1&amp;$F$4&amp;$B22,('DMR 001C NEW'!$E$3:$E$1112&amp;'DMR 001C NEW'!$B$3:$B$1112&amp;'DMR 001C NEW'!$A$3:$A$1112),0),MATCH('E.Coli Calculations'!$G$5,'DMR 001C NEW'!$A$2:$O$2,0)),"")</f>
        <v>AE69091</v>
      </c>
      <c r="H22" s="46">
        <f t="array" ref="H22">_xlfn.IFNA(INDEX('DMR 001C NEW'!$A$3:$O$9999,MATCH($F$4&amp;$B22&amp;$H$5&amp;$G22,('DMR 001C NEW'!$B$3:$B$1112&amp;'DMR 001C NEW'!$A$3:$A$1112&amp;'DMR 001C NEW'!$E$3:$E$1112&amp;'DMR 001C NEW'!$M$3:$M$1054),0),MATCH($F$5,'DMR 001C NEW'!$A$2:$O$2,0)),"")</f>
        <v>22.37</v>
      </c>
      <c r="I22" s="45">
        <f t="array" ref="I22">_xlfn.IFNA(INDEX('DMR 001C NEW'!$A$3:$O$9999,MATCH($A$1&amp;$I$4&amp;$B22,('DMR 001C NEW'!$E$3:$E$9018&amp;'DMR 001C NEW'!$B$3:$B$9018&amp;'DMR 001C NEW'!$A$3:$A$9018),0),MATCH('E.Coli Calculations'!$F$5,'DMR 001C NEW'!$A$2:$O$2,0)),"")</f>
        <v>134</v>
      </c>
      <c r="J22" s="45" t="str">
        <f t="array" ref="J22">_xlfn.IFNA(INDEX('DMR 001C NEW'!$A$3:$O$9999,MATCH($A$1&amp;$I$4&amp;$B22,('DMR 001C NEW'!$E$3:$E$9018&amp;'DMR 001C NEW'!$B$3:$B$9018&amp;'DMR 001C NEW'!$A$3:$A$9018),0),MATCH('E.Coli Calculations'!$J$5,'DMR 001C NEW'!$A$2:$O$2,0)),"")</f>
        <v>AE69092</v>
      </c>
      <c r="K22" s="46">
        <f t="array" ref="K22">_xlfn.IFNA(INDEX('DMR 001C NEW'!$A$3:$O$9999,MATCH($I$4&amp;$B22&amp;$H$5&amp;$J22,('DMR 001C NEW'!$B$3:$B$9018&amp;'DMR 001C NEW'!$A$3:$A$9018&amp;'DMR 001C NEW'!$E$3:$E$9018&amp;'DMR 001C NEW'!$M$3:$M$8960),0),MATCH($F$5,'DMR 001C NEW'!$A$2:$O$2,0)),"")</f>
        <v>64.47</v>
      </c>
      <c r="L22" s="43">
        <f t="shared" si="0"/>
        <v>2.2095150145426308</v>
      </c>
      <c r="M22" s="43">
        <f t="shared" si="1"/>
        <v>2.1271047983648077</v>
      </c>
      <c r="N22" s="43">
        <f t="shared" si="2"/>
        <v>49.42685087531865</v>
      </c>
      <c r="O22" s="43">
        <f t="shared" si="3"/>
        <v>137.13444635057914</v>
      </c>
      <c r="P22" s="43">
        <f t="shared" si="7"/>
        <v>186.56129722589779</v>
      </c>
      <c r="Q22" s="43">
        <f t="shared" si="5"/>
        <v>2.1483336852360408</v>
      </c>
      <c r="R22" s="43">
        <f t="shared" si="6"/>
        <v>140.7128259919177</v>
      </c>
      <c r="S22" t="str">
        <f t="shared" si="9"/>
        <v/>
      </c>
    </row>
    <row r="23" spans="1:19" x14ac:dyDescent="0.25">
      <c r="A23" t="str">
        <f>IF('001-C DMR'!$A29=0,"",'001-C DMR'!$A29)</f>
        <v>Wed</v>
      </c>
      <c r="B23" s="70">
        <f>IF('001-C DMR'!$B29=0,"",'001-C DMR'!$B29)</f>
        <v>43691</v>
      </c>
      <c r="C23">
        <f>IF('001-C DMR'!EI29=0,"",'001-C DMR'!EI29)</f>
        <v>49.476100000000002</v>
      </c>
      <c r="D23">
        <f>IF('001-C DMR'!EJ29=0,"",'001-C DMR'!EJ29)</f>
        <v>82.647400000000005</v>
      </c>
      <c r="E23">
        <f>IF('001-C DMR'!EK29=0,"",'001-C DMR'!EK29)</f>
        <v>132.12350000000001</v>
      </c>
      <c r="F23" s="45">
        <f t="array" ref="F23">_xlfn.IFNA(INDEX('DMR 001C NEW'!$A$3:$O$999,MATCH($A$1&amp;$F$4&amp;$B23,('DMR 001C NEW'!$E$3:$E$1112&amp;'DMR 001C NEW'!$B$3:$B$1112&amp;'DMR 001C NEW'!$A$3:$A$1112),0),MATCH('E.Coli Calculations'!$F$5,'DMR 001C NEW'!$A$2:$O$2,0)),"")</f>
        <v>308</v>
      </c>
      <c r="G23" s="45" t="str">
        <f t="array" ref="G23">_xlfn.IFNA(INDEX('DMR 001C NEW'!$A$3:$O$999,MATCH($A$1&amp;$F$4&amp;$B23,('DMR 001C NEW'!$E$3:$E$1112&amp;'DMR 001C NEW'!$B$3:$B$1112&amp;'DMR 001C NEW'!$A$3:$A$1112),0),MATCH('E.Coli Calculations'!$G$5,'DMR 001C NEW'!$A$2:$O$2,0)),"")</f>
        <v>AE69230</v>
      </c>
      <c r="H23" s="46">
        <f t="array" ref="H23">_xlfn.IFNA(INDEX('DMR 001C NEW'!$A$3:$O$9999,MATCH($F$4&amp;$B23&amp;$H$5&amp;$G23,('DMR 001C NEW'!$B$3:$B$1112&amp;'DMR 001C NEW'!$A$3:$A$1112&amp;'DMR 001C NEW'!$E$3:$E$1112&amp;'DMR 001C NEW'!$M$3:$M$1054),0),MATCH($F$5,'DMR 001C NEW'!$A$2:$O$2,0)),"")</f>
        <v>35.21</v>
      </c>
      <c r="I23" s="45">
        <f t="array" ref="I23">_xlfn.IFNA(INDEX('DMR 001C NEW'!$A$3:$O$9999,MATCH($A$1&amp;$I$4&amp;$B23,('DMR 001C NEW'!$E$3:$E$9018&amp;'DMR 001C NEW'!$B$3:$B$9018&amp;'DMR 001C NEW'!$A$3:$A$9018),0),MATCH('E.Coli Calculations'!$F$5,'DMR 001C NEW'!$A$2:$O$2,0)),"")</f>
        <v>68</v>
      </c>
      <c r="J23" s="45" t="str">
        <f t="array" ref="J23">_xlfn.IFNA(INDEX('DMR 001C NEW'!$A$3:$O$9999,MATCH($A$1&amp;$I$4&amp;$B23,('DMR 001C NEW'!$E$3:$E$9018&amp;'DMR 001C NEW'!$B$3:$B$9018&amp;'DMR 001C NEW'!$A$3:$A$9018),0),MATCH('E.Coli Calculations'!$J$5,'DMR 001C NEW'!$A$2:$O$2,0)),"")</f>
        <v>AE69231</v>
      </c>
      <c r="K23" s="46">
        <f t="array" ref="K23">_xlfn.IFNA(INDEX('DMR 001C NEW'!$A$3:$O$9999,MATCH($I$4&amp;$B23&amp;$H$5&amp;$J23,('DMR 001C NEW'!$B$3:$B$9018&amp;'DMR 001C NEW'!$A$3:$A$9018&amp;'DMR 001C NEW'!$E$3:$E$9018&amp;'DMR 001C NEW'!$M$3:$M$8960),0),MATCH($F$5,'DMR 001C NEW'!$A$2:$O$2,0)),"")</f>
        <v>71.010000000000005</v>
      </c>
      <c r="L23" s="43">
        <f t="shared" si="0"/>
        <v>2.4885507165004443</v>
      </c>
      <c r="M23" s="43">
        <f t="shared" si="1"/>
        <v>1.8325089127062364</v>
      </c>
      <c r="N23" s="43">
        <f t="shared" si="2"/>
        <v>87.621870727980649</v>
      </c>
      <c r="O23" s="43">
        <f t="shared" si="3"/>
        <v>130.12645789126987</v>
      </c>
      <c r="P23" s="43">
        <f t="shared" si="7"/>
        <v>217.74832861925051</v>
      </c>
      <c r="Q23" s="43">
        <f t="shared" si="5"/>
        <v>2.0499748504919086</v>
      </c>
      <c r="R23" s="43">
        <f t="shared" si="6"/>
        <v>112.19534813484859</v>
      </c>
      <c r="S23" t="str">
        <f t="shared" si="9"/>
        <v/>
      </c>
    </row>
    <row r="24" spans="1:19" x14ac:dyDescent="0.25">
      <c r="A24" t="str">
        <f>IF('001-C DMR'!$A30=0,"",'001-C DMR'!$A30)</f>
        <v>Thu</v>
      </c>
      <c r="B24" s="70">
        <f>IF('001-C DMR'!$B30=0,"",'001-C DMR'!$B30)</f>
        <v>43692</v>
      </c>
      <c r="C24">
        <f>IF('001-C DMR'!EI30=0,"",'001-C DMR'!EI30)</f>
        <v>44.199100000000001</v>
      </c>
      <c r="D24">
        <f>IF('001-C DMR'!EJ30=0,"",'001-C DMR'!EJ30)</f>
        <v>84.138400000000004</v>
      </c>
      <c r="E24">
        <f>IF('001-C DMR'!EK30=0,"",'001-C DMR'!EK30)</f>
        <v>128.33750000000001</v>
      </c>
      <c r="F24" s="45">
        <f t="array" ref="F24">_xlfn.IFNA(INDEX('DMR 001C NEW'!$A$3:$O$999,MATCH($A$1&amp;$F$4&amp;$B24,('DMR 001C NEW'!$E$3:$E$1112&amp;'DMR 001C NEW'!$B$3:$B$1112&amp;'DMR 001C NEW'!$A$3:$A$1112),0),MATCH('E.Coli Calculations'!$F$5,'DMR 001C NEW'!$A$2:$O$2,0)),"")</f>
        <v>156</v>
      </c>
      <c r="G24" s="45" t="str">
        <f t="array" ref="G24">_xlfn.IFNA(INDEX('DMR 001C NEW'!$A$3:$O$999,MATCH($A$1&amp;$F$4&amp;$B24,('DMR 001C NEW'!$E$3:$E$1112&amp;'DMR 001C NEW'!$B$3:$B$1112&amp;'DMR 001C NEW'!$A$3:$A$1112),0),MATCH('E.Coli Calculations'!$G$5,'DMR 001C NEW'!$A$2:$O$2,0)),"")</f>
        <v>AE69382</v>
      </c>
      <c r="H24" s="46">
        <f t="array" ref="H24">_xlfn.IFNA(INDEX('DMR 001C NEW'!$A$3:$O$9999,MATCH($F$4&amp;$B24&amp;$H$5&amp;$G24,('DMR 001C NEW'!$B$3:$B$1112&amp;'DMR 001C NEW'!$A$3:$A$1112&amp;'DMR 001C NEW'!$E$3:$E$1112&amp;'DMR 001C NEW'!$M$3:$M$1054),0),MATCH($F$5,'DMR 001C NEW'!$A$2:$O$2,0)),"")</f>
        <v>16.579999999999998</v>
      </c>
      <c r="I24" s="45">
        <f t="array" ref="I24">_xlfn.IFNA(INDEX('DMR 001C NEW'!$A$3:$O$9999,MATCH($A$1&amp;$I$4&amp;$B24,('DMR 001C NEW'!$E$3:$E$9018&amp;'DMR 001C NEW'!$B$3:$B$9018&amp;'DMR 001C NEW'!$A$3:$A$9018),0),MATCH('E.Coli Calculations'!$F$5,'DMR 001C NEW'!$A$2:$O$2,0)),"")</f>
        <v>55</v>
      </c>
      <c r="J24" s="45" t="str">
        <f t="array" ref="J24">_xlfn.IFNA(INDEX('DMR 001C NEW'!$A$3:$O$9999,MATCH($A$1&amp;$I$4&amp;$B24,('DMR 001C NEW'!$E$3:$E$9018&amp;'DMR 001C NEW'!$B$3:$B$9018&amp;'DMR 001C NEW'!$A$3:$A$9018),0),MATCH('E.Coli Calculations'!$J$5,'DMR 001C NEW'!$A$2:$O$2,0)),"")</f>
        <v>AE69383</v>
      </c>
      <c r="K24" s="46">
        <f t="array" ref="K24">_xlfn.IFNA(INDEX('DMR 001C NEW'!$A$3:$O$9999,MATCH($I$4&amp;$B24&amp;$H$5&amp;$J24,('DMR 001C NEW'!$B$3:$B$9018&amp;'DMR 001C NEW'!$A$3:$A$9018&amp;'DMR 001C NEW'!$E$3:$E$9018&amp;'DMR 001C NEW'!$M$3:$M$8960),0),MATCH($F$5,'DMR 001C NEW'!$A$2:$O$2,0)),"")</f>
        <v>44.14</v>
      </c>
      <c r="L24" s="43">
        <f t="shared" si="0"/>
        <v>2.1931245983544616</v>
      </c>
      <c r="M24" s="43">
        <f t="shared" si="1"/>
        <v>1.7403626894942439</v>
      </c>
      <c r="N24" s="43">
        <f t="shared" si="2"/>
        <v>36.362005840716968</v>
      </c>
      <c r="O24" s="43">
        <f t="shared" si="3"/>
        <v>76.81960911427592</v>
      </c>
      <c r="P24" s="43">
        <f t="shared" si="7"/>
        <v>113.18161495499288</v>
      </c>
      <c r="Q24" s="43">
        <f t="shared" si="5"/>
        <v>1.8639923411560093</v>
      </c>
      <c r="R24" s="43">
        <f t="shared" si="6"/>
        <v>73.112618985700976</v>
      </c>
      <c r="S24" t="str">
        <f t="shared" si="9"/>
        <v/>
      </c>
    </row>
    <row r="25" spans="1:19" x14ac:dyDescent="0.25">
      <c r="A25" t="str">
        <f>IF('001-C DMR'!$A31=0,"",'001-C DMR'!$A31)</f>
        <v>Fri</v>
      </c>
      <c r="B25" s="70">
        <f>IF('001-C DMR'!$B31=0,"",'001-C DMR'!$B31)</f>
        <v>43693</v>
      </c>
      <c r="C25">
        <f>IF('001-C DMR'!EI31=0,"",'001-C DMR'!EI31)</f>
        <v>45.667099999999998</v>
      </c>
      <c r="D25">
        <f>IF('001-C DMR'!EJ31=0,"",'001-C DMR'!EJ31)</f>
        <v>78.309799999999996</v>
      </c>
      <c r="E25">
        <f>IF('001-C DMR'!EK31=0,"",'001-C DMR'!EK31)</f>
        <v>123.9769</v>
      </c>
      <c r="F25" s="45">
        <f t="array" ref="F25">_xlfn.IFNA(INDEX('DMR 001C NEW'!$A$3:$O$999,MATCH($A$1&amp;$F$4&amp;$B25,('DMR 001C NEW'!$E$3:$E$1112&amp;'DMR 001C NEW'!$B$3:$B$1112&amp;'DMR 001C NEW'!$A$3:$A$1112),0),MATCH('E.Coli Calculations'!$F$5,'DMR 001C NEW'!$A$2:$O$2,0)),"")</f>
        <v>206</v>
      </c>
      <c r="G25" s="45" t="str">
        <f t="array" ref="G25">_xlfn.IFNA(INDEX('DMR 001C NEW'!$A$3:$O$999,MATCH($A$1&amp;$F$4&amp;$B25,('DMR 001C NEW'!$E$3:$E$1112&amp;'DMR 001C NEW'!$B$3:$B$1112&amp;'DMR 001C NEW'!$A$3:$A$1112),0),MATCH('E.Coli Calculations'!$G$5,'DMR 001C NEW'!$A$2:$O$2,0)),"")</f>
        <v>AE69503</v>
      </c>
      <c r="H25" s="46">
        <f t="array" ref="H25">_xlfn.IFNA(INDEX('DMR 001C NEW'!$A$3:$O$9999,MATCH($F$4&amp;$B25&amp;$H$5&amp;$G25,('DMR 001C NEW'!$B$3:$B$1112&amp;'DMR 001C NEW'!$A$3:$A$1112&amp;'DMR 001C NEW'!$E$3:$E$1112&amp;'DMR 001C NEW'!$M$3:$M$1054),0),MATCH($F$5,'DMR 001C NEW'!$A$2:$O$2,0)),"")</f>
        <v>23.41</v>
      </c>
      <c r="I25" s="45">
        <f t="array" ref="I25">_xlfn.IFNA(INDEX('DMR 001C NEW'!$A$3:$O$9999,MATCH($A$1&amp;$I$4&amp;$B25,('DMR 001C NEW'!$E$3:$E$9018&amp;'DMR 001C NEW'!$B$3:$B$9018&amp;'DMR 001C NEW'!$A$3:$A$9018),0),MATCH('E.Coli Calculations'!$F$5,'DMR 001C NEW'!$A$2:$O$2,0)),"")</f>
        <v>101</v>
      </c>
      <c r="J25" s="45" t="str">
        <f t="array" ref="J25">_xlfn.IFNA(INDEX('DMR 001C NEW'!$A$3:$O$9999,MATCH($A$1&amp;$I$4&amp;$B25,('DMR 001C NEW'!$E$3:$E$9018&amp;'DMR 001C NEW'!$B$3:$B$9018&amp;'DMR 001C NEW'!$A$3:$A$9018),0),MATCH('E.Coli Calculations'!$J$5,'DMR 001C NEW'!$A$2:$O$2,0)),"")</f>
        <v>AE69504</v>
      </c>
      <c r="K25" s="46">
        <f t="array" ref="K25">_xlfn.IFNA(INDEX('DMR 001C NEW'!$A$3:$O$9999,MATCH($I$4&amp;$B25&amp;$H$5&amp;$J25,('DMR 001C NEW'!$B$3:$B$9018&amp;'DMR 001C NEW'!$A$3:$A$9018&amp;'DMR 001C NEW'!$E$3:$E$9018&amp;'DMR 001C NEW'!$M$3:$M$8960),0),MATCH($F$5,'DMR 001C NEW'!$A$2:$O$2,0)),"")</f>
        <v>56.31</v>
      </c>
      <c r="L25" s="43">
        <f t="shared" si="0"/>
        <v>2.3138672203691533</v>
      </c>
      <c r="M25" s="43">
        <f t="shared" si="1"/>
        <v>2.0043213737826426</v>
      </c>
      <c r="N25" s="43">
        <f t="shared" si="2"/>
        <v>54.167631628841882</v>
      </c>
      <c r="O25" s="43">
        <f t="shared" si="3"/>
        <v>112.86333655770061</v>
      </c>
      <c r="P25" s="43">
        <f t="shared" si="7"/>
        <v>167.03096818654248</v>
      </c>
      <c r="Q25" s="43">
        <f t="shared" si="5"/>
        <v>2.0952203736395192</v>
      </c>
      <c r="R25" s="43">
        <f t="shared" si="6"/>
        <v>124.51462748961234</v>
      </c>
      <c r="S25" t="str">
        <f t="shared" si="9"/>
        <v/>
      </c>
    </row>
    <row r="26" spans="1:19" x14ac:dyDescent="0.25">
      <c r="A26" t="str">
        <f>IF('001-C DMR'!$A32=0,"",'001-C DMR'!$A32)</f>
        <v>Sat</v>
      </c>
      <c r="B26" s="70">
        <f>IF('001-C DMR'!$B32=0,"",'001-C DMR'!$B32)</f>
        <v>43694</v>
      </c>
      <c r="C26">
        <f>IF('001-C DMR'!EI32=0,"",'001-C DMR'!EI32)</f>
        <v>42.549500000000002</v>
      </c>
      <c r="D26">
        <f>IF('001-C DMR'!EJ32=0,"",'001-C DMR'!EJ32)</f>
        <v>79.905600000000007</v>
      </c>
      <c r="E26">
        <f>IF('001-C DMR'!EK32=0,"",'001-C DMR'!EK32)</f>
        <v>122.45510000000002</v>
      </c>
      <c r="F26" s="45">
        <f t="array" ref="F26">_xlfn.IFNA(INDEX('DMR 001C NEW'!$A$3:$O$999,MATCH($A$1&amp;$F$4&amp;$B26,('DMR 001C NEW'!$E$3:$E$1112&amp;'DMR 001C NEW'!$B$3:$B$1112&amp;'DMR 001C NEW'!$A$3:$A$1112),0),MATCH('E.Coli Calculations'!$F$5,'DMR 001C NEW'!$A$2:$O$2,0)),"")</f>
        <v>118</v>
      </c>
      <c r="G26" s="45" t="str">
        <f t="array" ref="G26">_xlfn.IFNA(INDEX('DMR 001C NEW'!$A$3:$O$999,MATCH($A$1&amp;$F$4&amp;$B26,('DMR 001C NEW'!$E$3:$E$1112&amp;'DMR 001C NEW'!$B$3:$B$1112&amp;'DMR 001C NEW'!$A$3:$A$1112),0),MATCH('E.Coli Calculations'!$G$5,'DMR 001C NEW'!$A$2:$O$2,0)),"")</f>
        <v>AE69609</v>
      </c>
      <c r="H26" s="46">
        <f t="array" ref="H26">_xlfn.IFNA(INDEX('DMR 001C NEW'!$A$3:$O$9999,MATCH($F$4&amp;$B26&amp;$H$5&amp;$G26,('DMR 001C NEW'!$B$3:$B$1112&amp;'DMR 001C NEW'!$A$3:$A$1112&amp;'DMR 001C NEW'!$E$3:$E$1112&amp;'DMR 001C NEW'!$M$3:$M$1054),0),MATCH($F$5,'DMR 001C NEW'!$A$2:$O$2,0)),"")</f>
        <v>52.63</v>
      </c>
      <c r="I26" s="45">
        <f t="array" ref="I26">_xlfn.IFNA(INDEX('DMR 001C NEW'!$A$3:$O$9999,MATCH($A$1&amp;$I$4&amp;$B26,('DMR 001C NEW'!$E$3:$E$9018&amp;'DMR 001C NEW'!$B$3:$B$9018&amp;'DMR 001C NEW'!$A$3:$A$9018),0),MATCH('E.Coli Calculations'!$F$5,'DMR 001C NEW'!$A$2:$O$2,0)),"")</f>
        <v>60</v>
      </c>
      <c r="J26" s="45" t="str">
        <f t="array" ref="J26">_xlfn.IFNA(INDEX('DMR 001C NEW'!$A$3:$O$9999,MATCH($A$1&amp;$I$4&amp;$B26,('DMR 001C NEW'!$E$3:$E$9018&amp;'DMR 001C NEW'!$B$3:$B$9018&amp;'DMR 001C NEW'!$A$3:$A$9018),0),MATCH('E.Coli Calculations'!$J$5,'DMR 001C NEW'!$A$2:$O$2,0)),"")</f>
        <v>AE69610</v>
      </c>
      <c r="K26" s="46">
        <f t="array" ref="K26">_xlfn.IFNA(INDEX('DMR 001C NEW'!$A$3:$O$9999,MATCH($I$4&amp;$B26&amp;$H$5&amp;$J26,('DMR 001C NEW'!$B$3:$B$9018&amp;'DMR 001C NEW'!$A$3:$A$9018&amp;'DMR 001C NEW'!$E$3:$E$9018&amp;'DMR 001C NEW'!$M$3:$M$8960),0),MATCH($F$5,'DMR 001C NEW'!$A$2:$O$2,0)),"")</f>
        <v>95.95</v>
      </c>
      <c r="L26" s="43">
        <f t="shared" si="0"/>
        <v>2.0718820073061255</v>
      </c>
      <c r="M26" s="43">
        <f t="shared" si="1"/>
        <v>1.7781512503836436</v>
      </c>
      <c r="N26" s="43">
        <f t="shared" si="2"/>
        <v>109.04315004452138</v>
      </c>
      <c r="O26" s="43">
        <f t="shared" si="3"/>
        <v>170.6136124743106</v>
      </c>
      <c r="P26" s="43">
        <f t="shared" si="7"/>
        <v>279.65676251883201</v>
      </c>
      <c r="Q26" s="43">
        <f t="shared" si="5"/>
        <v>1.8821965440761339</v>
      </c>
      <c r="R26" s="43">
        <f t="shared" si="6"/>
        <v>76.242397414303113</v>
      </c>
      <c r="S26">
        <f t="shared" si="9"/>
        <v>106.24630178532422</v>
      </c>
    </row>
    <row r="27" spans="1:19" x14ac:dyDescent="0.25">
      <c r="A27" t="str">
        <f>IF('001-C DMR'!$A33=0,"",'001-C DMR'!$A33)</f>
        <v>Sun</v>
      </c>
      <c r="B27" s="70">
        <f>IF('001-C DMR'!$B33=0,"",'001-C DMR'!$B33)</f>
        <v>43695</v>
      </c>
      <c r="C27">
        <f>IF('001-C DMR'!EI33=0,"",'001-C DMR'!EI33)</f>
        <v>45.984499999999997</v>
      </c>
      <c r="D27">
        <f>IF('001-C DMR'!EJ33=0,"",'001-C DMR'!EJ33)</f>
        <v>80.689300000000003</v>
      </c>
      <c r="E27">
        <f>IF('001-C DMR'!EK33=0,"",'001-C DMR'!EK33)</f>
        <v>126.6738</v>
      </c>
      <c r="F27" s="45">
        <f t="array" ref="F27">_xlfn.IFNA(INDEX('DMR 001C NEW'!$A$3:$O$999,MATCH($A$1&amp;$F$4&amp;$B27,('DMR 001C NEW'!$E$3:$E$1112&amp;'DMR 001C NEW'!$B$3:$B$1112&amp;'DMR 001C NEW'!$A$3:$A$1112),0),MATCH('E.Coli Calculations'!$F$5,'DMR 001C NEW'!$A$2:$O$2,0)),"")</f>
        <v>178</v>
      </c>
      <c r="G27" s="45" t="str">
        <f t="array" ref="G27">_xlfn.IFNA(INDEX('DMR 001C NEW'!$A$3:$O$999,MATCH($A$1&amp;$F$4&amp;$B27,('DMR 001C NEW'!$E$3:$E$1112&amp;'DMR 001C NEW'!$B$3:$B$1112&amp;'DMR 001C NEW'!$A$3:$A$1112),0),MATCH('E.Coli Calculations'!$G$5,'DMR 001C NEW'!$A$2:$O$2,0)),"")</f>
        <v>AE69689</v>
      </c>
      <c r="H27" s="46">
        <f t="array" ref="H27">_xlfn.IFNA(INDEX('DMR 001C NEW'!$A$3:$O$9999,MATCH($F$4&amp;$B27&amp;$H$5&amp;$G27,('DMR 001C NEW'!$B$3:$B$1112&amp;'DMR 001C NEW'!$A$3:$A$1112&amp;'DMR 001C NEW'!$E$3:$E$1112&amp;'DMR 001C NEW'!$M$3:$M$1054),0),MATCH($F$5,'DMR 001C NEW'!$A$2:$O$2,0)),"")</f>
        <v>21.66</v>
      </c>
      <c r="I27" s="45">
        <f t="array" ref="I27">_xlfn.IFNA(INDEX('DMR 001C NEW'!$A$3:$O$9999,MATCH($A$1&amp;$I$4&amp;$B27,('DMR 001C NEW'!$E$3:$E$9018&amp;'DMR 001C NEW'!$B$3:$B$9018&amp;'DMR 001C NEW'!$A$3:$A$9018),0),MATCH('E.Coli Calculations'!$F$5,'DMR 001C NEW'!$A$2:$O$2,0)),"")</f>
        <v>37</v>
      </c>
      <c r="J27" s="45" t="str">
        <f t="array" ref="J27">_xlfn.IFNA(INDEX('DMR 001C NEW'!$A$3:$O$9999,MATCH($A$1&amp;$I$4&amp;$B27,('DMR 001C NEW'!$E$3:$E$9018&amp;'DMR 001C NEW'!$B$3:$B$9018&amp;'DMR 001C NEW'!$A$3:$A$9018),0),MATCH('E.Coli Calculations'!$J$5,'DMR 001C NEW'!$A$2:$O$2,0)),"")</f>
        <v>AE69690</v>
      </c>
      <c r="K27" s="46">
        <f t="array" ref="K27">_xlfn.IFNA(INDEX('DMR 001C NEW'!$A$3:$O$9999,MATCH($I$4&amp;$B27&amp;$H$5&amp;$J27,('DMR 001C NEW'!$B$3:$B$9018&amp;'DMR 001C NEW'!$A$3:$A$9018&amp;'DMR 001C NEW'!$E$3:$E$9018&amp;'DMR 001C NEW'!$M$3:$M$8960),0),MATCH($F$5,'DMR 001C NEW'!$A$2:$O$2,0)),"")</f>
        <v>57.87</v>
      </c>
      <c r="L27" s="43">
        <f t="shared" si="0"/>
        <v>2.2504200023088941</v>
      </c>
      <c r="M27" s="43">
        <f t="shared" si="1"/>
        <v>1.568201724066995</v>
      </c>
      <c r="N27" s="43">
        <f t="shared" si="2"/>
        <v>48.744097250010647</v>
      </c>
      <c r="O27" s="43">
        <f t="shared" si="3"/>
        <v>90.751833771756992</v>
      </c>
      <c r="P27" s="43">
        <f t="shared" si="7"/>
        <v>139.49593102176763</v>
      </c>
      <c r="Q27" s="43">
        <f t="shared" si="5"/>
        <v>1.7540039107477383</v>
      </c>
      <c r="R27" s="43">
        <f t="shared" si="6"/>
        <v>56.754971607393159</v>
      </c>
      <c r="S27" t="str">
        <f t="shared" si="9"/>
        <v/>
      </c>
    </row>
    <row r="28" spans="1:19" x14ac:dyDescent="0.25">
      <c r="A28" t="str">
        <f>IF('001-C DMR'!$A34=0,"",'001-C DMR'!$A34)</f>
        <v>Mon</v>
      </c>
      <c r="B28" s="70">
        <f>IF('001-C DMR'!$B34=0,"",'001-C DMR'!$B34)</f>
        <v>43696</v>
      </c>
      <c r="C28">
        <f>IF('001-C DMR'!EI34=0,"",'001-C DMR'!EI34)</f>
        <v>36.557499999999997</v>
      </c>
      <c r="D28">
        <f>IF('001-C DMR'!EJ34=0,"",'001-C DMR'!EJ34)</f>
        <v>90.935699999999997</v>
      </c>
      <c r="E28">
        <f>IF('001-C DMR'!EK34=0,"",'001-C DMR'!EK34)</f>
        <v>127.4932</v>
      </c>
      <c r="F28" s="45">
        <f t="array" ref="F28">_xlfn.IFNA(INDEX('DMR 001C NEW'!$A$3:$O$999,MATCH($A$1&amp;$F$4&amp;$B28,('DMR 001C NEW'!$E$3:$E$1112&amp;'DMR 001C NEW'!$B$3:$B$1112&amp;'DMR 001C NEW'!$A$3:$A$1112),0),MATCH('E.Coli Calculations'!$F$5,'DMR 001C NEW'!$A$2:$O$2,0)),"")</f>
        <v>101</v>
      </c>
      <c r="G28" s="45" t="str">
        <f t="array" ref="G28">_xlfn.IFNA(INDEX('DMR 001C NEW'!$A$3:$O$999,MATCH($A$1&amp;$F$4&amp;$B28,('DMR 001C NEW'!$E$3:$E$1112&amp;'DMR 001C NEW'!$B$3:$B$1112&amp;'DMR 001C NEW'!$A$3:$A$1112),0),MATCH('E.Coli Calculations'!$G$5,'DMR 001C NEW'!$A$2:$O$2,0)),"")</f>
        <v>AE69756</v>
      </c>
      <c r="H28" s="46">
        <f t="array" ref="H28">_xlfn.IFNA(INDEX('DMR 001C NEW'!$A$3:$O$9999,MATCH($F$4&amp;$B28&amp;$H$5&amp;$G28,('DMR 001C NEW'!$B$3:$B$1112&amp;'DMR 001C NEW'!$A$3:$A$1112&amp;'DMR 001C NEW'!$E$3:$E$1112&amp;'DMR 001C NEW'!$M$3:$M$1054),0),MATCH($F$5,'DMR 001C NEW'!$A$2:$O$2,0)),"")</f>
        <v>36.46</v>
      </c>
      <c r="I28" s="45">
        <f t="array" ref="I28">_xlfn.IFNA(INDEX('DMR 001C NEW'!$A$3:$O$9999,MATCH($A$1&amp;$I$4&amp;$B28,('DMR 001C NEW'!$E$3:$E$9018&amp;'DMR 001C NEW'!$B$3:$B$9018&amp;'DMR 001C NEW'!$A$3:$A$9018),0),MATCH('E.Coli Calculations'!$F$5,'DMR 001C NEW'!$A$2:$O$2,0)),"")</f>
        <v>51</v>
      </c>
      <c r="J28" s="45" t="str">
        <f t="array" ref="J28">_xlfn.IFNA(INDEX('DMR 001C NEW'!$A$3:$O$9999,MATCH($A$1&amp;$I$4&amp;$B28,('DMR 001C NEW'!$E$3:$E$9018&amp;'DMR 001C NEW'!$B$3:$B$9018&amp;'DMR 001C NEW'!$A$3:$A$9018),0),MATCH('E.Coli Calculations'!$J$5,'DMR 001C NEW'!$A$2:$O$2,0)),"")</f>
        <v>AE69757</v>
      </c>
      <c r="K28" s="46">
        <f t="array" ref="K28">_xlfn.IFNA(INDEX('DMR 001C NEW'!$A$3:$O$9999,MATCH($I$4&amp;$B28&amp;$H$5&amp;$J28,('DMR 001C NEW'!$B$3:$B$9018&amp;'DMR 001C NEW'!$A$3:$A$9018&amp;'DMR 001C NEW'!$E$3:$E$9018&amp;'DMR 001C NEW'!$M$3:$M$8960),0),MATCH($F$5,'DMR 001C NEW'!$A$2:$O$2,0)),"")</f>
        <v>97.89</v>
      </c>
      <c r="L28" s="43">
        <f t="shared" si="0"/>
        <v>2.0043213737826426</v>
      </c>
      <c r="M28" s="43">
        <f t="shared" si="1"/>
        <v>1.7075701760979363</v>
      </c>
      <c r="N28" s="43">
        <f t="shared" si="2"/>
        <v>73.077557288115159</v>
      </c>
      <c r="O28" s="43">
        <f t="shared" si="3"/>
        <v>167.15404453822697</v>
      </c>
      <c r="P28" s="43">
        <f t="shared" si="7"/>
        <v>240.23160182634211</v>
      </c>
      <c r="Q28" s="43">
        <f t="shared" si="5"/>
        <v>1.7881027303784305</v>
      </c>
      <c r="R28" s="43">
        <f t="shared" si="6"/>
        <v>61.390720493961183</v>
      </c>
      <c r="S28" t="str">
        <f t="shared" si="9"/>
        <v/>
      </c>
    </row>
    <row r="29" spans="1:19" x14ac:dyDescent="0.25">
      <c r="A29" t="str">
        <f>IF('001-C DMR'!$A35=0,"",'001-C DMR'!$A35)</f>
        <v>Tue</v>
      </c>
      <c r="B29" s="70">
        <f>IF('001-C DMR'!$B35=0,"",'001-C DMR'!$B35)</f>
        <v>43697</v>
      </c>
      <c r="C29">
        <f>IF('001-C DMR'!EI35=0,"",'001-C DMR'!EI35)</f>
        <v>34.386499999999998</v>
      </c>
      <c r="D29">
        <f>IF('001-C DMR'!EJ35=0,"",'001-C DMR'!EJ35)</f>
        <v>85.290199999999999</v>
      </c>
      <c r="E29">
        <f>IF('001-C DMR'!EK35=0,"",'001-C DMR'!EK35)</f>
        <v>119.6767</v>
      </c>
      <c r="F29" s="45">
        <f t="array" ref="F29">_xlfn.IFNA(INDEX('DMR 001C NEW'!$A$3:$O$999,MATCH($A$1&amp;$F$4&amp;$B29,('DMR 001C NEW'!$E$3:$E$1112&amp;'DMR 001C NEW'!$B$3:$B$1112&amp;'DMR 001C NEW'!$A$3:$A$1112),0),MATCH('E.Coli Calculations'!$F$5,'DMR 001C NEW'!$A$2:$O$2,0)),"")</f>
        <v>126</v>
      </c>
      <c r="G29" s="45" t="str">
        <f t="array" ref="G29">_xlfn.IFNA(INDEX('DMR 001C NEW'!$A$3:$O$999,MATCH($A$1&amp;$F$4&amp;$B29,('DMR 001C NEW'!$E$3:$E$1112&amp;'DMR 001C NEW'!$B$3:$B$1112&amp;'DMR 001C NEW'!$A$3:$A$1112),0),MATCH('E.Coli Calculations'!$G$5,'DMR 001C NEW'!$A$2:$O$2,0)),"")</f>
        <v>AE69860</v>
      </c>
      <c r="H29" s="46">
        <f t="array" ref="H29">_xlfn.IFNA(INDEX('DMR 001C NEW'!$A$3:$O$9999,MATCH($F$4&amp;$B29&amp;$H$5&amp;$G29,('DMR 001C NEW'!$B$3:$B$1112&amp;'DMR 001C NEW'!$A$3:$A$1112&amp;'DMR 001C NEW'!$E$3:$E$1112&amp;'DMR 001C NEW'!$M$3:$M$1054),0),MATCH($F$5,'DMR 001C NEW'!$A$2:$O$2,0)),"")</f>
        <v>42.43</v>
      </c>
      <c r="I29" s="45">
        <f t="array" ref="I29">_xlfn.IFNA(INDEX('DMR 001C NEW'!$A$3:$O$9999,MATCH($A$1&amp;$I$4&amp;$B29,('DMR 001C NEW'!$E$3:$E$9018&amp;'DMR 001C NEW'!$B$3:$B$9018&amp;'DMR 001C NEW'!$A$3:$A$9018),0),MATCH('E.Coli Calculations'!$F$5,'DMR 001C NEW'!$A$2:$O$2,0)),"")</f>
        <v>84</v>
      </c>
      <c r="J29" s="45" t="str">
        <f t="array" ref="J29">_xlfn.IFNA(INDEX('DMR 001C NEW'!$A$3:$O$9999,MATCH($A$1&amp;$I$4&amp;$B29,('DMR 001C NEW'!$E$3:$E$9018&amp;'DMR 001C NEW'!$B$3:$B$9018&amp;'DMR 001C NEW'!$A$3:$A$9018),0),MATCH('E.Coli Calculations'!$J$5,'DMR 001C NEW'!$A$2:$O$2,0)),"")</f>
        <v>AE69861</v>
      </c>
      <c r="K29" s="46">
        <f t="array" ref="K29">_xlfn.IFNA(INDEX('DMR 001C NEW'!$A$3:$O$9999,MATCH($I$4&amp;$B29&amp;$H$5&amp;$J29,('DMR 001C NEW'!$B$3:$B$9018&amp;'DMR 001C NEW'!$A$3:$A$9018&amp;'DMR 001C NEW'!$E$3:$E$9018&amp;'DMR 001C NEW'!$M$3:$M$8960),0),MATCH($F$5,'DMR 001C NEW'!$A$2:$O$2,0)),"")</f>
        <v>58.26</v>
      </c>
      <c r="L29" s="43">
        <f t="shared" si="0"/>
        <v>2.1003705451175629</v>
      </c>
      <c r="M29" s="43">
        <f t="shared" si="1"/>
        <v>1.9242792860618816</v>
      </c>
      <c r="N29" s="43">
        <f t="shared" si="2"/>
        <v>89.118722229338189</v>
      </c>
      <c r="O29" s="43">
        <f t="shared" si="3"/>
        <v>112.10851120596521</v>
      </c>
      <c r="P29" s="43">
        <f t="shared" si="7"/>
        <v>201.22723343530339</v>
      </c>
      <c r="Q29" s="43">
        <f t="shared" si="5"/>
        <v>1.9984828030122495</v>
      </c>
      <c r="R29" s="43">
        <f t="shared" si="6"/>
        <v>99.651261991750047</v>
      </c>
      <c r="S29" t="str">
        <f t="shared" si="9"/>
        <v/>
      </c>
    </row>
    <row r="30" spans="1:19" x14ac:dyDescent="0.25">
      <c r="A30" t="str">
        <f>IF('001-C DMR'!$A36=0,"",'001-C DMR'!$A36)</f>
        <v>Wed</v>
      </c>
      <c r="B30" s="70">
        <f>IF('001-C DMR'!$B36=0,"",'001-C DMR'!$B36)</f>
        <v>43698</v>
      </c>
      <c r="C30">
        <f>IF('001-C DMR'!EI36=0,"",'001-C DMR'!EI36)</f>
        <v>43.136299999999999</v>
      </c>
      <c r="D30">
        <f>IF('001-C DMR'!EJ36=0,"",'001-C DMR'!EJ36)</f>
        <v>84.528800000000004</v>
      </c>
      <c r="E30">
        <f>IF('001-C DMR'!EK36=0,"",'001-C DMR'!EK36)</f>
        <v>127.6651</v>
      </c>
      <c r="F30" s="45">
        <f t="array" ref="F30">_xlfn.IFNA(INDEX('DMR 001C NEW'!$A$3:$O$999,MATCH($A$1&amp;$F$4&amp;$B30,('DMR 001C NEW'!$E$3:$E$1112&amp;'DMR 001C NEW'!$B$3:$B$1112&amp;'DMR 001C NEW'!$A$3:$A$1112),0),MATCH('E.Coli Calculations'!$F$5,'DMR 001C NEW'!$A$2:$O$2,0)),"")</f>
        <v>105</v>
      </c>
      <c r="G30" s="45" t="str">
        <f t="array" ref="G30">_xlfn.IFNA(INDEX('DMR 001C NEW'!$A$3:$O$999,MATCH($A$1&amp;$F$4&amp;$B30,('DMR 001C NEW'!$E$3:$E$1112&amp;'DMR 001C NEW'!$B$3:$B$1112&amp;'DMR 001C NEW'!$A$3:$A$1112),0),MATCH('E.Coli Calculations'!$G$5,'DMR 001C NEW'!$A$2:$O$2,0)),"")</f>
        <v>AE69968</v>
      </c>
      <c r="H30" s="46">
        <f t="array" ref="H30">_xlfn.IFNA(INDEX('DMR 001C NEW'!$A$3:$O$9999,MATCH($F$4&amp;$B30&amp;$H$5&amp;$G30,('DMR 001C NEW'!$B$3:$B$1112&amp;'DMR 001C NEW'!$A$3:$A$1112&amp;'DMR 001C NEW'!$E$3:$E$1112&amp;'DMR 001C NEW'!$M$3:$M$1054),0),MATCH($F$5,'DMR 001C NEW'!$A$2:$O$2,0)),"")</f>
        <v>52.31</v>
      </c>
      <c r="I30" s="45">
        <f t="array" ref="I30">_xlfn.IFNA(INDEX('DMR 001C NEW'!$A$3:$O$9999,MATCH($A$1&amp;$I$4&amp;$B30,('DMR 001C NEW'!$E$3:$E$9018&amp;'DMR 001C NEW'!$B$3:$B$9018&amp;'DMR 001C NEW'!$A$3:$A$9018),0),MATCH('E.Coli Calculations'!$F$5,'DMR 001C NEW'!$A$2:$O$2,0)),"")</f>
        <v>91</v>
      </c>
      <c r="J30" s="45" t="str">
        <f t="array" ref="J30">_xlfn.IFNA(INDEX('DMR 001C NEW'!$A$3:$O$9999,MATCH($A$1&amp;$I$4&amp;$B30,('DMR 001C NEW'!$E$3:$E$9018&amp;'DMR 001C NEW'!$B$3:$B$9018&amp;'DMR 001C NEW'!$A$3:$A$9018),0),MATCH('E.Coli Calculations'!$J$5,'DMR 001C NEW'!$A$2:$O$2,0)),"")</f>
        <v>AE69969</v>
      </c>
      <c r="K30" s="46">
        <f t="array" ref="K30">_xlfn.IFNA(INDEX('DMR 001C NEW'!$A$3:$O$9999,MATCH($I$4&amp;$B30&amp;$H$5&amp;$J30,('DMR 001C NEW'!$B$3:$B$9018&amp;'DMR 001C NEW'!$A$3:$A$9018&amp;'DMR 001C NEW'!$E$3:$E$9018&amp;'DMR 001C NEW'!$M$3:$M$8960),0),MATCH($F$5,'DMR 001C NEW'!$A$2:$O$2,0)),"")</f>
        <v>86.2</v>
      </c>
      <c r="L30" s="43">
        <f t="shared" si="0"/>
        <v>2.0211892990699383</v>
      </c>
      <c r="M30" s="43">
        <f t="shared" si="1"/>
        <v>1.9590413923210936</v>
      </c>
      <c r="N30" s="43">
        <f t="shared" si="2"/>
        <v>105.72841223434848</v>
      </c>
      <c r="O30" s="43">
        <f t="shared" si="3"/>
        <v>168.86936801807829</v>
      </c>
      <c r="P30" s="43">
        <f t="shared" si="7"/>
        <v>274.59778025242679</v>
      </c>
      <c r="Q30" s="43">
        <f t="shared" si="5"/>
        <v>1.9825123114029803</v>
      </c>
      <c r="R30" s="43">
        <f t="shared" si="6"/>
        <v>96.053304724249543</v>
      </c>
      <c r="S30" t="str">
        <f t="shared" si="9"/>
        <v/>
      </c>
    </row>
    <row r="31" spans="1:19" x14ac:dyDescent="0.25">
      <c r="A31" t="str">
        <f>IF('001-C DMR'!$A37=0,"",'001-C DMR'!$A37)</f>
        <v>Thu</v>
      </c>
      <c r="B31" s="70">
        <f>IF('001-C DMR'!$B37=0,"",'001-C DMR'!$B37)</f>
        <v>43699</v>
      </c>
      <c r="C31">
        <f>IF('001-C DMR'!EI37=0,"",'001-C DMR'!EI37)</f>
        <v>45.042499999999997</v>
      </c>
      <c r="D31">
        <f>IF('001-C DMR'!EJ37=0,"",'001-C DMR'!EJ37)</f>
        <v>79.455399999999997</v>
      </c>
      <c r="E31">
        <f>IF('001-C DMR'!EK37=0,"",'001-C DMR'!EK37)</f>
        <v>124.49789999999999</v>
      </c>
      <c r="F31" s="45">
        <f t="array" ref="F31">_xlfn.IFNA(INDEX('DMR 001C NEW'!$A$3:$O$999,MATCH($A$1&amp;$F$4&amp;$B31,('DMR 001C NEW'!$E$3:$E$1112&amp;'DMR 001C NEW'!$B$3:$B$1112&amp;'DMR 001C NEW'!$A$3:$A$1112),0),MATCH('E.Coli Calculations'!$F$5,'DMR 001C NEW'!$A$2:$O$2,0)),"")</f>
        <v>178</v>
      </c>
      <c r="G31" s="45" t="str">
        <f t="array" ref="G31">_xlfn.IFNA(INDEX('DMR 001C NEW'!$A$3:$O$999,MATCH($A$1&amp;$F$4&amp;$B31,('DMR 001C NEW'!$E$3:$E$1112&amp;'DMR 001C NEW'!$B$3:$B$1112&amp;'DMR 001C NEW'!$A$3:$A$1112),0),MATCH('E.Coli Calculations'!$G$5,'DMR 001C NEW'!$A$2:$O$2,0)),"")</f>
        <v>AE70125</v>
      </c>
      <c r="H31" s="46">
        <f t="array" ref="H31">_xlfn.IFNA(INDEX('DMR 001C NEW'!$A$3:$O$9999,MATCH($F$4&amp;$B31&amp;$H$5&amp;$G31,('DMR 001C NEW'!$B$3:$B$1112&amp;'DMR 001C NEW'!$A$3:$A$1112&amp;'DMR 001C NEW'!$E$3:$E$1112&amp;'DMR 001C NEW'!$M$3:$M$1054),0),MATCH($F$5,'DMR 001C NEW'!$A$2:$O$2,0)),"")</f>
        <v>38.979999999999997</v>
      </c>
      <c r="I31" s="45">
        <f t="array" ref="I31">_xlfn.IFNA(INDEX('DMR 001C NEW'!$A$3:$O$9999,MATCH($A$1&amp;$I$4&amp;$B31,('DMR 001C NEW'!$E$3:$E$9018&amp;'DMR 001C NEW'!$B$3:$B$9018&amp;'DMR 001C NEW'!$A$3:$A$9018),0),MATCH('E.Coli Calculations'!$F$5,'DMR 001C NEW'!$A$2:$O$2,0)),"")</f>
        <v>184</v>
      </c>
      <c r="J31" s="45" t="str">
        <f t="array" ref="J31">_xlfn.IFNA(INDEX('DMR 001C NEW'!$A$3:$O$9999,MATCH($A$1&amp;$I$4&amp;$B31,('DMR 001C NEW'!$E$3:$E$9018&amp;'DMR 001C NEW'!$B$3:$B$9018&amp;'DMR 001C NEW'!$A$3:$A$9018),0),MATCH('E.Coli Calculations'!$J$5,'DMR 001C NEW'!$A$2:$O$2,0)),"")</f>
        <v>AE70126</v>
      </c>
      <c r="K31" s="46">
        <f t="array" ref="K31">_xlfn.IFNA(INDEX('DMR 001C NEW'!$A$3:$O$9999,MATCH($I$4&amp;$B31&amp;$H$5&amp;$J31,('DMR 001C NEW'!$B$3:$B$9018&amp;'DMR 001C NEW'!$A$3:$A$9018&amp;'DMR 001C NEW'!$E$3:$E$9018&amp;'DMR 001C NEW'!$M$3:$M$8960),0),MATCH($F$5,'DMR 001C NEW'!$A$2:$O$2,0)),"")</f>
        <v>86.48</v>
      </c>
      <c r="L31" s="43">
        <f t="shared" si="0"/>
        <v>2.2504200023088941</v>
      </c>
      <c r="M31" s="43">
        <f t="shared" si="1"/>
        <v>2.2648178230095364</v>
      </c>
      <c r="N31" s="43">
        <f t="shared" si="2"/>
        <v>87.72137169000068</v>
      </c>
      <c r="O31" s="43">
        <f t="shared" si="3"/>
        <v>195.86144533386471</v>
      </c>
      <c r="P31" s="43">
        <f t="shared" si="7"/>
        <v>283.5828170238654</v>
      </c>
      <c r="Q31" s="43">
        <f t="shared" si="5"/>
        <v>2.2603444685466711</v>
      </c>
      <c r="R31" s="43">
        <f t="shared" si="6"/>
        <v>182.11447599089587</v>
      </c>
      <c r="S31" t="str">
        <f t="shared" si="9"/>
        <v/>
      </c>
    </row>
    <row r="32" spans="1:19" x14ac:dyDescent="0.25">
      <c r="A32" t="str">
        <f>IF('001-C DMR'!$A38=0,"",'001-C DMR'!$A38)</f>
        <v>Fri</v>
      </c>
      <c r="B32" s="70">
        <f>IF('001-C DMR'!$B38=0,"",'001-C DMR'!$B38)</f>
        <v>43700</v>
      </c>
      <c r="C32">
        <f>IF('001-C DMR'!EI38=0,"",'001-C DMR'!EI38)</f>
        <v>37.699800000000003</v>
      </c>
      <c r="D32">
        <f>IF('001-C DMR'!EJ38=0,"",'001-C DMR'!EJ38)</f>
        <v>83.436000000000007</v>
      </c>
      <c r="E32">
        <f>IF('001-C DMR'!EK38=0,"",'001-C DMR'!EK38)</f>
        <v>121.13580000000002</v>
      </c>
      <c r="F32" s="45">
        <f t="array" ref="F32">_xlfn.IFNA(INDEX('DMR 001C NEW'!$A$3:$O$999,MATCH($A$1&amp;$F$4&amp;$B32,('DMR 001C NEW'!$E$3:$E$1112&amp;'DMR 001C NEW'!$B$3:$B$1112&amp;'DMR 001C NEW'!$A$3:$A$1112),0),MATCH('E.Coli Calculations'!$F$5,'DMR 001C NEW'!$A$2:$O$2,0)),"")</f>
        <v>111</v>
      </c>
      <c r="G32" s="45" t="str">
        <f t="array" ref="G32">_xlfn.IFNA(INDEX('DMR 001C NEW'!$A$3:$O$999,MATCH($A$1&amp;$F$4&amp;$B32,('DMR 001C NEW'!$E$3:$E$1112&amp;'DMR 001C NEW'!$B$3:$B$1112&amp;'DMR 001C NEW'!$A$3:$A$1112),0),MATCH('E.Coli Calculations'!$G$5,'DMR 001C NEW'!$A$2:$O$2,0)),"")</f>
        <v>AE70201</v>
      </c>
      <c r="H32" s="46">
        <f t="array" ref="H32">_xlfn.IFNA(INDEX('DMR 001C NEW'!$A$3:$O$9999,MATCH($F$4&amp;$B32&amp;$H$5&amp;$G32,('DMR 001C NEW'!$B$3:$B$1112&amp;'DMR 001C NEW'!$A$3:$A$1112&amp;'DMR 001C NEW'!$E$3:$E$1112&amp;'DMR 001C NEW'!$M$3:$M$1054),0),MATCH($F$5,'DMR 001C NEW'!$A$2:$O$2,0)),"")</f>
        <v>15.68</v>
      </c>
      <c r="I32" s="45">
        <f t="array" ref="I32">_xlfn.IFNA(INDEX('DMR 001C NEW'!$A$3:$O$9999,MATCH($A$1&amp;$I$4&amp;$B32,('DMR 001C NEW'!$E$3:$E$9018&amp;'DMR 001C NEW'!$B$3:$B$9018&amp;'DMR 001C NEW'!$A$3:$A$9018),0),MATCH('E.Coli Calculations'!$F$5,'DMR 001C NEW'!$A$2:$O$2,0)),"")</f>
        <v>36</v>
      </c>
      <c r="J32" s="45" t="str">
        <f t="array" ref="J32">_xlfn.IFNA(INDEX('DMR 001C NEW'!$A$3:$O$9999,MATCH($A$1&amp;$I$4&amp;$B32,('DMR 001C NEW'!$E$3:$E$9018&amp;'DMR 001C NEW'!$B$3:$B$9018&amp;'DMR 001C NEW'!$A$3:$A$9018),0),MATCH('E.Coli Calculations'!$J$5,'DMR 001C NEW'!$A$2:$O$2,0)),"")</f>
        <v>AE70202</v>
      </c>
      <c r="K32" s="46">
        <f t="array" ref="K32">_xlfn.IFNA(INDEX('DMR 001C NEW'!$A$3:$O$9999,MATCH($I$4&amp;$B32&amp;$H$5&amp;$J32,('DMR 001C NEW'!$B$3:$B$9018&amp;'DMR 001C NEW'!$A$3:$A$9018&amp;'DMR 001C NEW'!$E$3:$E$9018&amp;'DMR 001C NEW'!$M$3:$M$8960),0),MATCH($F$5,'DMR 001C NEW'!$A$2:$O$2,0)),"")</f>
        <v>29.26</v>
      </c>
      <c r="L32" s="43">
        <f t="shared" si="0"/>
        <v>2.0453229787866576</v>
      </c>
      <c r="M32" s="43">
        <f t="shared" si="1"/>
        <v>1.5563025007672873</v>
      </c>
      <c r="N32" s="43">
        <f t="shared" si="2"/>
        <v>32.070664307374791</v>
      </c>
      <c r="O32" s="43">
        <f t="shared" si="3"/>
        <v>45.537411172450831</v>
      </c>
      <c r="P32" s="43">
        <f t="shared" si="7"/>
        <v>77.608075479825629</v>
      </c>
      <c r="Q32" s="43">
        <f t="shared" si="5"/>
        <v>1.7269264681759153</v>
      </c>
      <c r="R32" s="43">
        <f t="shared" si="6"/>
        <v>53.324460245018301</v>
      </c>
      <c r="S32" t="str">
        <f t="shared" si="9"/>
        <v/>
      </c>
    </row>
    <row r="33" spans="1:170" x14ac:dyDescent="0.25">
      <c r="A33" t="str">
        <f>IF('001-C DMR'!$A39=0,"",'001-C DMR'!$A39)</f>
        <v>Sat</v>
      </c>
      <c r="B33" s="70">
        <f>IF('001-C DMR'!$B39=0,"",'001-C DMR'!$B39)</f>
        <v>43701</v>
      </c>
      <c r="C33">
        <f>IF('001-C DMR'!EI39=0,"",'001-C DMR'!EI39)</f>
        <v>38.890599999999999</v>
      </c>
      <c r="D33">
        <f>IF('001-C DMR'!EJ39=0,"",'001-C DMR'!EJ39)</f>
        <v>78.685500000000005</v>
      </c>
      <c r="E33">
        <f>IF('001-C DMR'!EK39=0,"",'001-C DMR'!EK39)</f>
        <v>117.5761</v>
      </c>
      <c r="F33" s="45">
        <f t="array" ref="F33">_xlfn.IFNA(INDEX('DMR 001C NEW'!$A$3:$O$999,MATCH($A$1&amp;$F$4&amp;$B33,('DMR 001C NEW'!$E$3:$E$1112&amp;'DMR 001C NEW'!$B$3:$B$1112&amp;'DMR 001C NEW'!$A$3:$A$1112),0),MATCH('E.Coli Calculations'!$F$5,'DMR 001C NEW'!$A$2:$O$2,0)),"")</f>
        <v>101</v>
      </c>
      <c r="G33" s="45" t="str">
        <f t="array" ref="G33">_xlfn.IFNA(INDEX('DMR 001C NEW'!$A$3:$O$999,MATCH($A$1&amp;$F$4&amp;$B33,('DMR 001C NEW'!$E$3:$E$1112&amp;'DMR 001C NEW'!$B$3:$B$1112&amp;'DMR 001C NEW'!$A$3:$A$1112),0),MATCH('E.Coli Calculations'!$G$5,'DMR 001C NEW'!$A$2:$O$2,0)),"")</f>
        <v>AE70302</v>
      </c>
      <c r="H33" s="46">
        <f t="array" ref="H33">_xlfn.IFNA(INDEX('DMR 001C NEW'!$A$3:$O$9999,MATCH($F$4&amp;$B33&amp;$H$5&amp;$G33,('DMR 001C NEW'!$B$3:$B$1112&amp;'DMR 001C NEW'!$A$3:$A$1112&amp;'DMR 001C NEW'!$E$3:$E$1112&amp;'DMR 001C NEW'!$M$3:$M$1054),0),MATCH($F$5,'DMR 001C NEW'!$A$2:$O$2,0)),"")</f>
        <v>16.190000000000001</v>
      </c>
      <c r="I33" s="45">
        <f t="array" ref="I33">_xlfn.IFNA(INDEX('DMR 001C NEW'!$A$3:$O$9999,MATCH($A$1&amp;$I$4&amp;$B33,('DMR 001C NEW'!$E$3:$E$9018&amp;'DMR 001C NEW'!$B$3:$B$9018&amp;'DMR 001C NEW'!$A$3:$A$9018),0),MATCH('E.Coli Calculations'!$F$5,'DMR 001C NEW'!$A$2:$O$2,0)),"")</f>
        <v>51</v>
      </c>
      <c r="J33" s="45" t="str">
        <f t="array" ref="J33">_xlfn.IFNA(INDEX('DMR 001C NEW'!$A$3:$O$9999,MATCH($A$1&amp;$I$4&amp;$B33,('DMR 001C NEW'!$E$3:$E$9018&amp;'DMR 001C NEW'!$B$3:$B$9018&amp;'DMR 001C NEW'!$A$3:$A$9018),0),MATCH('E.Coli Calculations'!$J$5,'DMR 001C NEW'!$A$2:$O$2,0)),"")</f>
        <v>AE70303</v>
      </c>
      <c r="K33" s="46">
        <f t="array" ref="K33">_xlfn.IFNA(INDEX('DMR 001C NEW'!$A$3:$O$9999,MATCH($I$4&amp;$B33&amp;$H$5&amp;$J33,('DMR 001C NEW'!$B$3:$B$9018&amp;'DMR 001C NEW'!$A$3:$A$9018&amp;'DMR 001C NEW'!$E$3:$E$9018&amp;'DMR 001C NEW'!$M$3:$M$8960),0),MATCH($F$5,'DMR 001C NEW'!$A$2:$O$2,0)),"")</f>
        <v>26.32</v>
      </c>
      <c r="L33" s="43">
        <f t="shared" si="0"/>
        <v>2.0043213737826426</v>
      </c>
      <c r="M33" s="43">
        <f t="shared" si="1"/>
        <v>1.7075701760979363</v>
      </c>
      <c r="N33" s="43">
        <f t="shared" si="2"/>
        <v>32.44996304154099</v>
      </c>
      <c r="O33" s="43">
        <f t="shared" si="3"/>
        <v>44.943247034897681</v>
      </c>
      <c r="P33" s="43">
        <f t="shared" si="7"/>
        <v>77.393210076438663</v>
      </c>
      <c r="Q33" s="43">
        <f t="shared" si="5"/>
        <v>1.8205883339552729</v>
      </c>
      <c r="R33" s="43">
        <f t="shared" si="6"/>
        <v>66.158908867105893</v>
      </c>
      <c r="S33">
        <f t="shared" si="9"/>
        <v>80.245927991162361</v>
      </c>
    </row>
    <row r="34" spans="1:170" x14ac:dyDescent="0.25">
      <c r="A34" t="str">
        <f>IF('001-C DMR'!$A40=0,"",'001-C DMR'!$A40)</f>
        <v>Sun</v>
      </c>
      <c r="B34" s="70">
        <f>IF('001-C DMR'!$B40=0,"",'001-C DMR'!$B40)</f>
        <v>43702</v>
      </c>
      <c r="C34">
        <f>IF('001-C DMR'!EI40=0,"",'001-C DMR'!EI40)</f>
        <v>41.2331</v>
      </c>
      <c r="D34">
        <f>IF('001-C DMR'!EJ40=0,"",'001-C DMR'!EJ40)</f>
        <v>81.317899999999995</v>
      </c>
      <c r="E34">
        <f>IF('001-C DMR'!EK40=0,"",'001-C DMR'!EK40)</f>
        <v>122.55099999999999</v>
      </c>
      <c r="F34" s="45">
        <f t="array" ref="F34">_xlfn.IFNA(INDEX('DMR 001C NEW'!$A$3:$O$999,MATCH($A$1&amp;$F$4&amp;$B34,('DMR 001C NEW'!$E$3:$E$1112&amp;'DMR 001C NEW'!$B$3:$B$1112&amp;'DMR 001C NEW'!$A$3:$A$1112),0),MATCH('E.Coli Calculations'!$F$5,'DMR 001C NEW'!$A$2:$O$2,0)),"")</f>
        <v>46</v>
      </c>
      <c r="G34" s="45" t="str">
        <f t="array" ref="G34">_xlfn.IFNA(INDEX('DMR 001C NEW'!$A$3:$O$999,MATCH($A$1&amp;$F$4&amp;$B34,('DMR 001C NEW'!$E$3:$E$1112&amp;'DMR 001C NEW'!$B$3:$B$1112&amp;'DMR 001C NEW'!$A$3:$A$1112),0),MATCH('E.Coli Calculations'!$G$5,'DMR 001C NEW'!$A$2:$O$2,0)),"")</f>
        <v>AE70377</v>
      </c>
      <c r="H34" s="46">
        <f t="array" ref="H34">_xlfn.IFNA(INDEX('DMR 001C NEW'!$A$3:$O$9999,MATCH($F$4&amp;$B34&amp;$H$5&amp;$G34,('DMR 001C NEW'!$B$3:$B$1112&amp;'DMR 001C NEW'!$A$3:$A$1112&amp;'DMR 001C NEW'!$E$3:$E$1112&amp;'DMR 001C NEW'!$M$3:$M$1054),0),MATCH($F$5,'DMR 001C NEW'!$A$2:$O$2,0)),"")</f>
        <v>18.329999999999998</v>
      </c>
      <c r="I34" s="45">
        <f t="array" ref="I34">_xlfn.IFNA(INDEX('DMR 001C NEW'!$A$3:$O$9999,MATCH($A$1&amp;$I$4&amp;$B34,('DMR 001C NEW'!$E$3:$E$9018&amp;'DMR 001C NEW'!$B$3:$B$9018&amp;'DMR 001C NEW'!$A$3:$A$9018),0),MATCH('E.Coli Calculations'!$F$5,'DMR 001C NEW'!$A$2:$O$2,0)),"")</f>
        <v>144</v>
      </c>
      <c r="J34" s="45" t="str">
        <f t="array" ref="J34">_xlfn.IFNA(INDEX('DMR 001C NEW'!$A$3:$O$9999,MATCH($A$1&amp;$I$4&amp;$B34,('DMR 001C NEW'!$E$3:$E$9018&amp;'DMR 001C NEW'!$B$3:$B$9018&amp;'DMR 001C NEW'!$A$3:$A$9018),0),MATCH('E.Coli Calculations'!$J$5,'DMR 001C NEW'!$A$2:$O$2,0)),"")</f>
        <v>AE70378</v>
      </c>
      <c r="K34" s="46">
        <f t="array" ref="K34">_xlfn.IFNA(INDEX('DMR 001C NEW'!$A$3:$O$9999,MATCH($I$4&amp;$B34&amp;$H$5&amp;$J34,('DMR 001C NEW'!$B$3:$B$9018&amp;'DMR 001C NEW'!$A$3:$A$9018&amp;'DMR 001C NEW'!$E$3:$E$9018&amp;'DMR 001C NEW'!$M$3:$M$8960),0),MATCH($F$5,'DMR 001C NEW'!$A$2:$O$2,0)),"")</f>
        <v>33.700000000000003</v>
      </c>
      <c r="L34" s="43">
        <f t="shared" si="0"/>
        <v>1.6627578316815741</v>
      </c>
      <c r="M34" s="43">
        <f t="shared" si="1"/>
        <v>2.1583624920952498</v>
      </c>
      <c r="N34" s="43">
        <f t="shared" si="2"/>
        <v>30.478351054723252</v>
      </c>
      <c r="O34" s="43">
        <f t="shared" si="3"/>
        <v>72.73681598360993</v>
      </c>
      <c r="P34" s="43">
        <f t="shared" si="7"/>
        <v>103.21516703833318</v>
      </c>
      <c r="Q34" s="43">
        <f t="shared" si="5"/>
        <v>1.9837625800179353</v>
      </c>
      <c r="R34" s="43">
        <f t="shared" si="6"/>
        <v>96.330226184952522</v>
      </c>
      <c r="S34" t="str">
        <f t="shared" si="9"/>
        <v/>
      </c>
    </row>
    <row r="35" spans="1:170" x14ac:dyDescent="0.25">
      <c r="A35" t="str">
        <f>IF('001-C DMR'!$A41=0,"",'001-C DMR'!$A41)</f>
        <v>Mon</v>
      </c>
      <c r="B35" s="70">
        <f>IF('001-C DMR'!$B41=0,"",'001-C DMR'!$B41)</f>
        <v>43703</v>
      </c>
      <c r="C35">
        <f>IF('001-C DMR'!EI41=0,"",'001-C DMR'!EI41)</f>
        <v>45.248399999999997</v>
      </c>
      <c r="D35">
        <f>IF('001-C DMR'!EJ41=0,"",'001-C DMR'!EJ41)</f>
        <v>74.948700000000002</v>
      </c>
      <c r="E35">
        <f>IF('001-C DMR'!EK41=0,"",'001-C DMR'!EK41)</f>
        <v>120.19710000000001</v>
      </c>
      <c r="F35" s="45">
        <f t="array" ref="F35">_xlfn.IFNA(INDEX('DMR 001C NEW'!$A$3:$O$999,MATCH($A$1&amp;$F$4&amp;$B35,('DMR 001C NEW'!$E$3:$E$1112&amp;'DMR 001C NEW'!$B$3:$B$1112&amp;'DMR 001C NEW'!$A$3:$A$1112),0),MATCH('E.Coli Calculations'!$F$5,'DMR 001C NEW'!$A$2:$O$2,0)),"")</f>
        <v>45</v>
      </c>
      <c r="G35" s="45" t="str">
        <f t="array" ref="G35">_xlfn.IFNA(INDEX('DMR 001C NEW'!$A$3:$O$999,MATCH($A$1&amp;$F$4&amp;$B35,('DMR 001C NEW'!$E$3:$E$1112&amp;'DMR 001C NEW'!$B$3:$B$1112&amp;'DMR 001C NEW'!$A$3:$A$1112),0),MATCH('E.Coli Calculations'!$G$5,'DMR 001C NEW'!$A$2:$O$2,0)),"")</f>
        <v>AE70445</v>
      </c>
      <c r="H35" s="46">
        <f t="array" ref="H35">_xlfn.IFNA(INDEX('DMR 001C NEW'!$A$3:$O$9999,MATCH($F$4&amp;$B35&amp;$H$5&amp;$G35,('DMR 001C NEW'!$B$3:$B$1112&amp;'DMR 001C NEW'!$A$3:$A$1112&amp;'DMR 001C NEW'!$E$3:$E$1112&amp;'DMR 001C NEW'!$M$3:$M$1054),0),MATCH($F$5,'DMR 001C NEW'!$A$2:$O$2,0)),"")</f>
        <v>39.43</v>
      </c>
      <c r="I35" s="45">
        <f t="array" ref="I35">_xlfn.IFNA(INDEX('DMR 001C NEW'!$A$3:$O$9999,MATCH($A$1&amp;$I$4&amp;$B35,('DMR 001C NEW'!$E$3:$E$9018&amp;'DMR 001C NEW'!$B$3:$B$9018&amp;'DMR 001C NEW'!$A$3:$A$9018),0),MATCH('E.Coli Calculations'!$F$5,'DMR 001C NEW'!$A$2:$O$2,0)),"")</f>
        <v>155</v>
      </c>
      <c r="J35" s="45" t="str">
        <f t="array" ref="J35">_xlfn.IFNA(INDEX('DMR 001C NEW'!$A$3:$O$9999,MATCH($A$1&amp;$I$4&amp;$B35,('DMR 001C NEW'!$E$3:$E$9018&amp;'DMR 001C NEW'!$B$3:$B$9018&amp;'DMR 001C NEW'!$A$3:$A$9018),0),MATCH('E.Coli Calculations'!$J$5,'DMR 001C NEW'!$A$2:$O$2,0)),"")</f>
        <v>AE70446</v>
      </c>
      <c r="K35" s="46">
        <f t="array" ref="K35">_xlfn.IFNA(INDEX('DMR 001C NEW'!$A$3:$O$9999,MATCH($I$4&amp;$B35&amp;$H$5&amp;$J35,('DMR 001C NEW'!$B$3:$B$9018&amp;'DMR 001C NEW'!$A$3:$A$9018&amp;'DMR 001C NEW'!$E$3:$E$9018&amp;'DMR 001C NEW'!$M$3:$M$8960),0),MATCH($F$5,'DMR 001C NEW'!$A$2:$O$2,0)),"")</f>
        <v>82.19</v>
      </c>
      <c r="L35" s="43">
        <f t="shared" si="0"/>
        <v>1.6532125137753437</v>
      </c>
      <c r="M35" s="43">
        <f t="shared" si="1"/>
        <v>2.1903316981702914</v>
      </c>
      <c r="N35" s="43">
        <f t="shared" si="2"/>
        <v>65.186169418161796</v>
      </c>
      <c r="O35" s="43">
        <f t="shared" si="3"/>
        <v>180.02336227261625</v>
      </c>
      <c r="P35" s="43">
        <f t="shared" si="7"/>
        <v>245.20953169077805</v>
      </c>
      <c r="Q35" s="43">
        <f t="shared" si="5"/>
        <v>2.016194143157195</v>
      </c>
      <c r="R35" s="43">
        <f t="shared" si="6"/>
        <v>103.79923270118194</v>
      </c>
      <c r="S35" t="str">
        <f t="shared" ref="S35:S40" si="10">IF(A35="Sat",PRODUCT(R29:R35)^(1/7),"")</f>
        <v/>
      </c>
    </row>
    <row r="36" spans="1:170" x14ac:dyDescent="0.25">
      <c r="A36" t="str">
        <f>IF('001-C DMR'!$A42=0,"",'001-C DMR'!$A42)</f>
        <v>Tue</v>
      </c>
      <c r="B36" s="70">
        <f>IF('001-C DMR'!$B42=0,"",'001-C DMR'!$B42)</f>
        <v>43704</v>
      </c>
      <c r="C36">
        <f>IF('001-C DMR'!EI42=0,"",'001-C DMR'!EI42)</f>
        <v>41.087200000000003</v>
      </c>
      <c r="D36">
        <f>IF('001-C DMR'!EJ42=0,"",'001-C DMR'!EJ42)</f>
        <v>75.825999999999993</v>
      </c>
      <c r="E36">
        <f>IF('001-C DMR'!EK42=0,"",'001-C DMR'!EK42)</f>
        <v>116.91319999999999</v>
      </c>
      <c r="F36" s="45">
        <f t="array" ref="F36">_xlfn.IFNA(INDEX('DMR 001C NEW'!$A$3:$O$999,MATCH($A$1&amp;$F$4&amp;$B36,('DMR 001C NEW'!$E$3:$E$1112&amp;'DMR 001C NEW'!$B$3:$B$1112&amp;'DMR 001C NEW'!$A$3:$A$1112),0),MATCH('E.Coli Calculations'!$F$5,'DMR 001C NEW'!$A$2:$O$2,0)),"")</f>
        <v>127</v>
      </c>
      <c r="G36" s="45" t="str">
        <f t="array" ref="G36">_xlfn.IFNA(INDEX('DMR 001C NEW'!$A$3:$O$999,MATCH($A$1&amp;$F$4&amp;$B36,('DMR 001C NEW'!$E$3:$E$1112&amp;'DMR 001C NEW'!$B$3:$B$1112&amp;'DMR 001C NEW'!$A$3:$A$1112),0),MATCH('E.Coli Calculations'!$G$5,'DMR 001C NEW'!$A$2:$O$2,0)),"")</f>
        <v>AE70559</v>
      </c>
      <c r="H36" s="46">
        <f t="array" ref="H36">_xlfn.IFNA(INDEX('DMR 001C NEW'!$A$3:$O$9999,MATCH($F$4&amp;$B36&amp;$H$5&amp;$G36,('DMR 001C NEW'!$B$3:$B$1112&amp;'DMR 001C NEW'!$A$3:$A$1112&amp;'DMR 001C NEW'!$E$3:$E$1112&amp;'DMR 001C NEW'!$M$3:$M$1054),0),MATCH($F$5,'DMR 001C NEW'!$A$2:$O$2,0)),"")</f>
        <v>20.74</v>
      </c>
      <c r="I36" s="45">
        <f t="array" ref="I36">_xlfn.IFNA(INDEX('DMR 001C NEW'!$A$3:$O$9999,MATCH($A$1&amp;$I$4&amp;$B36,('DMR 001C NEW'!$E$3:$E$9018&amp;'DMR 001C NEW'!$B$3:$B$9018&amp;'DMR 001C NEW'!$A$3:$A$9018),0),MATCH('E.Coli Calculations'!$F$5,'DMR 001C NEW'!$A$2:$O$2,0)),"")</f>
        <v>134</v>
      </c>
      <c r="J36" s="45" t="str">
        <f t="array" ref="J36">_xlfn.IFNA(INDEX('DMR 001C NEW'!$A$3:$O$9999,MATCH($A$1&amp;$I$4&amp;$B36,('DMR 001C NEW'!$E$3:$E$9018&amp;'DMR 001C NEW'!$B$3:$B$9018&amp;'DMR 001C NEW'!$A$3:$A$9018),0),MATCH('E.Coli Calculations'!$J$5,'DMR 001C NEW'!$A$2:$O$2,0)),"")</f>
        <v>AE70560</v>
      </c>
      <c r="K36" s="46">
        <f t="array" ref="K36">_xlfn.IFNA(INDEX('DMR 001C NEW'!$A$3:$O$9999,MATCH($I$4&amp;$B36&amp;$H$5&amp;$J36,('DMR 001C NEW'!$B$3:$B$9018&amp;'DMR 001C NEW'!$A$3:$A$9018&amp;'DMR 001C NEW'!$E$3:$E$9018&amp;'DMR 001C NEW'!$M$3:$M$8960),0),MATCH($F$5,'DMR 001C NEW'!$A$2:$O$2,0)),"")</f>
        <v>25.54</v>
      </c>
      <c r="L36" s="43">
        <f t="shared" si="0"/>
        <v>2.1038037209559568</v>
      </c>
      <c r="M36" s="43">
        <f t="shared" si="1"/>
        <v>2.1271047983648077</v>
      </c>
      <c r="N36" s="43">
        <f t="shared" si="2"/>
        <v>43.632889172626541</v>
      </c>
      <c r="O36" s="43">
        <f t="shared" si="3"/>
        <v>54.32625655023719</v>
      </c>
      <c r="P36" s="43">
        <f t="shared" si="7"/>
        <v>97.959145722863724</v>
      </c>
      <c r="Q36" s="43">
        <f t="shared" si="5"/>
        <v>2.116662612853581</v>
      </c>
      <c r="R36" s="43">
        <f t="shared" si="6"/>
        <v>130.8165263462144</v>
      </c>
      <c r="S36" t="str">
        <f t="shared" si="10"/>
        <v/>
      </c>
    </row>
    <row r="37" spans="1:170" x14ac:dyDescent="0.25">
      <c r="A37" t="str">
        <f>IF('001-C DMR'!$A43=0,"",'001-C DMR'!$A43)</f>
        <v>Wed</v>
      </c>
      <c r="B37" s="70">
        <f>IF('001-C DMR'!$B43=0,"",'001-C DMR'!$B43)</f>
        <v>43705</v>
      </c>
      <c r="C37">
        <f>IF('001-C DMR'!EI43=0,"",'001-C DMR'!EI43)</f>
        <v>37.927</v>
      </c>
      <c r="D37">
        <f>IF('001-C DMR'!EJ43=0,"",'001-C DMR'!EJ43)</f>
        <v>78.948700000000002</v>
      </c>
      <c r="E37">
        <f>IF('001-C DMR'!EK43=0,"",'001-C DMR'!EK43)</f>
        <v>116.87569999999999</v>
      </c>
      <c r="F37" s="45">
        <f t="array" ref="F37">_xlfn.IFNA(INDEX('DMR 001C NEW'!$A$3:$O$999,MATCH($A$1&amp;$F$4&amp;$B37,('DMR 001C NEW'!$E$3:$E$1112&amp;'DMR 001C NEW'!$B$3:$B$1112&amp;'DMR 001C NEW'!$A$3:$A$1112),0),MATCH('E.Coli Calculations'!$F$5,'DMR 001C NEW'!$A$2:$O$2,0)),"")</f>
        <v>84</v>
      </c>
      <c r="G37" s="45" t="str">
        <f t="array" ref="G37">_xlfn.IFNA(INDEX('DMR 001C NEW'!$A$3:$O$999,MATCH($A$1&amp;$F$4&amp;$B37,('DMR 001C NEW'!$E$3:$E$1112&amp;'DMR 001C NEW'!$B$3:$B$1112&amp;'DMR 001C NEW'!$A$3:$A$1112),0),MATCH('E.Coli Calculations'!$G$5,'DMR 001C NEW'!$A$2:$O$2,0)),"")</f>
        <v>AE70703</v>
      </c>
      <c r="H37" s="46">
        <f t="array" ref="H37">_xlfn.IFNA(INDEX('DMR 001C NEW'!$A$3:$O$9999,MATCH($F$4&amp;$B37&amp;$H$5&amp;$G37,('DMR 001C NEW'!$B$3:$B$1112&amp;'DMR 001C NEW'!$A$3:$A$1112&amp;'DMR 001C NEW'!$E$3:$E$1112&amp;'DMR 001C NEW'!$M$3:$M$1054),0),MATCH($F$5,'DMR 001C NEW'!$A$2:$O$2,0)),"")</f>
        <v>30.81</v>
      </c>
      <c r="I37" s="45">
        <f t="array" ref="I37">_xlfn.IFNA(INDEX('DMR 001C NEW'!$A$3:$O$9999,MATCH($A$1&amp;$I$4&amp;$B37,('DMR 001C NEW'!$E$3:$E$9018&amp;'DMR 001C NEW'!$B$3:$B$9018&amp;'DMR 001C NEW'!$A$3:$A$9018),0),MATCH('E.Coli Calculations'!$F$5,'DMR 001C NEW'!$A$2:$O$2,0)),"")</f>
        <v>248</v>
      </c>
      <c r="J37" s="45" t="str">
        <f t="array" ref="J37">_xlfn.IFNA(INDEX('DMR 001C NEW'!$A$3:$O$9999,MATCH($A$1&amp;$I$4&amp;$B37,('DMR 001C NEW'!$E$3:$E$9018&amp;'DMR 001C NEW'!$B$3:$B$9018&amp;'DMR 001C NEW'!$A$3:$A$9018),0),MATCH('E.Coli Calculations'!$J$5,'DMR 001C NEW'!$A$2:$O$2,0)),"")</f>
        <v>AE70704</v>
      </c>
      <c r="K37" s="46">
        <f t="array" ref="K37">_xlfn.IFNA(INDEX('DMR 001C NEW'!$A$3:$O$9999,MATCH($I$4&amp;$B37&amp;$H$5&amp;$J37,('DMR 001C NEW'!$B$3:$B$9018&amp;'DMR 001C NEW'!$A$3:$A$9018&amp;'DMR 001C NEW'!$E$3:$E$9018&amp;'DMR 001C NEW'!$M$3:$M$8960),0),MATCH($F$5,'DMR 001C NEW'!$A$2:$O$2,0)),"")</f>
        <v>32.729999999999997</v>
      </c>
      <c r="L37" s="43">
        <f t="shared" si="0"/>
        <v>1.9242792860618816</v>
      </c>
      <c r="M37" s="43">
        <f t="shared" si="1"/>
        <v>2.3944516808262164</v>
      </c>
      <c r="N37" s="43">
        <f t="shared" si="2"/>
        <v>59.287044803566566</v>
      </c>
      <c r="O37" s="43">
        <f t="shared" si="3"/>
        <v>78.370403513442056</v>
      </c>
      <c r="P37" s="43">
        <f t="shared" si="7"/>
        <v>137.65744831700863</v>
      </c>
      <c r="Q37" s="43">
        <f t="shared" si="5"/>
        <v>2.1664691268021508</v>
      </c>
      <c r="R37" s="43">
        <f t="shared" si="6"/>
        <v>146.7131787493777</v>
      </c>
      <c r="S37" t="str">
        <f t="shared" si="10"/>
        <v/>
      </c>
    </row>
    <row r="38" spans="1:170" x14ac:dyDescent="0.25">
      <c r="A38" t="str">
        <f>IF('001-C DMR'!$A44=0,"",'001-C DMR'!$A44)</f>
        <v>Thu</v>
      </c>
      <c r="B38" s="70">
        <f>IF('001-C DMR'!$B44=0,"",'001-C DMR'!$B44)</f>
        <v>43706</v>
      </c>
      <c r="C38">
        <f>IF('001-C DMR'!EI44=0,"",'001-C DMR'!EI44)</f>
        <v>36.269799999999996</v>
      </c>
      <c r="D38">
        <f>IF('001-C DMR'!EJ44=0,"",'001-C DMR'!EJ44)</f>
        <v>81.897499999999994</v>
      </c>
      <c r="E38">
        <f>IF('001-C DMR'!EK44=0,"",'001-C DMR'!EK44)</f>
        <v>118.16729999999998</v>
      </c>
      <c r="F38" s="45">
        <f t="array" ref="F38">_xlfn.IFNA(INDEX('DMR 001C NEW'!$A$3:$O$999,MATCH($A$1&amp;$F$4&amp;$B38,('DMR 001C NEW'!$E$3:$E$1112&amp;'DMR 001C NEW'!$B$3:$B$1112&amp;'DMR 001C NEW'!$A$3:$A$1112),0),MATCH('E.Coli Calculations'!$F$5,'DMR 001C NEW'!$A$2:$O$2,0)),"")</f>
        <v>72</v>
      </c>
      <c r="G38" s="45" t="str">
        <f t="array" ref="G38">_xlfn.IFNA(INDEX('DMR 001C NEW'!$A$3:$O$999,MATCH($A$1&amp;$F$4&amp;$B38,('DMR 001C NEW'!$E$3:$E$1112&amp;'DMR 001C NEW'!$B$3:$B$1112&amp;'DMR 001C NEW'!$A$3:$A$1112),0),MATCH('E.Coli Calculations'!$G$5,'DMR 001C NEW'!$A$2:$O$2,0)),"")</f>
        <v>AE70856</v>
      </c>
      <c r="H38" s="46">
        <f t="array" ref="H38">_xlfn.IFNA(INDEX('DMR 001C NEW'!$A$3:$O$9999,MATCH($F$4&amp;$B38&amp;$H$5&amp;$G38,('DMR 001C NEW'!$B$3:$B$1112&amp;'DMR 001C NEW'!$A$3:$A$1112&amp;'DMR 001C NEW'!$E$3:$E$1112&amp;'DMR 001C NEW'!$M$3:$M$1054),0),MATCH($F$5,'DMR 001C NEW'!$A$2:$O$2,0)),"")</f>
        <v>35.43</v>
      </c>
      <c r="I38" s="45">
        <f t="array" ref="I38">_xlfn.IFNA(INDEX('DMR 001C NEW'!$A$3:$O$9999,MATCH($A$1&amp;$I$4&amp;$B38,('DMR 001C NEW'!$E$3:$E$9018&amp;'DMR 001C NEW'!$B$3:$B$9018&amp;'DMR 001C NEW'!$A$3:$A$9018),0),MATCH('E.Coli Calculations'!$F$5,'DMR 001C NEW'!$A$2:$O$2,0)),"")</f>
        <v>411</v>
      </c>
      <c r="J38" s="45" t="str">
        <f t="array" ref="J38">_xlfn.IFNA(INDEX('DMR 001C NEW'!$A$3:$O$9999,MATCH($A$1&amp;$I$4&amp;$B38,('DMR 001C NEW'!$E$3:$E$9018&amp;'DMR 001C NEW'!$B$3:$B$9018&amp;'DMR 001C NEW'!$A$3:$A$9018),0),MATCH('E.Coli Calculations'!$J$5,'DMR 001C NEW'!$A$2:$O$2,0)),"")</f>
        <v>AE70857</v>
      </c>
      <c r="K38" s="46">
        <f t="array" ref="K38">_xlfn.IFNA(INDEX('DMR 001C NEW'!$A$3:$O$9999,MATCH($I$4&amp;$B38&amp;$H$5&amp;$J38,('DMR 001C NEW'!$B$3:$B$9018&amp;'DMR 001C NEW'!$A$3:$A$9018&amp;'DMR 001C NEW'!$E$3:$E$9018&amp;'DMR 001C NEW'!$M$3:$M$8960),0),MATCH($F$5,'DMR 001C NEW'!$A$2:$O$2,0)),"")</f>
        <v>93.63</v>
      </c>
      <c r="L38" s="43">
        <f t="shared" si="0"/>
        <v>1.8573324964312685</v>
      </c>
      <c r="M38" s="43">
        <f t="shared" si="1"/>
        <v>2.6138418218760693</v>
      </c>
      <c r="N38" s="43">
        <f t="shared" si="2"/>
        <v>65.805290348559836</v>
      </c>
      <c r="O38" s="43">
        <f t="shared" si="3"/>
        <v>244.73400978225635</v>
      </c>
      <c r="P38" s="43">
        <f t="shared" si="7"/>
        <v>310.53930013081617</v>
      </c>
      <c r="Q38" s="43">
        <f t="shared" si="5"/>
        <v>2.4061622511298322</v>
      </c>
      <c r="R38" s="43">
        <f t="shared" si="6"/>
        <v>254.77819185693642</v>
      </c>
      <c r="S38" t="str">
        <f t="shared" si="10"/>
        <v/>
      </c>
    </row>
    <row r="39" spans="1:170" x14ac:dyDescent="0.25">
      <c r="A39" t="str">
        <f>IF('001-C DMR'!$A45=0,"",'001-C DMR'!$A45)</f>
        <v>Fri</v>
      </c>
      <c r="B39" s="70">
        <f>IF('001-C DMR'!$B45=0,"",'001-C DMR'!$B45)</f>
        <v>43707</v>
      </c>
      <c r="C39">
        <f>IF('001-C DMR'!EI45=0,"",'001-C DMR'!EI45)</f>
        <v>34.502099999999999</v>
      </c>
      <c r="D39">
        <f>IF('001-C DMR'!EJ45=0,"",'001-C DMR'!EJ45)</f>
        <v>80.421800000000005</v>
      </c>
      <c r="E39">
        <f>IF('001-C DMR'!EK45=0,"",'001-C DMR'!EK45)</f>
        <v>114.9239</v>
      </c>
      <c r="F39" s="45">
        <f t="array" ref="F39">_xlfn.IFNA(INDEX('DMR 001C NEW'!$A$3:$O$999,MATCH($A$1&amp;$F$4&amp;$B39,('DMR 001C NEW'!$E$3:$E$1112&amp;'DMR 001C NEW'!$B$3:$B$1112&amp;'DMR 001C NEW'!$A$3:$A$1112),0),MATCH('E.Coli Calculations'!$F$5,'DMR 001C NEW'!$A$2:$O$2,0)),"")</f>
        <v>114</v>
      </c>
      <c r="G39" s="45" t="str">
        <f t="array" ref="G39">_xlfn.IFNA(INDEX('DMR 001C NEW'!$A$3:$O$999,MATCH($A$1&amp;$F$4&amp;$B39,('DMR 001C NEW'!$E$3:$E$1112&amp;'DMR 001C NEW'!$B$3:$B$1112&amp;'DMR 001C NEW'!$A$3:$A$1112),0),MATCH('E.Coli Calculations'!$G$5,'DMR 001C NEW'!$A$2:$O$2,0)),"")</f>
        <v>AE70955</v>
      </c>
      <c r="H39" s="46">
        <f t="array" ref="H39">_xlfn.IFNA(INDEX('DMR 001C NEW'!$A$3:$O$9999,MATCH($F$4&amp;$B39&amp;$H$5&amp;$G39,('DMR 001C NEW'!$B$3:$B$1112&amp;'DMR 001C NEW'!$A$3:$A$1112&amp;'DMR 001C NEW'!$E$3:$E$1112&amp;'DMR 001C NEW'!$M$3:$M$1054),0),MATCH($F$5,'DMR 001C NEW'!$A$2:$O$2,0)),"")</f>
        <v>15.17</v>
      </c>
      <c r="I39" s="45">
        <f t="array" ref="I39">_xlfn.IFNA(INDEX('DMR 001C NEW'!$A$3:$O$9999,MATCH($A$1&amp;$I$4&amp;$B39,('DMR 001C NEW'!$E$3:$E$9018&amp;'DMR 001C NEW'!$B$3:$B$9018&amp;'DMR 001C NEW'!$A$3:$A$9018),0),MATCH('E.Coli Calculations'!$F$5,'DMR 001C NEW'!$A$2:$O$2,0)),"")</f>
        <v>119</v>
      </c>
      <c r="J39" s="45" t="str">
        <f t="array" ref="J39">_xlfn.IFNA(INDEX('DMR 001C NEW'!$A$3:$O$9999,MATCH($A$1&amp;$I$4&amp;$B39,('DMR 001C NEW'!$E$3:$E$9018&amp;'DMR 001C NEW'!$B$3:$B$9018&amp;'DMR 001C NEW'!$A$3:$A$9018),0),MATCH('E.Coli Calculations'!$J$5,'DMR 001C NEW'!$A$2:$O$2,0)),"")</f>
        <v>AE70956</v>
      </c>
      <c r="K39" s="46">
        <f t="array" ref="K39">_xlfn.IFNA(INDEX('DMR 001C NEW'!$A$3:$O$9999,MATCH($I$4&amp;$B39&amp;$H$5&amp;$J39,('DMR 001C NEW'!$B$3:$B$9018&amp;'DMR 001C NEW'!$A$3:$A$9018&amp;'DMR 001C NEW'!$E$3:$E$9018&amp;'DMR 001C NEW'!$M$3:$M$8960),0),MATCH($F$5,'DMR 001C NEW'!$A$2:$O$2,0)),"")</f>
        <v>36.630000000000003</v>
      </c>
      <c r="L39" s="43">
        <f t="shared" si="0"/>
        <v>2.0569048513364727</v>
      </c>
      <c r="M39" s="43">
        <f t="shared" si="1"/>
        <v>2.0755469613925306</v>
      </c>
      <c r="N39" s="43">
        <f t="shared" si="2"/>
        <v>31.203246594774292</v>
      </c>
      <c r="O39" s="43">
        <f t="shared" si="3"/>
        <v>76.027285195808403</v>
      </c>
      <c r="P39" s="43">
        <f t="shared" si="7"/>
        <v>107.23053179058269</v>
      </c>
      <c r="Q39" s="43">
        <f t="shared" si="5"/>
        <v>2.070087486304685</v>
      </c>
      <c r="R39" s="43">
        <f t="shared" si="6"/>
        <v>117.5134255619448</v>
      </c>
      <c r="S39" t="str">
        <f t="shared" si="10"/>
        <v/>
      </c>
    </row>
    <row r="40" spans="1:170" x14ac:dyDescent="0.25">
      <c r="A40" t="str">
        <f>IF('001-C DMR'!$A46=0,"",'001-C DMR'!$A46)</f>
        <v>Sat</v>
      </c>
      <c r="B40" s="70">
        <f>IF('001-C DMR'!$B46=0,"",'001-C DMR'!$B46)</f>
        <v>43708</v>
      </c>
      <c r="C40">
        <f>IF('001-C DMR'!EI46=0,"",'001-C DMR'!EI46)</f>
        <v>36.171900000000001</v>
      </c>
      <c r="D40">
        <f>IF('001-C DMR'!EJ46=0,"",'001-C DMR'!EJ46)</f>
        <v>74.007400000000004</v>
      </c>
      <c r="E40">
        <f>IF('001-C DMR'!EK46=0,"",'001-C DMR'!EK46)</f>
        <v>110.17930000000001</v>
      </c>
      <c r="F40" s="45">
        <f t="array" ref="F40">_xlfn.IFNA(INDEX('DMR 001C NEW'!$A$3:$O$999,MATCH($A$1&amp;$F$4&amp;$B40,('DMR 001C NEW'!$E$3:$E$1112&amp;'DMR 001C NEW'!$B$3:$B$1112&amp;'DMR 001C NEW'!$A$3:$A$1112),0),MATCH('E.Coli Calculations'!$F$5,'DMR 001C NEW'!$A$2:$O$2,0)),"")</f>
        <v>126</v>
      </c>
      <c r="G40" s="45" t="str">
        <f t="array" ref="G40">_xlfn.IFNA(INDEX('DMR 001C NEW'!$A$3:$O$999,MATCH($A$1&amp;$F$4&amp;$B40,('DMR 001C NEW'!$E$3:$E$1112&amp;'DMR 001C NEW'!$B$3:$B$1112&amp;'DMR 001C NEW'!$A$3:$A$1112),0),MATCH('E.Coli Calculations'!$G$5,'DMR 001C NEW'!$A$2:$O$2,0)),"")</f>
        <v>AE71026</v>
      </c>
      <c r="H40" s="46">
        <f t="array" ref="H40">_xlfn.IFNA(INDEX('DMR 001C NEW'!$A$3:$O$9999,MATCH($F$4&amp;$B40&amp;$H$5&amp;$G40,('DMR 001C NEW'!$B$3:$B$1112&amp;'DMR 001C NEW'!$A$3:$A$1112&amp;'DMR 001C NEW'!$E$3:$E$1112&amp;'DMR 001C NEW'!$M$3:$M$1054),0),MATCH($F$5,'DMR 001C NEW'!$A$2:$O$2,0)),"")</f>
        <v>15.65</v>
      </c>
      <c r="I40" s="45">
        <f t="array" ref="I40">_xlfn.IFNA(INDEX('DMR 001C NEW'!$A$3:$O$9999,MATCH($A$1&amp;$I$4&amp;$B40,('DMR 001C NEW'!$E$3:$E$9018&amp;'DMR 001C NEW'!$B$3:$B$9018&amp;'DMR 001C NEW'!$A$3:$A$9018),0),MATCH('E.Coli Calculations'!$F$5,'DMR 001C NEW'!$A$2:$O$2,0)),"")</f>
        <v>55</v>
      </c>
      <c r="J40" s="45" t="str">
        <f t="array" ref="J40">_xlfn.IFNA(INDEX('DMR 001C NEW'!$A$3:$O$9999,MATCH($A$1&amp;$I$4&amp;$B40,('DMR 001C NEW'!$E$3:$E$9018&amp;'DMR 001C NEW'!$B$3:$B$9018&amp;'DMR 001C NEW'!$A$3:$A$9018),0),MATCH('E.Coli Calculations'!$J$5,'DMR 001C NEW'!$A$2:$O$2,0)),"")</f>
        <v>AE71027</v>
      </c>
      <c r="K40" s="46">
        <f t="array" ref="K40">_xlfn.IFNA(INDEX('DMR 001C NEW'!$A$3:$O$9999,MATCH($I$4&amp;$B40&amp;$H$5&amp;$J40,('DMR 001C NEW'!$B$3:$B$9018&amp;'DMR 001C NEW'!$A$3:$A$9018&amp;'DMR 001C NEW'!$E$3:$E$9018&amp;'DMR 001C NEW'!$M$3:$M$8960),0),MATCH($F$5,'DMR 001C NEW'!$A$2:$O$2,0)),"")</f>
        <v>38.450000000000003</v>
      </c>
      <c r="L40" s="43">
        <f t="shared" si="0"/>
        <v>2.1003705451175629</v>
      </c>
      <c r="M40" s="43">
        <f t="shared" si="1"/>
        <v>1.7403626894942439</v>
      </c>
      <c r="N40" s="43">
        <f t="shared" si="2"/>
        <v>32.870799031089859</v>
      </c>
      <c r="O40" s="43">
        <f t="shared" si="3"/>
        <v>66.916945411053689</v>
      </c>
      <c r="P40" s="43">
        <f t="shared" si="7"/>
        <v>99.787744442143548</v>
      </c>
      <c r="Q40" s="43">
        <f t="shared" si="5"/>
        <v>1.844505442553485</v>
      </c>
      <c r="R40" s="43">
        <f t="shared" si="6"/>
        <v>69.904549710507524</v>
      </c>
      <c r="S40">
        <f t="shared" si="10"/>
        <v>121.97290784101085</v>
      </c>
    </row>
    <row r="42" spans="1:170" x14ac:dyDescent="0.25">
      <c r="FE42" s="1"/>
      <c r="FF42" s="1"/>
      <c r="FG42" s="1"/>
      <c r="FH42" s="1"/>
    </row>
    <row r="43" spans="1:170" x14ac:dyDescent="0.25">
      <c r="FE43" s="1"/>
      <c r="FF43" s="1"/>
      <c r="FG43" s="1"/>
      <c r="FH43" s="1"/>
    </row>
    <row r="44" spans="1:170" x14ac:dyDescent="0.25">
      <c r="FE44" s="1"/>
      <c r="FF44" s="1"/>
      <c r="FG44" s="1"/>
      <c r="FH44" s="1"/>
    </row>
    <row r="45" spans="1:170" x14ac:dyDescent="0.25">
      <c r="FE45" s="1"/>
      <c r="FF45" s="1"/>
      <c r="FG45" s="1"/>
      <c r="FH45" s="1"/>
    </row>
    <row r="46" spans="1:170" x14ac:dyDescent="0.25">
      <c r="FE46" s="1"/>
      <c r="FF46" s="1"/>
      <c r="FG46" s="1"/>
      <c r="FH46" s="1"/>
    </row>
    <row r="47" spans="1:170" x14ac:dyDescent="0.25">
      <c r="FE47" s="1"/>
      <c r="FF47" s="1"/>
      <c r="FG47" s="1"/>
      <c r="FH47" s="1"/>
    </row>
    <row r="48" spans="1:170" x14ac:dyDescent="0.25">
      <c r="FE48" s="1"/>
      <c r="FF48" s="1"/>
      <c r="FG48" s="6"/>
      <c r="FH48" s="1"/>
      <c r="FN48" s="43"/>
    </row>
    <row r="49" spans="161:164" x14ac:dyDescent="0.25">
      <c r="FE49" s="1"/>
      <c r="FF49" s="1"/>
      <c r="FG49" s="1"/>
      <c r="FH49" s="1"/>
    </row>
    <row r="64" spans="161:164" ht="17.25" customHeight="1" x14ac:dyDescent="0.25"/>
  </sheetData>
  <mergeCells count="2">
    <mergeCell ref="F4:H4"/>
    <mergeCell ref="I4:K4"/>
  </mergeCells>
  <pageMargins left="0.7" right="0.7" top="0.75" bottom="0.75" header="0.3" footer="0.3"/>
  <pageSetup scale="43"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F60"/>
  <sheetViews>
    <sheetView workbookViewId="0"/>
  </sheetViews>
  <sheetFormatPr defaultRowHeight="15" x14ac:dyDescent="0.25"/>
  <cols>
    <col min="1" max="1" width="24.140625" bestFit="1" customWidth="1"/>
    <col min="2" max="2" width="14.42578125" bestFit="1" customWidth="1"/>
    <col min="3" max="3" width="21" bestFit="1" customWidth="1"/>
  </cols>
  <sheetData>
    <row r="1" spans="1:6" ht="15.75" thickBot="1" x14ac:dyDescent="0.3">
      <c r="A1" s="35" t="s">
        <v>39</v>
      </c>
      <c r="B1" s="36" t="s">
        <v>136</v>
      </c>
      <c r="C1" s="37" t="s">
        <v>137</v>
      </c>
    </row>
    <row r="2" spans="1:6" x14ac:dyDescent="0.25">
      <c r="A2" t="s">
        <v>0</v>
      </c>
      <c r="B2" s="33" t="s">
        <v>16</v>
      </c>
      <c r="C2" s="32" t="s">
        <v>24</v>
      </c>
    </row>
    <row r="3" spans="1:6" x14ac:dyDescent="0.25">
      <c r="A3" t="s">
        <v>1</v>
      </c>
      <c r="B3" s="33" t="s">
        <v>17</v>
      </c>
      <c r="C3" s="34" t="s">
        <v>23</v>
      </c>
    </row>
    <row r="4" spans="1:6" x14ac:dyDescent="0.25">
      <c r="A4" t="s">
        <v>2</v>
      </c>
      <c r="B4" s="33">
        <v>6</v>
      </c>
      <c r="C4" t="s">
        <v>85</v>
      </c>
    </row>
    <row r="5" spans="1:6" x14ac:dyDescent="0.25">
      <c r="A5" t="s">
        <v>3</v>
      </c>
      <c r="B5" s="33" t="s">
        <v>29</v>
      </c>
    </row>
    <row r="6" spans="1:6" x14ac:dyDescent="0.25">
      <c r="A6" t="s">
        <v>4</v>
      </c>
      <c r="B6" s="33" t="s">
        <v>30</v>
      </c>
      <c r="F6" t="e">
        <f>INDEX(#REF!,MATCH($F$4&amp;Parameters!A5&amp;$B10,(#REF!&amp;#REF!&amp;#REF!),0),MATCH('001-C DMR'!$C$11,#REF!,0))</f>
        <v>#REF!</v>
      </c>
    </row>
    <row r="7" spans="1:6" x14ac:dyDescent="0.25">
      <c r="A7" t="s">
        <v>5</v>
      </c>
    </row>
    <row r="8" spans="1:6" x14ac:dyDescent="0.25">
      <c r="A8" t="s">
        <v>6</v>
      </c>
    </row>
    <row r="9" spans="1:6" x14ac:dyDescent="0.25">
      <c r="A9" t="s">
        <v>7</v>
      </c>
    </row>
    <row r="10" spans="1:6" x14ac:dyDescent="0.25">
      <c r="A10" t="s">
        <v>8</v>
      </c>
    </row>
    <row r="11" spans="1:6" x14ac:dyDescent="0.25">
      <c r="A11" t="s">
        <v>9</v>
      </c>
    </row>
    <row r="12" spans="1:6" x14ac:dyDescent="0.25">
      <c r="A12" t="s">
        <v>10</v>
      </c>
    </row>
    <row r="13" spans="1:6" x14ac:dyDescent="0.25">
      <c r="A13" t="s">
        <v>11</v>
      </c>
    </row>
    <row r="14" spans="1:6" x14ac:dyDescent="0.25">
      <c r="A14" t="s">
        <v>12</v>
      </c>
    </row>
    <row r="15" spans="1:6" x14ac:dyDescent="0.25">
      <c r="A15" t="s">
        <v>13</v>
      </c>
    </row>
    <row r="16" spans="1:6" x14ac:dyDescent="0.25">
      <c r="A16" t="s">
        <v>114</v>
      </c>
    </row>
    <row r="17" spans="1:4" x14ac:dyDescent="0.25">
      <c r="A17" t="s">
        <v>116</v>
      </c>
    </row>
    <row r="18" spans="1:4" x14ac:dyDescent="0.25">
      <c r="A18" t="s">
        <v>14</v>
      </c>
    </row>
    <row r="19" spans="1:4" x14ac:dyDescent="0.25">
      <c r="A19" t="s">
        <v>15</v>
      </c>
    </row>
    <row r="20" spans="1:4" x14ac:dyDescent="0.25">
      <c r="A20" t="s">
        <v>104</v>
      </c>
    </row>
    <row r="22" spans="1:4" x14ac:dyDescent="0.25">
      <c r="A22" t="s">
        <v>207</v>
      </c>
      <c r="B22" t="s">
        <v>127</v>
      </c>
      <c r="C22" t="s">
        <v>129</v>
      </c>
      <c r="D22" t="s">
        <v>128</v>
      </c>
    </row>
    <row r="23" spans="1:4" x14ac:dyDescent="0.25">
      <c r="A23">
        <v>1</v>
      </c>
      <c r="B23">
        <v>5.7</v>
      </c>
      <c r="D23">
        <v>8.1</v>
      </c>
    </row>
    <row r="24" spans="1:4" x14ac:dyDescent="0.25">
      <c r="A24">
        <v>2</v>
      </c>
      <c r="B24">
        <v>6.1</v>
      </c>
      <c r="D24">
        <v>7.8</v>
      </c>
    </row>
    <row r="25" spans="1:4" x14ac:dyDescent="0.25">
      <c r="A25">
        <v>3</v>
      </c>
      <c r="B25">
        <v>5.6</v>
      </c>
      <c r="D25">
        <v>8</v>
      </c>
    </row>
    <row r="26" spans="1:4" x14ac:dyDescent="0.25">
      <c r="A26">
        <v>4</v>
      </c>
      <c r="B26">
        <v>5</v>
      </c>
      <c r="D26">
        <v>13</v>
      </c>
    </row>
    <row r="27" spans="1:4" x14ac:dyDescent="0.25">
      <c r="A27">
        <v>5</v>
      </c>
      <c r="B27">
        <v>3.8</v>
      </c>
      <c r="D27">
        <v>9.5</v>
      </c>
    </row>
    <row r="28" spans="1:4" x14ac:dyDescent="0.25">
      <c r="A28">
        <v>6</v>
      </c>
      <c r="B28">
        <v>3.8</v>
      </c>
      <c r="D28">
        <v>73</v>
      </c>
    </row>
    <row r="29" spans="1:4" x14ac:dyDescent="0.25">
      <c r="A29">
        <v>7</v>
      </c>
      <c r="B29">
        <v>3.4</v>
      </c>
      <c r="D29">
        <v>7.7</v>
      </c>
    </row>
    <row r="30" spans="1:4" x14ac:dyDescent="0.25">
      <c r="A30">
        <v>8</v>
      </c>
      <c r="B30">
        <v>3.2</v>
      </c>
      <c r="D30">
        <v>7.9</v>
      </c>
    </row>
    <row r="31" spans="1:4" x14ac:dyDescent="0.25">
      <c r="A31">
        <v>9</v>
      </c>
      <c r="B31">
        <v>3.3</v>
      </c>
      <c r="D31">
        <v>7.5</v>
      </c>
    </row>
    <row r="32" spans="1:4" x14ac:dyDescent="0.25">
      <c r="A32">
        <v>10</v>
      </c>
      <c r="B32">
        <v>3.9</v>
      </c>
      <c r="D32">
        <v>7.1</v>
      </c>
    </row>
    <row r="33" spans="1:4" x14ac:dyDescent="0.25">
      <c r="A33">
        <v>11</v>
      </c>
      <c r="B33">
        <v>4.4000000000000004</v>
      </c>
      <c r="D33">
        <v>10</v>
      </c>
    </row>
    <row r="34" spans="1:4" x14ac:dyDescent="0.25">
      <c r="A34">
        <v>12</v>
      </c>
      <c r="B34">
        <v>5.0999999999999996</v>
      </c>
      <c r="D34">
        <v>9.1999999999999993</v>
      </c>
    </row>
    <row r="35" spans="1:4" x14ac:dyDescent="0.25">
      <c r="A35" t="s">
        <v>90</v>
      </c>
      <c r="B35" t="s">
        <v>127</v>
      </c>
      <c r="C35" t="s">
        <v>129</v>
      </c>
      <c r="D35" t="s">
        <v>128</v>
      </c>
    </row>
    <row r="36" spans="1:4" x14ac:dyDescent="0.25">
      <c r="A36">
        <v>1</v>
      </c>
      <c r="D36">
        <v>9.8000000000000007</v>
      </c>
    </row>
    <row r="37" spans="1:4" x14ac:dyDescent="0.25">
      <c r="A37">
        <v>2</v>
      </c>
      <c r="D37">
        <v>9.5</v>
      </c>
    </row>
    <row r="38" spans="1:4" x14ac:dyDescent="0.25">
      <c r="A38">
        <v>3</v>
      </c>
      <c r="D38">
        <v>9.6</v>
      </c>
    </row>
    <row r="39" spans="1:4" x14ac:dyDescent="0.25">
      <c r="A39">
        <v>4</v>
      </c>
      <c r="D39">
        <v>10</v>
      </c>
    </row>
    <row r="40" spans="1:4" x14ac:dyDescent="0.25">
      <c r="A40">
        <v>5</v>
      </c>
      <c r="D40">
        <v>10</v>
      </c>
    </row>
    <row r="41" spans="1:4" x14ac:dyDescent="0.25">
      <c r="A41">
        <v>6</v>
      </c>
      <c r="D41">
        <v>9.6999999999999993</v>
      </c>
    </row>
    <row r="42" spans="1:4" x14ac:dyDescent="0.25">
      <c r="A42">
        <v>7</v>
      </c>
      <c r="D42">
        <v>9.6</v>
      </c>
    </row>
    <row r="43" spans="1:4" x14ac:dyDescent="0.25">
      <c r="A43">
        <v>8</v>
      </c>
      <c r="D43">
        <v>10</v>
      </c>
    </row>
    <row r="44" spans="1:4" x14ac:dyDescent="0.25">
      <c r="A44">
        <v>9</v>
      </c>
      <c r="D44">
        <v>10</v>
      </c>
    </row>
    <row r="45" spans="1:4" x14ac:dyDescent="0.25">
      <c r="A45">
        <v>10</v>
      </c>
      <c r="D45">
        <v>9.9</v>
      </c>
    </row>
    <row r="46" spans="1:4" x14ac:dyDescent="0.25">
      <c r="A46">
        <v>11</v>
      </c>
      <c r="D46">
        <v>9.8000000000000007</v>
      </c>
    </row>
    <row r="47" spans="1:4" x14ac:dyDescent="0.25">
      <c r="A47">
        <v>12</v>
      </c>
      <c r="D47">
        <v>9.8000000000000007</v>
      </c>
    </row>
    <row r="48" spans="1:4" x14ac:dyDescent="0.25">
      <c r="A48" t="s">
        <v>208</v>
      </c>
      <c r="B48" t="s">
        <v>127</v>
      </c>
      <c r="C48" t="s">
        <v>129</v>
      </c>
      <c r="D48" t="s">
        <v>128</v>
      </c>
    </row>
    <row r="49" spans="1:4" x14ac:dyDescent="0.25">
      <c r="A49">
        <v>1</v>
      </c>
      <c r="B49" t="s">
        <v>209</v>
      </c>
      <c r="D49" t="s">
        <v>209</v>
      </c>
    </row>
    <row r="50" spans="1:4" x14ac:dyDescent="0.25">
      <c r="A50">
        <v>2</v>
      </c>
      <c r="B50" t="s">
        <v>209</v>
      </c>
      <c r="D50" t="s">
        <v>209</v>
      </c>
    </row>
    <row r="51" spans="1:4" x14ac:dyDescent="0.25">
      <c r="A51">
        <v>3</v>
      </c>
      <c r="B51" t="s">
        <v>209</v>
      </c>
      <c r="D51" t="s">
        <v>209</v>
      </c>
    </row>
    <row r="52" spans="1:4" x14ac:dyDescent="0.25">
      <c r="A52">
        <v>4</v>
      </c>
      <c r="B52" t="s">
        <v>209</v>
      </c>
      <c r="D52" t="s">
        <v>209</v>
      </c>
    </row>
    <row r="53" spans="1:4" x14ac:dyDescent="0.25">
      <c r="A53">
        <v>5</v>
      </c>
      <c r="B53" t="s">
        <v>209</v>
      </c>
      <c r="D53" t="s">
        <v>209</v>
      </c>
    </row>
    <row r="54" spans="1:4" x14ac:dyDescent="0.25">
      <c r="A54">
        <v>6</v>
      </c>
      <c r="B54" t="s">
        <v>209</v>
      </c>
      <c r="D54" t="s">
        <v>209</v>
      </c>
    </row>
    <row r="55" spans="1:4" x14ac:dyDescent="0.25">
      <c r="A55">
        <v>7</v>
      </c>
      <c r="B55">
        <v>1.21</v>
      </c>
      <c r="D55" t="s">
        <v>209</v>
      </c>
    </row>
    <row r="56" spans="1:4" x14ac:dyDescent="0.25">
      <c r="A56">
        <v>8</v>
      </c>
      <c r="B56">
        <v>1.1200000000000001</v>
      </c>
      <c r="D56" t="s">
        <v>209</v>
      </c>
    </row>
    <row r="57" spans="1:4" x14ac:dyDescent="0.25">
      <c r="A57">
        <v>9</v>
      </c>
      <c r="B57" t="s">
        <v>209</v>
      </c>
      <c r="D57" t="s">
        <v>209</v>
      </c>
    </row>
    <row r="58" spans="1:4" x14ac:dyDescent="0.25">
      <c r="A58">
        <v>10</v>
      </c>
      <c r="B58" t="s">
        <v>209</v>
      </c>
      <c r="D58" t="s">
        <v>209</v>
      </c>
    </row>
    <row r="59" spans="1:4" x14ac:dyDescent="0.25">
      <c r="A59">
        <v>11</v>
      </c>
      <c r="B59" t="s">
        <v>209</v>
      </c>
      <c r="D59" t="s">
        <v>209</v>
      </c>
    </row>
    <row r="60" spans="1:4" x14ac:dyDescent="0.25">
      <c r="A60">
        <v>12</v>
      </c>
      <c r="B60" t="s">
        <v>209</v>
      </c>
      <c r="D60" t="s">
        <v>209</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dimension ref="A1:XBC705"/>
  <sheetViews>
    <sheetView workbookViewId="0">
      <pane ySplit="2" topLeftCell="A3" activePane="bottomLeft" state="frozen"/>
      <selection pane="bottomLeft" activeCell="F12" sqref="F12"/>
    </sheetView>
  </sheetViews>
  <sheetFormatPr defaultRowHeight="15" x14ac:dyDescent="0.25"/>
  <cols>
    <col min="1" max="1" width="16.5703125" style="70" customWidth="1"/>
    <col min="2" max="2" width="10" bestFit="1" customWidth="1"/>
    <col min="3" max="3" width="27.42578125" bestFit="1" customWidth="1"/>
    <col min="4" max="4" width="8.28515625" bestFit="1" customWidth="1"/>
    <col min="5" max="5" width="22" bestFit="1" customWidth="1"/>
    <col min="6" max="6" width="14.7109375" bestFit="1" customWidth="1"/>
    <col min="7" max="7" width="7.85546875" bestFit="1" customWidth="1"/>
    <col min="8" max="8" width="19" style="43" customWidth="1"/>
    <col min="9" max="9" width="8.5703125" bestFit="1" customWidth="1"/>
    <col min="10" max="10" width="6.85546875" style="43" customWidth="1"/>
    <col min="11" max="11" width="8.140625" style="69" bestFit="1" customWidth="1"/>
    <col min="12" max="13" width="8.140625" style="69" customWidth="1"/>
    <col min="14" max="14" width="9.7109375" bestFit="1" customWidth="1"/>
    <col min="15" max="15" width="9" bestFit="1" customWidth="1"/>
    <col min="16277" max="16277" width="0" hidden="1" customWidth="1"/>
    <col min="16279" max="16279" width="0" hidden="1" customWidth="1"/>
  </cols>
  <sheetData>
    <row r="1" spans="1:15 16277:16279" ht="24.95" customHeight="1" x14ac:dyDescent="0.25">
      <c r="A1" s="409" t="s">
        <v>244</v>
      </c>
      <c r="B1" s="409"/>
      <c r="C1" s="409"/>
      <c r="D1" s="409"/>
      <c r="E1" s="409"/>
      <c r="F1" s="409"/>
      <c r="G1" s="409"/>
      <c r="H1" s="106"/>
      <c r="I1" s="410"/>
      <c r="J1" s="410"/>
      <c r="K1" s="410"/>
      <c r="L1" s="410"/>
      <c r="M1" s="410"/>
      <c r="N1" s="410"/>
      <c r="O1" s="410"/>
      <c r="XBA1">
        <v>4164</v>
      </c>
      <c r="XBC1">
        <v>3421</v>
      </c>
    </row>
    <row r="2" spans="1:15 16277:16279" s="9" customFormat="1" x14ac:dyDescent="0.25">
      <c r="A2" s="145" t="s">
        <v>247</v>
      </c>
      <c r="B2" s="15" t="s">
        <v>248</v>
      </c>
      <c r="C2" s="15" t="s">
        <v>249</v>
      </c>
      <c r="D2" s="15" t="s">
        <v>84</v>
      </c>
      <c r="E2" s="15" t="s">
        <v>250</v>
      </c>
      <c r="F2" s="15" t="s">
        <v>251</v>
      </c>
      <c r="G2" s="15" t="s">
        <v>252</v>
      </c>
      <c r="H2" s="107" t="s">
        <v>253</v>
      </c>
      <c r="I2" s="15" t="s">
        <v>254</v>
      </c>
      <c r="J2" s="107" t="s">
        <v>255</v>
      </c>
      <c r="K2" s="109" t="s">
        <v>256</v>
      </c>
      <c r="L2" s="15" t="s">
        <v>281</v>
      </c>
      <c r="M2" s="258" t="s">
        <v>257</v>
      </c>
    </row>
    <row r="3" spans="1:15 16277:16279" x14ac:dyDescent="0.25">
      <c r="A3" s="146">
        <v>43674</v>
      </c>
      <c r="B3" s="11" t="s">
        <v>29</v>
      </c>
      <c r="C3" s="11" t="s">
        <v>86</v>
      </c>
      <c r="D3" s="11" t="s">
        <v>87</v>
      </c>
      <c r="E3" s="11" t="s">
        <v>5</v>
      </c>
      <c r="F3" s="11" t="s">
        <v>88</v>
      </c>
      <c r="G3" s="11" t="s">
        <v>89</v>
      </c>
      <c r="H3" s="108">
        <v>0.94</v>
      </c>
      <c r="I3" s="22"/>
      <c r="J3" s="108">
        <v>0.05</v>
      </c>
      <c r="K3" s="110">
        <v>3</v>
      </c>
      <c r="L3" s="259">
        <v>0.15</v>
      </c>
      <c r="M3" s="260" t="s">
        <v>319</v>
      </c>
    </row>
    <row r="4" spans="1:15 16277:16279" x14ac:dyDescent="0.25">
      <c r="A4" s="146">
        <v>43675</v>
      </c>
      <c r="B4" s="11" t="s">
        <v>29</v>
      </c>
      <c r="C4" s="11" t="s">
        <v>86</v>
      </c>
      <c r="D4" s="11" t="s">
        <v>87</v>
      </c>
      <c r="E4" s="11" t="s">
        <v>5</v>
      </c>
      <c r="F4" s="11" t="s">
        <v>88</v>
      </c>
      <c r="G4" s="11" t="s">
        <v>89</v>
      </c>
      <c r="H4" s="108">
        <v>0.22</v>
      </c>
      <c r="I4" s="22"/>
      <c r="J4" s="108">
        <v>0.05</v>
      </c>
      <c r="K4" s="110">
        <v>3</v>
      </c>
      <c r="L4" s="259">
        <v>0.15</v>
      </c>
      <c r="M4" s="260" t="s">
        <v>320</v>
      </c>
    </row>
    <row r="5" spans="1:15 16277:16279" x14ac:dyDescent="0.25">
      <c r="A5" s="146">
        <v>43677</v>
      </c>
      <c r="B5" s="11" t="s">
        <v>29</v>
      </c>
      <c r="C5" s="11" t="s">
        <v>86</v>
      </c>
      <c r="D5" s="11" t="s">
        <v>87</v>
      </c>
      <c r="E5" s="11" t="s">
        <v>5</v>
      </c>
      <c r="F5" s="11" t="s">
        <v>88</v>
      </c>
      <c r="G5" s="11" t="s">
        <v>89</v>
      </c>
      <c r="H5" s="108">
        <v>0.41</v>
      </c>
      <c r="I5" s="22"/>
      <c r="J5" s="108">
        <v>0.05</v>
      </c>
      <c r="K5" s="110">
        <v>3</v>
      </c>
      <c r="L5" s="259">
        <v>0.15</v>
      </c>
      <c r="M5" s="260" t="s">
        <v>321</v>
      </c>
    </row>
    <row r="6" spans="1:15 16277:16279" x14ac:dyDescent="0.25">
      <c r="A6" s="146">
        <v>43681</v>
      </c>
      <c r="B6" s="11" t="s">
        <v>29</v>
      </c>
      <c r="C6" s="11" t="s">
        <v>86</v>
      </c>
      <c r="D6" s="11" t="s">
        <v>87</v>
      </c>
      <c r="E6" s="11" t="s">
        <v>5</v>
      </c>
      <c r="F6" s="11" t="s">
        <v>88</v>
      </c>
      <c r="G6" s="11" t="s">
        <v>89</v>
      </c>
      <c r="H6" s="108">
        <v>0.38</v>
      </c>
      <c r="I6" s="22"/>
      <c r="J6" s="108">
        <v>0.05</v>
      </c>
      <c r="K6" s="110">
        <v>3</v>
      </c>
      <c r="L6" s="259">
        <v>0.15</v>
      </c>
      <c r="M6" s="260" t="s">
        <v>322</v>
      </c>
    </row>
    <row r="7" spans="1:15 16277:16279" x14ac:dyDescent="0.25">
      <c r="A7" s="146">
        <v>43682</v>
      </c>
      <c r="B7" s="11" t="s">
        <v>29</v>
      </c>
      <c r="C7" s="11" t="s">
        <v>86</v>
      </c>
      <c r="D7" s="11" t="s">
        <v>87</v>
      </c>
      <c r="E7" s="11" t="s">
        <v>5</v>
      </c>
      <c r="F7" s="11" t="s">
        <v>88</v>
      </c>
      <c r="G7" s="11" t="s">
        <v>89</v>
      </c>
      <c r="H7" s="108">
        <v>0.19</v>
      </c>
      <c r="I7" s="22"/>
      <c r="J7" s="108">
        <v>0.05</v>
      </c>
      <c r="K7" s="110">
        <v>3</v>
      </c>
      <c r="L7" s="259">
        <v>0.15</v>
      </c>
      <c r="M7" s="260" t="s">
        <v>323</v>
      </c>
    </row>
    <row r="8" spans="1:15 16277:16279" x14ac:dyDescent="0.25">
      <c r="A8" s="146">
        <v>43684</v>
      </c>
      <c r="B8" s="11" t="s">
        <v>29</v>
      </c>
      <c r="C8" s="11" t="s">
        <v>86</v>
      </c>
      <c r="D8" s="11" t="s">
        <v>87</v>
      </c>
      <c r="E8" s="11" t="s">
        <v>5</v>
      </c>
      <c r="F8" s="11" t="s">
        <v>88</v>
      </c>
      <c r="G8" s="11" t="s">
        <v>89</v>
      </c>
      <c r="H8" s="108">
        <v>0.51</v>
      </c>
      <c r="I8" s="22"/>
      <c r="J8" s="108">
        <v>0.05</v>
      </c>
      <c r="K8" s="110">
        <v>3</v>
      </c>
      <c r="L8" s="259">
        <v>0.15</v>
      </c>
      <c r="M8" s="260" t="s">
        <v>324</v>
      </c>
    </row>
    <row r="9" spans="1:15 16277:16279" x14ac:dyDescent="0.25">
      <c r="A9" s="146">
        <v>43688</v>
      </c>
      <c r="B9" s="11" t="s">
        <v>29</v>
      </c>
      <c r="C9" s="11" t="s">
        <v>86</v>
      </c>
      <c r="D9" s="11" t="s">
        <v>87</v>
      </c>
      <c r="E9" s="11" t="s">
        <v>5</v>
      </c>
      <c r="F9" s="11" t="s">
        <v>88</v>
      </c>
      <c r="G9" s="11" t="s">
        <v>89</v>
      </c>
      <c r="H9" s="108">
        <v>0.72</v>
      </c>
      <c r="I9" s="22"/>
      <c r="J9" s="108">
        <v>0.05</v>
      </c>
      <c r="K9" s="110">
        <v>3</v>
      </c>
      <c r="L9" s="259">
        <v>0.15</v>
      </c>
      <c r="M9" s="260" t="s">
        <v>325</v>
      </c>
    </row>
    <row r="10" spans="1:15 16277:16279" x14ac:dyDescent="0.25">
      <c r="A10" s="146">
        <v>43692</v>
      </c>
      <c r="B10" s="11" t="s">
        <v>29</v>
      </c>
      <c r="C10" s="11" t="s">
        <v>86</v>
      </c>
      <c r="D10" s="11" t="s">
        <v>87</v>
      </c>
      <c r="E10" s="11" t="s">
        <v>5</v>
      </c>
      <c r="F10" s="11" t="s">
        <v>88</v>
      </c>
      <c r="G10" s="11" t="s">
        <v>89</v>
      </c>
      <c r="H10" s="108">
        <v>0.34</v>
      </c>
      <c r="I10" s="22"/>
      <c r="J10" s="108">
        <v>0.05</v>
      </c>
      <c r="K10" s="110">
        <v>3</v>
      </c>
      <c r="L10" s="259">
        <v>0.15</v>
      </c>
      <c r="M10" s="260" t="s">
        <v>326</v>
      </c>
    </row>
    <row r="11" spans="1:15 16277:16279" x14ac:dyDescent="0.25">
      <c r="A11" s="146">
        <v>43693</v>
      </c>
      <c r="B11" s="11" t="s">
        <v>29</v>
      </c>
      <c r="C11" s="11" t="s">
        <v>86</v>
      </c>
      <c r="D11" s="11" t="s">
        <v>87</v>
      </c>
      <c r="E11" s="11" t="s">
        <v>5</v>
      </c>
      <c r="F11" s="11" t="s">
        <v>88</v>
      </c>
      <c r="G11" s="11" t="s">
        <v>89</v>
      </c>
      <c r="H11" s="108">
        <v>0.51</v>
      </c>
      <c r="I11" s="22"/>
      <c r="J11" s="108">
        <v>0.05</v>
      </c>
      <c r="K11" s="110">
        <v>3</v>
      </c>
      <c r="L11" s="259">
        <v>0.15</v>
      </c>
      <c r="M11" s="260" t="s">
        <v>327</v>
      </c>
    </row>
    <row r="12" spans="1:15 16277:16279" x14ac:dyDescent="0.25">
      <c r="A12" s="146">
        <v>43695</v>
      </c>
      <c r="B12" s="11" t="s">
        <v>29</v>
      </c>
      <c r="C12" s="11" t="s">
        <v>86</v>
      </c>
      <c r="D12" s="11" t="s">
        <v>87</v>
      </c>
      <c r="E12" s="11" t="s">
        <v>5</v>
      </c>
      <c r="F12" s="11" t="s">
        <v>88</v>
      </c>
      <c r="G12" s="11" t="s">
        <v>89</v>
      </c>
      <c r="H12" s="108">
        <v>2.68</v>
      </c>
      <c r="I12" s="22"/>
      <c r="J12" s="108">
        <v>0.05</v>
      </c>
      <c r="K12" s="110">
        <v>3</v>
      </c>
      <c r="L12" s="259">
        <v>0.15</v>
      </c>
      <c r="M12" s="260" t="s">
        <v>328</v>
      </c>
    </row>
    <row r="13" spans="1:15 16277:16279" x14ac:dyDescent="0.25">
      <c r="A13" s="146">
        <v>43699</v>
      </c>
      <c r="B13" s="11" t="s">
        <v>29</v>
      </c>
      <c r="C13" s="11" t="s">
        <v>86</v>
      </c>
      <c r="D13" s="11" t="s">
        <v>87</v>
      </c>
      <c r="E13" s="11" t="s">
        <v>5</v>
      </c>
      <c r="F13" s="11" t="s">
        <v>88</v>
      </c>
      <c r="G13" s="11" t="s">
        <v>89</v>
      </c>
      <c r="H13" s="108">
        <v>1.88</v>
      </c>
      <c r="I13" s="22"/>
      <c r="J13" s="108">
        <v>0.05</v>
      </c>
      <c r="K13" s="110">
        <v>3</v>
      </c>
      <c r="L13" s="259">
        <v>0.15</v>
      </c>
      <c r="M13" s="260" t="s">
        <v>329</v>
      </c>
    </row>
    <row r="14" spans="1:15 16277:16279" x14ac:dyDescent="0.25">
      <c r="A14" s="146">
        <v>43700</v>
      </c>
      <c r="B14" s="11" t="s">
        <v>29</v>
      </c>
      <c r="C14" s="11" t="s">
        <v>86</v>
      </c>
      <c r="D14" s="11" t="s">
        <v>87</v>
      </c>
      <c r="E14" s="11" t="s">
        <v>5</v>
      </c>
      <c r="F14" s="11" t="s">
        <v>88</v>
      </c>
      <c r="G14" s="11" t="s">
        <v>89</v>
      </c>
      <c r="H14" s="108">
        <v>1.2</v>
      </c>
      <c r="I14" s="22"/>
      <c r="J14" s="108">
        <v>0.05</v>
      </c>
      <c r="K14" s="110">
        <v>3</v>
      </c>
      <c r="L14" s="259">
        <v>0.15</v>
      </c>
      <c r="M14" s="260" t="s">
        <v>330</v>
      </c>
    </row>
    <row r="15" spans="1:15 16277:16279" x14ac:dyDescent="0.25">
      <c r="A15" s="146">
        <v>43702</v>
      </c>
      <c r="B15" s="11" t="s">
        <v>29</v>
      </c>
      <c r="C15" s="11" t="s">
        <v>86</v>
      </c>
      <c r="D15" s="11" t="s">
        <v>87</v>
      </c>
      <c r="E15" s="11" t="s">
        <v>5</v>
      </c>
      <c r="F15" s="11" t="s">
        <v>88</v>
      </c>
      <c r="G15" s="11" t="s">
        <v>89</v>
      </c>
      <c r="H15" s="108">
        <v>0.96</v>
      </c>
      <c r="I15" s="22"/>
      <c r="J15" s="108">
        <v>0.05</v>
      </c>
      <c r="K15" s="110">
        <v>3</v>
      </c>
      <c r="L15" s="259">
        <v>0.15</v>
      </c>
      <c r="M15" s="260" t="s">
        <v>331</v>
      </c>
    </row>
    <row r="16" spans="1:15 16277:16279" x14ac:dyDescent="0.25">
      <c r="A16" s="146">
        <v>43706</v>
      </c>
      <c r="B16" s="11" t="s">
        <v>29</v>
      </c>
      <c r="C16" s="11" t="s">
        <v>86</v>
      </c>
      <c r="D16" s="11" t="s">
        <v>87</v>
      </c>
      <c r="E16" s="11" t="s">
        <v>5</v>
      </c>
      <c r="F16" s="11" t="s">
        <v>88</v>
      </c>
      <c r="G16" s="11" t="s">
        <v>89</v>
      </c>
      <c r="H16" s="108">
        <v>0.37</v>
      </c>
      <c r="I16" s="22"/>
      <c r="J16" s="108">
        <v>0.05</v>
      </c>
      <c r="K16" s="110">
        <v>3</v>
      </c>
      <c r="L16" s="259">
        <v>0.15</v>
      </c>
      <c r="M16" s="260" t="s">
        <v>332</v>
      </c>
    </row>
    <row r="17" spans="1:13" x14ac:dyDescent="0.25">
      <c r="A17" s="146">
        <v>43707</v>
      </c>
      <c r="B17" s="11" t="s">
        <v>29</v>
      </c>
      <c r="C17" s="11" t="s">
        <v>86</v>
      </c>
      <c r="D17" s="11" t="s">
        <v>87</v>
      </c>
      <c r="E17" s="11" t="s">
        <v>5</v>
      </c>
      <c r="F17" s="11" t="s">
        <v>88</v>
      </c>
      <c r="G17" s="11" t="s">
        <v>89</v>
      </c>
      <c r="H17" s="108">
        <v>0.54</v>
      </c>
      <c r="I17" s="22"/>
      <c r="J17" s="108">
        <v>0.05</v>
      </c>
      <c r="K17" s="110">
        <v>3</v>
      </c>
      <c r="L17" s="259">
        <v>0.15</v>
      </c>
      <c r="M17" s="260" t="s">
        <v>333</v>
      </c>
    </row>
    <row r="18" spans="1:13" x14ac:dyDescent="0.25">
      <c r="A18" s="146">
        <v>43674</v>
      </c>
      <c r="B18" s="11" t="s">
        <v>29</v>
      </c>
      <c r="C18" s="11" t="s">
        <v>86</v>
      </c>
      <c r="D18" s="11" t="s">
        <v>90</v>
      </c>
      <c r="E18" s="11" t="s">
        <v>6</v>
      </c>
      <c r="F18" s="11" t="s">
        <v>88</v>
      </c>
      <c r="G18" s="11" t="s">
        <v>89</v>
      </c>
      <c r="H18" s="108">
        <v>4.28</v>
      </c>
      <c r="I18" s="22"/>
      <c r="J18" s="108">
        <v>0.02</v>
      </c>
      <c r="K18" s="110">
        <v>3</v>
      </c>
      <c r="L18" s="259">
        <v>0.06</v>
      </c>
      <c r="M18" s="260" t="s">
        <v>319</v>
      </c>
    </row>
    <row r="19" spans="1:13" x14ac:dyDescent="0.25">
      <c r="A19" s="146">
        <v>43675</v>
      </c>
      <c r="B19" s="11" t="s">
        <v>29</v>
      </c>
      <c r="C19" s="11" t="s">
        <v>86</v>
      </c>
      <c r="D19" s="11" t="s">
        <v>90</v>
      </c>
      <c r="E19" s="11" t="s">
        <v>6</v>
      </c>
      <c r="F19" s="11" t="s">
        <v>88</v>
      </c>
      <c r="G19" s="11" t="s">
        <v>89</v>
      </c>
      <c r="H19" s="108">
        <v>5.18</v>
      </c>
      <c r="I19" s="22"/>
      <c r="J19" s="108">
        <v>0.02</v>
      </c>
      <c r="K19" s="110">
        <v>3</v>
      </c>
      <c r="L19" s="259">
        <v>0.06</v>
      </c>
      <c r="M19" s="260" t="s">
        <v>320</v>
      </c>
    </row>
    <row r="20" spans="1:13" x14ac:dyDescent="0.25">
      <c r="A20" s="146">
        <v>43677</v>
      </c>
      <c r="B20" s="11" t="s">
        <v>29</v>
      </c>
      <c r="C20" s="11" t="s">
        <v>86</v>
      </c>
      <c r="D20" s="11" t="s">
        <v>90</v>
      </c>
      <c r="E20" s="11" t="s">
        <v>6</v>
      </c>
      <c r="F20" s="11" t="s">
        <v>88</v>
      </c>
      <c r="G20" s="11" t="s">
        <v>89</v>
      </c>
      <c r="H20" s="108">
        <v>4.49</v>
      </c>
      <c r="I20" s="22"/>
      <c r="J20" s="108">
        <v>0.02</v>
      </c>
      <c r="K20" s="110">
        <v>3</v>
      </c>
      <c r="L20" s="259">
        <v>0.06</v>
      </c>
      <c r="M20" s="260" t="s">
        <v>321</v>
      </c>
    </row>
    <row r="21" spans="1:13" x14ac:dyDescent="0.25">
      <c r="A21" s="146">
        <v>43681</v>
      </c>
      <c r="B21" s="11" t="s">
        <v>29</v>
      </c>
      <c r="C21" s="11" t="s">
        <v>86</v>
      </c>
      <c r="D21" s="11" t="s">
        <v>90</v>
      </c>
      <c r="E21" s="11" t="s">
        <v>6</v>
      </c>
      <c r="F21" s="11" t="s">
        <v>88</v>
      </c>
      <c r="G21" s="11" t="s">
        <v>89</v>
      </c>
      <c r="H21" s="108">
        <v>5.37</v>
      </c>
      <c r="I21" s="22"/>
      <c r="J21" s="108">
        <v>0.02</v>
      </c>
      <c r="K21" s="110">
        <v>3</v>
      </c>
      <c r="L21" s="259">
        <v>0.06</v>
      </c>
      <c r="M21" s="260" t="s">
        <v>322</v>
      </c>
    </row>
    <row r="22" spans="1:13" x14ac:dyDescent="0.25">
      <c r="A22" s="146">
        <v>43682</v>
      </c>
      <c r="B22" s="11" t="s">
        <v>29</v>
      </c>
      <c r="C22" s="11" t="s">
        <v>86</v>
      </c>
      <c r="D22" s="11" t="s">
        <v>90</v>
      </c>
      <c r="E22" s="11" t="s">
        <v>6</v>
      </c>
      <c r="F22" s="11" t="s">
        <v>88</v>
      </c>
      <c r="G22" s="11" t="s">
        <v>89</v>
      </c>
      <c r="H22" s="108">
        <v>5.3</v>
      </c>
      <c r="I22" s="22"/>
      <c r="J22" s="108">
        <v>0.02</v>
      </c>
      <c r="K22" s="110">
        <v>3</v>
      </c>
      <c r="L22" s="259">
        <v>0.06</v>
      </c>
      <c r="M22" s="260" t="s">
        <v>323</v>
      </c>
    </row>
    <row r="23" spans="1:13" x14ac:dyDescent="0.25">
      <c r="A23" s="146">
        <v>43684</v>
      </c>
      <c r="B23" s="11" t="s">
        <v>29</v>
      </c>
      <c r="C23" s="11" t="s">
        <v>86</v>
      </c>
      <c r="D23" s="11" t="s">
        <v>90</v>
      </c>
      <c r="E23" s="11" t="s">
        <v>6</v>
      </c>
      <c r="F23" s="11" t="s">
        <v>88</v>
      </c>
      <c r="G23" s="11" t="s">
        <v>89</v>
      </c>
      <c r="H23" s="108">
        <v>2.76</v>
      </c>
      <c r="I23" s="22"/>
      <c r="J23" s="108">
        <v>0.06</v>
      </c>
      <c r="K23" s="110">
        <v>3</v>
      </c>
      <c r="L23" s="259">
        <v>0.18</v>
      </c>
      <c r="M23" s="260" t="s">
        <v>324</v>
      </c>
    </row>
    <row r="24" spans="1:13" x14ac:dyDescent="0.25">
      <c r="A24" s="146">
        <v>43688</v>
      </c>
      <c r="B24" s="11" t="s">
        <v>29</v>
      </c>
      <c r="C24" s="11" t="s">
        <v>86</v>
      </c>
      <c r="D24" s="11" t="s">
        <v>90</v>
      </c>
      <c r="E24" s="11" t="s">
        <v>6</v>
      </c>
      <c r="F24" s="11" t="s">
        <v>88</v>
      </c>
      <c r="G24" s="11" t="s">
        <v>89</v>
      </c>
      <c r="H24" s="108">
        <v>4.3499999999999996</v>
      </c>
      <c r="I24" s="22"/>
      <c r="J24" s="108">
        <v>0.02</v>
      </c>
      <c r="K24" s="110">
        <v>3</v>
      </c>
      <c r="L24" s="259">
        <v>0.06</v>
      </c>
      <c r="M24" s="260" t="s">
        <v>325</v>
      </c>
    </row>
    <row r="25" spans="1:13" x14ac:dyDescent="0.25">
      <c r="A25" s="146">
        <v>43692</v>
      </c>
      <c r="B25" s="11" t="s">
        <v>29</v>
      </c>
      <c r="C25" s="11" t="s">
        <v>86</v>
      </c>
      <c r="D25" s="11" t="s">
        <v>90</v>
      </c>
      <c r="E25" s="11" t="s">
        <v>6</v>
      </c>
      <c r="F25" s="11" t="s">
        <v>88</v>
      </c>
      <c r="G25" s="11" t="s">
        <v>89</v>
      </c>
      <c r="H25" s="108">
        <v>3.89</v>
      </c>
      <c r="I25" s="22"/>
      <c r="J25" s="108">
        <v>0.02</v>
      </c>
      <c r="K25" s="110">
        <v>3</v>
      </c>
      <c r="L25" s="259">
        <v>0.06</v>
      </c>
      <c r="M25" s="260" t="s">
        <v>326</v>
      </c>
    </row>
    <row r="26" spans="1:13" x14ac:dyDescent="0.25">
      <c r="A26" s="146">
        <v>43693</v>
      </c>
      <c r="B26" s="11" t="s">
        <v>29</v>
      </c>
      <c r="C26" s="11" t="s">
        <v>86</v>
      </c>
      <c r="D26" s="11" t="s">
        <v>90</v>
      </c>
      <c r="E26" s="11" t="s">
        <v>6</v>
      </c>
      <c r="F26" s="11" t="s">
        <v>88</v>
      </c>
      <c r="G26" s="11" t="s">
        <v>89</v>
      </c>
      <c r="H26" s="108">
        <v>4.59</v>
      </c>
      <c r="I26" s="22"/>
      <c r="J26" s="108">
        <v>0.02</v>
      </c>
      <c r="K26" s="110">
        <v>3</v>
      </c>
      <c r="L26" s="259">
        <v>0.06</v>
      </c>
      <c r="M26" s="260" t="s">
        <v>327</v>
      </c>
    </row>
    <row r="27" spans="1:13" x14ac:dyDescent="0.25">
      <c r="A27" s="146">
        <v>43695</v>
      </c>
      <c r="B27" s="11" t="s">
        <v>29</v>
      </c>
      <c r="C27" s="11" t="s">
        <v>86</v>
      </c>
      <c r="D27" s="11" t="s">
        <v>90</v>
      </c>
      <c r="E27" s="11" t="s">
        <v>6</v>
      </c>
      <c r="F27" s="11" t="s">
        <v>88</v>
      </c>
      <c r="G27" s="11" t="s">
        <v>89</v>
      </c>
      <c r="H27" s="108">
        <v>4.57</v>
      </c>
      <c r="I27" s="22"/>
      <c r="J27" s="108">
        <v>0.02</v>
      </c>
      <c r="K27" s="110">
        <v>3</v>
      </c>
      <c r="L27" s="259">
        <v>0.06</v>
      </c>
      <c r="M27" s="260" t="s">
        <v>328</v>
      </c>
    </row>
    <row r="28" spans="1:13" x14ac:dyDescent="0.25">
      <c r="A28" s="146">
        <v>43699</v>
      </c>
      <c r="B28" s="11" t="s">
        <v>29</v>
      </c>
      <c r="C28" s="11" t="s">
        <v>86</v>
      </c>
      <c r="D28" s="11" t="s">
        <v>90</v>
      </c>
      <c r="E28" s="11" t="s">
        <v>6</v>
      </c>
      <c r="F28" s="11" t="s">
        <v>88</v>
      </c>
      <c r="G28" s="11" t="s">
        <v>89</v>
      </c>
      <c r="H28" s="108">
        <v>4.95</v>
      </c>
      <c r="I28" s="22"/>
      <c r="J28" s="108">
        <v>0.02</v>
      </c>
      <c r="K28" s="110">
        <v>3</v>
      </c>
      <c r="L28" s="259">
        <v>0.06</v>
      </c>
      <c r="M28" s="260" t="s">
        <v>329</v>
      </c>
    </row>
    <row r="29" spans="1:13" x14ac:dyDescent="0.25">
      <c r="A29" s="146">
        <v>43700</v>
      </c>
      <c r="B29" s="11" t="s">
        <v>29</v>
      </c>
      <c r="C29" s="11" t="s">
        <v>86</v>
      </c>
      <c r="D29" s="11" t="s">
        <v>90</v>
      </c>
      <c r="E29" s="11" t="s">
        <v>6</v>
      </c>
      <c r="F29" s="11" t="s">
        <v>88</v>
      </c>
      <c r="G29" s="11" t="s">
        <v>89</v>
      </c>
      <c r="H29" s="108">
        <v>5.36</v>
      </c>
      <c r="I29" s="22"/>
      <c r="J29" s="108">
        <v>0.02</v>
      </c>
      <c r="K29" s="110">
        <v>3</v>
      </c>
      <c r="L29" s="259">
        <v>0.06</v>
      </c>
      <c r="M29" s="260" t="s">
        <v>330</v>
      </c>
    </row>
    <row r="30" spans="1:13" x14ac:dyDescent="0.25">
      <c r="A30" s="146">
        <v>43702</v>
      </c>
      <c r="B30" s="11" t="s">
        <v>29</v>
      </c>
      <c r="C30" s="11" t="s">
        <v>86</v>
      </c>
      <c r="D30" s="11" t="s">
        <v>90</v>
      </c>
      <c r="E30" s="11" t="s">
        <v>6</v>
      </c>
      <c r="F30" s="11" t="s">
        <v>88</v>
      </c>
      <c r="G30" s="11" t="s">
        <v>89</v>
      </c>
      <c r="H30" s="108">
        <v>5.46</v>
      </c>
      <c r="I30" s="22"/>
      <c r="J30" s="108">
        <v>0.02</v>
      </c>
      <c r="K30" s="110">
        <v>3</v>
      </c>
      <c r="L30" s="259">
        <v>0.06</v>
      </c>
      <c r="M30" s="260" t="s">
        <v>331</v>
      </c>
    </row>
    <row r="31" spans="1:13" x14ac:dyDescent="0.25">
      <c r="A31" s="146">
        <v>43706</v>
      </c>
      <c r="B31" s="11" t="s">
        <v>29</v>
      </c>
      <c r="C31" s="11" t="s">
        <v>86</v>
      </c>
      <c r="D31" s="11" t="s">
        <v>90</v>
      </c>
      <c r="E31" s="11" t="s">
        <v>6</v>
      </c>
      <c r="F31" s="11" t="s">
        <v>88</v>
      </c>
      <c r="G31" s="11" t="s">
        <v>89</v>
      </c>
      <c r="H31" s="108">
        <v>5.96</v>
      </c>
      <c r="I31" s="22"/>
      <c r="J31" s="108">
        <v>0.02</v>
      </c>
      <c r="K31" s="110">
        <v>3</v>
      </c>
      <c r="L31" s="259">
        <v>0.06</v>
      </c>
      <c r="M31" s="260" t="s">
        <v>332</v>
      </c>
    </row>
    <row r="32" spans="1:13" x14ac:dyDescent="0.25">
      <c r="A32" s="146">
        <v>43707</v>
      </c>
      <c r="B32" s="11" t="s">
        <v>29</v>
      </c>
      <c r="C32" s="11" t="s">
        <v>86</v>
      </c>
      <c r="D32" s="11" t="s">
        <v>90</v>
      </c>
      <c r="E32" s="11" t="s">
        <v>6</v>
      </c>
      <c r="F32" s="11" t="s">
        <v>88</v>
      </c>
      <c r="G32" s="11" t="s">
        <v>89</v>
      </c>
      <c r="H32" s="108">
        <v>5.72</v>
      </c>
      <c r="I32" s="22"/>
      <c r="J32" s="108">
        <v>0.04</v>
      </c>
      <c r="K32" s="110">
        <v>3</v>
      </c>
      <c r="L32" s="259">
        <v>0.12</v>
      </c>
      <c r="M32" s="260" t="s">
        <v>333</v>
      </c>
    </row>
    <row r="33" spans="1:13" x14ac:dyDescent="0.25">
      <c r="A33" s="146">
        <v>43674</v>
      </c>
      <c r="B33" s="11" t="s">
        <v>30</v>
      </c>
      <c r="C33" s="11" t="s">
        <v>91</v>
      </c>
      <c r="D33" s="11" t="s">
        <v>87</v>
      </c>
      <c r="E33" s="11" t="s">
        <v>5</v>
      </c>
      <c r="F33" s="11" t="s">
        <v>88</v>
      </c>
      <c r="G33" s="11" t="s">
        <v>89</v>
      </c>
      <c r="H33" s="108">
        <v>0.13</v>
      </c>
      <c r="I33" s="22"/>
      <c r="J33" s="108">
        <v>0.05</v>
      </c>
      <c r="K33" s="110">
        <v>3</v>
      </c>
      <c r="L33" s="259">
        <v>0.15</v>
      </c>
      <c r="M33" s="260" t="s">
        <v>334</v>
      </c>
    </row>
    <row r="34" spans="1:13" x14ac:dyDescent="0.25">
      <c r="A34" s="146">
        <v>43675</v>
      </c>
      <c r="B34" s="11" t="s">
        <v>30</v>
      </c>
      <c r="C34" s="11" t="s">
        <v>91</v>
      </c>
      <c r="D34" s="11" t="s">
        <v>87</v>
      </c>
      <c r="E34" s="11" t="s">
        <v>5</v>
      </c>
      <c r="F34" s="11" t="s">
        <v>88</v>
      </c>
      <c r="G34" s="11" t="s">
        <v>89</v>
      </c>
      <c r="H34" s="108">
        <v>0.13</v>
      </c>
      <c r="I34" s="22"/>
      <c r="J34" s="108">
        <v>0.05</v>
      </c>
      <c r="K34" s="110">
        <v>3</v>
      </c>
      <c r="L34" s="259">
        <v>0.15</v>
      </c>
      <c r="M34" s="260" t="s">
        <v>335</v>
      </c>
    </row>
    <row r="35" spans="1:13" x14ac:dyDescent="0.25">
      <c r="A35" s="146">
        <v>43677</v>
      </c>
      <c r="B35" s="11" t="s">
        <v>30</v>
      </c>
      <c r="C35" s="11" t="s">
        <v>91</v>
      </c>
      <c r="D35" s="11" t="s">
        <v>87</v>
      </c>
      <c r="E35" s="11" t="s">
        <v>5</v>
      </c>
      <c r="F35" s="11" t="s">
        <v>88</v>
      </c>
      <c r="G35" s="11" t="s">
        <v>89</v>
      </c>
      <c r="H35" s="108">
        <v>0.36</v>
      </c>
      <c r="I35" s="22"/>
      <c r="J35" s="108">
        <v>0.05</v>
      </c>
      <c r="K35" s="110">
        <v>3</v>
      </c>
      <c r="L35" s="259">
        <v>0.15</v>
      </c>
      <c r="M35" s="260" t="s">
        <v>336</v>
      </c>
    </row>
    <row r="36" spans="1:13" x14ac:dyDescent="0.25">
      <c r="A36" s="146">
        <v>43681</v>
      </c>
      <c r="B36" s="11" t="s">
        <v>30</v>
      </c>
      <c r="C36" s="11" t="s">
        <v>91</v>
      </c>
      <c r="D36" s="11" t="s">
        <v>87</v>
      </c>
      <c r="E36" s="11" t="s">
        <v>5</v>
      </c>
      <c r="F36" s="11" t="s">
        <v>88</v>
      </c>
      <c r="G36" s="11" t="s">
        <v>89</v>
      </c>
      <c r="H36" s="108">
        <v>0.6</v>
      </c>
      <c r="I36" s="22"/>
      <c r="J36" s="108">
        <v>0.05</v>
      </c>
      <c r="K36" s="110">
        <v>3</v>
      </c>
      <c r="L36" s="259">
        <v>0.15</v>
      </c>
      <c r="M36" s="260" t="s">
        <v>337</v>
      </c>
    </row>
    <row r="37" spans="1:13" x14ac:dyDescent="0.25">
      <c r="A37" s="146">
        <v>43682</v>
      </c>
      <c r="B37" s="11" t="s">
        <v>30</v>
      </c>
      <c r="C37" s="11" t="s">
        <v>91</v>
      </c>
      <c r="D37" s="11" t="s">
        <v>87</v>
      </c>
      <c r="E37" s="11" t="s">
        <v>5</v>
      </c>
      <c r="F37" s="11" t="s">
        <v>88</v>
      </c>
      <c r="G37" s="11" t="s">
        <v>89</v>
      </c>
      <c r="H37" s="108">
        <v>0.83</v>
      </c>
      <c r="I37" s="22"/>
      <c r="J37" s="108">
        <v>0.05</v>
      </c>
      <c r="K37" s="110">
        <v>3</v>
      </c>
      <c r="L37" s="259">
        <v>0.15</v>
      </c>
      <c r="M37" s="260" t="s">
        <v>338</v>
      </c>
    </row>
    <row r="38" spans="1:13" x14ac:dyDescent="0.25">
      <c r="A38" s="146">
        <v>43684</v>
      </c>
      <c r="B38" s="11" t="s">
        <v>30</v>
      </c>
      <c r="C38" s="11" t="s">
        <v>91</v>
      </c>
      <c r="D38" s="11" t="s">
        <v>87</v>
      </c>
      <c r="E38" s="11" t="s">
        <v>5</v>
      </c>
      <c r="F38" s="11" t="s">
        <v>88</v>
      </c>
      <c r="G38" s="11" t="s">
        <v>89</v>
      </c>
      <c r="H38" s="108">
        <v>0.73</v>
      </c>
      <c r="I38" s="22"/>
      <c r="J38" s="108">
        <v>0.05</v>
      </c>
      <c r="K38" s="110">
        <v>3</v>
      </c>
      <c r="L38" s="259">
        <v>0.15</v>
      </c>
      <c r="M38" s="260" t="s">
        <v>339</v>
      </c>
    </row>
    <row r="39" spans="1:13" x14ac:dyDescent="0.25">
      <c r="A39" s="146">
        <v>43688</v>
      </c>
      <c r="B39" s="11" t="s">
        <v>30</v>
      </c>
      <c r="C39" s="11" t="s">
        <v>91</v>
      </c>
      <c r="D39" s="11" t="s">
        <v>87</v>
      </c>
      <c r="E39" s="11" t="s">
        <v>5</v>
      </c>
      <c r="F39" s="11" t="s">
        <v>88</v>
      </c>
      <c r="G39" s="11" t="s">
        <v>89</v>
      </c>
      <c r="H39" s="108">
        <v>0.57999999999999996</v>
      </c>
      <c r="I39" s="22"/>
      <c r="J39" s="108">
        <v>0.05</v>
      </c>
      <c r="K39" s="110">
        <v>3</v>
      </c>
      <c r="L39" s="259">
        <v>0.15</v>
      </c>
      <c r="M39" s="260" t="s">
        <v>340</v>
      </c>
    </row>
    <row r="40" spans="1:13" x14ac:dyDescent="0.25">
      <c r="A40" s="146">
        <v>43692</v>
      </c>
      <c r="B40" s="11" t="s">
        <v>30</v>
      </c>
      <c r="C40" s="11" t="s">
        <v>91</v>
      </c>
      <c r="D40" s="11" t="s">
        <v>87</v>
      </c>
      <c r="E40" s="11" t="s">
        <v>5</v>
      </c>
      <c r="F40" s="11" t="s">
        <v>88</v>
      </c>
      <c r="G40" s="11" t="s">
        <v>89</v>
      </c>
      <c r="H40" s="108">
        <v>1.1599999999999999</v>
      </c>
      <c r="I40" s="22"/>
      <c r="J40" s="108">
        <v>0.05</v>
      </c>
      <c r="K40" s="110">
        <v>3</v>
      </c>
      <c r="L40" s="259">
        <v>0.15</v>
      </c>
      <c r="M40" s="260" t="s">
        <v>341</v>
      </c>
    </row>
    <row r="41" spans="1:13" x14ac:dyDescent="0.25">
      <c r="A41" s="146">
        <v>43693</v>
      </c>
      <c r="B41" s="11" t="s">
        <v>30</v>
      </c>
      <c r="C41" s="11" t="s">
        <v>91</v>
      </c>
      <c r="D41" s="11" t="s">
        <v>87</v>
      </c>
      <c r="E41" s="11" t="s">
        <v>5</v>
      </c>
      <c r="F41" s="11" t="s">
        <v>88</v>
      </c>
      <c r="G41" s="11" t="s">
        <v>89</v>
      </c>
      <c r="H41" s="108">
        <v>1.48</v>
      </c>
      <c r="I41" s="22"/>
      <c r="J41" s="108">
        <v>0.05</v>
      </c>
      <c r="K41" s="110">
        <v>3</v>
      </c>
      <c r="L41" s="259">
        <v>0.15</v>
      </c>
      <c r="M41" s="260" t="s">
        <v>342</v>
      </c>
    </row>
    <row r="42" spans="1:13" x14ac:dyDescent="0.25">
      <c r="A42" s="146">
        <v>43695</v>
      </c>
      <c r="B42" s="11" t="s">
        <v>30</v>
      </c>
      <c r="C42" s="11" t="s">
        <v>91</v>
      </c>
      <c r="D42" s="11" t="s">
        <v>87</v>
      </c>
      <c r="E42" s="11" t="s">
        <v>5</v>
      </c>
      <c r="F42" s="11" t="s">
        <v>88</v>
      </c>
      <c r="G42" s="11" t="s">
        <v>89</v>
      </c>
      <c r="H42" s="108">
        <v>1.4</v>
      </c>
      <c r="I42" s="22"/>
      <c r="J42" s="108">
        <v>0.05</v>
      </c>
      <c r="K42" s="110">
        <v>3</v>
      </c>
      <c r="L42" s="259">
        <v>0.15</v>
      </c>
      <c r="M42" s="260" t="s">
        <v>343</v>
      </c>
    </row>
    <row r="43" spans="1:13" x14ac:dyDescent="0.25">
      <c r="A43" s="146">
        <v>43699</v>
      </c>
      <c r="B43" s="11" t="s">
        <v>30</v>
      </c>
      <c r="C43" s="11" t="s">
        <v>91</v>
      </c>
      <c r="D43" s="11" t="s">
        <v>87</v>
      </c>
      <c r="E43" s="11" t="s">
        <v>5</v>
      </c>
      <c r="F43" s="11" t="s">
        <v>88</v>
      </c>
      <c r="G43" s="11" t="s">
        <v>89</v>
      </c>
      <c r="H43" s="108">
        <v>0.19</v>
      </c>
      <c r="I43" s="22"/>
      <c r="J43" s="108">
        <v>0.05</v>
      </c>
      <c r="K43" s="110">
        <v>3</v>
      </c>
      <c r="L43" s="259">
        <v>0.15</v>
      </c>
      <c r="M43" s="260" t="s">
        <v>344</v>
      </c>
    </row>
    <row r="44" spans="1:13" x14ac:dyDescent="0.25">
      <c r="A44" s="146">
        <v>43700</v>
      </c>
      <c r="B44" s="11" t="s">
        <v>30</v>
      </c>
      <c r="C44" s="11" t="s">
        <v>91</v>
      </c>
      <c r="D44" s="11" t="s">
        <v>87</v>
      </c>
      <c r="E44" s="11" t="s">
        <v>5</v>
      </c>
      <c r="F44" s="11" t="s">
        <v>88</v>
      </c>
      <c r="G44" s="11" t="s">
        <v>89</v>
      </c>
      <c r="H44" s="108">
        <v>0.71</v>
      </c>
      <c r="I44" s="22"/>
      <c r="J44" s="108">
        <v>0.05</v>
      </c>
      <c r="K44" s="110">
        <v>3</v>
      </c>
      <c r="L44" s="259">
        <v>0.15</v>
      </c>
      <c r="M44" s="260" t="s">
        <v>345</v>
      </c>
    </row>
    <row r="45" spans="1:13" x14ac:dyDescent="0.25">
      <c r="A45" s="146">
        <v>43702</v>
      </c>
      <c r="B45" s="11" t="s">
        <v>30</v>
      </c>
      <c r="C45" s="11" t="s">
        <v>91</v>
      </c>
      <c r="D45" s="11" t="s">
        <v>87</v>
      </c>
      <c r="E45" s="11" t="s">
        <v>5</v>
      </c>
      <c r="F45" s="11" t="s">
        <v>88</v>
      </c>
      <c r="G45" s="11" t="s">
        <v>89</v>
      </c>
      <c r="H45" s="108">
        <v>1.65</v>
      </c>
      <c r="I45" s="22"/>
      <c r="J45" s="108">
        <v>0.05</v>
      </c>
      <c r="K45" s="110">
        <v>3</v>
      </c>
      <c r="L45" s="259">
        <v>0.15</v>
      </c>
      <c r="M45" s="260" t="s">
        <v>346</v>
      </c>
    </row>
    <row r="46" spans="1:13" x14ac:dyDescent="0.25">
      <c r="A46" s="146">
        <v>43706</v>
      </c>
      <c r="B46" s="11" t="s">
        <v>30</v>
      </c>
      <c r="C46" s="11" t="s">
        <v>91</v>
      </c>
      <c r="D46" s="11" t="s">
        <v>87</v>
      </c>
      <c r="E46" s="11" t="s">
        <v>5</v>
      </c>
      <c r="F46" s="11" t="s">
        <v>88</v>
      </c>
      <c r="G46" s="11" t="s">
        <v>89</v>
      </c>
      <c r="H46" s="108">
        <v>0.86</v>
      </c>
      <c r="I46" s="22"/>
      <c r="J46" s="108">
        <v>0.05</v>
      </c>
      <c r="K46" s="110">
        <v>3</v>
      </c>
      <c r="L46" s="259">
        <v>0.15</v>
      </c>
      <c r="M46" s="260" t="s">
        <v>347</v>
      </c>
    </row>
    <row r="47" spans="1:13" x14ac:dyDescent="0.25">
      <c r="A47" s="146">
        <v>43707</v>
      </c>
      <c r="B47" s="11" t="s">
        <v>30</v>
      </c>
      <c r="C47" s="11" t="s">
        <v>91</v>
      </c>
      <c r="D47" s="11" t="s">
        <v>87</v>
      </c>
      <c r="E47" s="11" t="s">
        <v>5</v>
      </c>
      <c r="F47" s="11" t="s">
        <v>88</v>
      </c>
      <c r="G47" s="11" t="s">
        <v>89</v>
      </c>
      <c r="H47" s="108">
        <v>1.88</v>
      </c>
      <c r="I47" s="22"/>
      <c r="J47" s="108">
        <v>0.05</v>
      </c>
      <c r="K47" s="110">
        <v>3</v>
      </c>
      <c r="L47" s="259">
        <v>0.15</v>
      </c>
      <c r="M47" s="260" t="s">
        <v>348</v>
      </c>
    </row>
    <row r="48" spans="1:13" x14ac:dyDescent="0.25">
      <c r="A48" s="146">
        <v>43674</v>
      </c>
      <c r="B48" s="11" t="s">
        <v>30</v>
      </c>
      <c r="C48" s="11" t="s">
        <v>91</v>
      </c>
      <c r="D48" s="11" t="s">
        <v>90</v>
      </c>
      <c r="E48" s="11" t="s">
        <v>6</v>
      </c>
      <c r="F48" s="11" t="s">
        <v>88</v>
      </c>
      <c r="G48" s="11" t="s">
        <v>89</v>
      </c>
      <c r="H48" s="108">
        <v>6.53</v>
      </c>
      <c r="I48" s="22"/>
      <c r="J48" s="108">
        <v>0.02</v>
      </c>
      <c r="K48" s="110">
        <v>3</v>
      </c>
      <c r="L48" s="259">
        <v>0.06</v>
      </c>
      <c r="M48" s="260" t="s">
        <v>334</v>
      </c>
    </row>
    <row r="49" spans="1:13" x14ac:dyDescent="0.25">
      <c r="A49" s="146">
        <v>43675</v>
      </c>
      <c r="B49" s="11" t="s">
        <v>30</v>
      </c>
      <c r="C49" s="11" t="s">
        <v>91</v>
      </c>
      <c r="D49" s="11" t="s">
        <v>90</v>
      </c>
      <c r="E49" s="11" t="s">
        <v>6</v>
      </c>
      <c r="F49" s="11" t="s">
        <v>88</v>
      </c>
      <c r="G49" s="11" t="s">
        <v>89</v>
      </c>
      <c r="H49" s="108">
        <v>5.78</v>
      </c>
      <c r="I49" s="22"/>
      <c r="J49" s="108">
        <v>0.02</v>
      </c>
      <c r="K49" s="110">
        <v>3</v>
      </c>
      <c r="L49" s="259">
        <v>0.06</v>
      </c>
      <c r="M49" s="260" t="s">
        <v>335</v>
      </c>
    </row>
    <row r="50" spans="1:13" x14ac:dyDescent="0.25">
      <c r="A50" s="146">
        <v>43677</v>
      </c>
      <c r="B50" s="11" t="s">
        <v>30</v>
      </c>
      <c r="C50" s="11" t="s">
        <v>91</v>
      </c>
      <c r="D50" s="11" t="s">
        <v>90</v>
      </c>
      <c r="E50" s="11" t="s">
        <v>6</v>
      </c>
      <c r="F50" s="11" t="s">
        <v>88</v>
      </c>
      <c r="G50" s="11" t="s">
        <v>89</v>
      </c>
      <c r="H50" s="108">
        <v>4.63</v>
      </c>
      <c r="I50" s="22"/>
      <c r="J50" s="108">
        <v>0.02</v>
      </c>
      <c r="K50" s="110">
        <v>3</v>
      </c>
      <c r="L50" s="259">
        <v>0.06</v>
      </c>
      <c r="M50" s="260" t="s">
        <v>336</v>
      </c>
    </row>
    <row r="51" spans="1:13" x14ac:dyDescent="0.25">
      <c r="A51" s="146">
        <v>43681</v>
      </c>
      <c r="B51" s="11" t="s">
        <v>30</v>
      </c>
      <c r="C51" s="11" t="s">
        <v>91</v>
      </c>
      <c r="D51" s="11" t="s">
        <v>90</v>
      </c>
      <c r="E51" s="11" t="s">
        <v>6</v>
      </c>
      <c r="F51" s="11" t="s">
        <v>88</v>
      </c>
      <c r="G51" s="11" t="s">
        <v>89</v>
      </c>
      <c r="H51" s="108">
        <v>5.47</v>
      </c>
      <c r="I51" s="22"/>
      <c r="J51" s="108">
        <v>0.02</v>
      </c>
      <c r="K51" s="110">
        <v>3</v>
      </c>
      <c r="L51" s="259">
        <v>0.06</v>
      </c>
      <c r="M51" s="260" t="s">
        <v>337</v>
      </c>
    </row>
    <row r="52" spans="1:13" x14ac:dyDescent="0.25">
      <c r="A52" s="146">
        <v>43682</v>
      </c>
      <c r="B52" s="11" t="s">
        <v>30</v>
      </c>
      <c r="C52" s="11" t="s">
        <v>91</v>
      </c>
      <c r="D52" s="11" t="s">
        <v>90</v>
      </c>
      <c r="E52" s="11" t="s">
        <v>6</v>
      </c>
      <c r="F52" s="11" t="s">
        <v>88</v>
      </c>
      <c r="G52" s="11" t="s">
        <v>89</v>
      </c>
      <c r="H52" s="108">
        <v>4.84</v>
      </c>
      <c r="I52" s="22"/>
      <c r="J52" s="108">
        <v>0.02</v>
      </c>
      <c r="K52" s="110">
        <v>3</v>
      </c>
      <c r="L52" s="259">
        <v>0.06</v>
      </c>
      <c r="M52" s="260" t="s">
        <v>338</v>
      </c>
    </row>
    <row r="53" spans="1:13" x14ac:dyDescent="0.25">
      <c r="A53" s="146">
        <v>43684</v>
      </c>
      <c r="B53" s="11" t="s">
        <v>30</v>
      </c>
      <c r="C53" s="11" t="s">
        <v>91</v>
      </c>
      <c r="D53" s="11" t="s">
        <v>90</v>
      </c>
      <c r="E53" s="11" t="s">
        <v>6</v>
      </c>
      <c r="F53" s="11" t="s">
        <v>88</v>
      </c>
      <c r="G53" s="11" t="s">
        <v>89</v>
      </c>
      <c r="H53" s="108">
        <v>5.12</v>
      </c>
      <c r="I53" s="22"/>
      <c r="J53" s="108">
        <v>0.02</v>
      </c>
      <c r="K53" s="110">
        <v>3</v>
      </c>
      <c r="L53" s="259">
        <v>0.06</v>
      </c>
      <c r="M53" s="260" t="s">
        <v>339</v>
      </c>
    </row>
    <row r="54" spans="1:13" x14ac:dyDescent="0.25">
      <c r="A54" s="146">
        <v>43688</v>
      </c>
      <c r="B54" s="11" t="s">
        <v>30</v>
      </c>
      <c r="C54" s="11" t="s">
        <v>91</v>
      </c>
      <c r="D54" s="11" t="s">
        <v>90</v>
      </c>
      <c r="E54" s="11" t="s">
        <v>6</v>
      </c>
      <c r="F54" s="11" t="s">
        <v>88</v>
      </c>
      <c r="G54" s="11" t="s">
        <v>89</v>
      </c>
      <c r="H54" s="108">
        <v>6.28</v>
      </c>
      <c r="I54" s="22"/>
      <c r="J54" s="108">
        <v>0.02</v>
      </c>
      <c r="K54" s="110">
        <v>3</v>
      </c>
      <c r="L54" s="259">
        <v>0.06</v>
      </c>
      <c r="M54" s="260" t="s">
        <v>340</v>
      </c>
    </row>
    <row r="55" spans="1:13" x14ac:dyDescent="0.25">
      <c r="A55" s="146">
        <v>43692</v>
      </c>
      <c r="B55" s="11" t="s">
        <v>30</v>
      </c>
      <c r="C55" s="11" t="s">
        <v>91</v>
      </c>
      <c r="D55" s="11" t="s">
        <v>90</v>
      </c>
      <c r="E55" s="11" t="s">
        <v>6</v>
      </c>
      <c r="F55" s="11" t="s">
        <v>88</v>
      </c>
      <c r="G55" s="11" t="s">
        <v>89</v>
      </c>
      <c r="H55" s="108">
        <v>5.12</v>
      </c>
      <c r="I55" s="22"/>
      <c r="J55" s="108">
        <v>0.02</v>
      </c>
      <c r="K55" s="110">
        <v>3</v>
      </c>
      <c r="L55" s="259">
        <v>0.06</v>
      </c>
      <c r="M55" s="260" t="s">
        <v>341</v>
      </c>
    </row>
    <row r="56" spans="1:13" x14ac:dyDescent="0.25">
      <c r="A56" s="146">
        <v>43693</v>
      </c>
      <c r="B56" s="11" t="s">
        <v>30</v>
      </c>
      <c r="C56" s="11" t="s">
        <v>91</v>
      </c>
      <c r="D56" s="11" t="s">
        <v>90</v>
      </c>
      <c r="E56" s="11" t="s">
        <v>6</v>
      </c>
      <c r="F56" s="11" t="s">
        <v>88</v>
      </c>
      <c r="G56" s="11" t="s">
        <v>89</v>
      </c>
      <c r="H56" s="108">
        <v>5.87</v>
      </c>
      <c r="I56" s="22"/>
      <c r="J56" s="108">
        <v>0.02</v>
      </c>
      <c r="K56" s="110">
        <v>3</v>
      </c>
      <c r="L56" s="259">
        <v>0.06</v>
      </c>
      <c r="M56" s="260" t="s">
        <v>342</v>
      </c>
    </row>
    <row r="57" spans="1:13" x14ac:dyDescent="0.25">
      <c r="A57" s="146">
        <v>43695</v>
      </c>
      <c r="B57" s="11" t="s">
        <v>30</v>
      </c>
      <c r="C57" s="11" t="s">
        <v>91</v>
      </c>
      <c r="D57" s="11" t="s">
        <v>90</v>
      </c>
      <c r="E57" s="11" t="s">
        <v>6</v>
      </c>
      <c r="F57" s="11" t="s">
        <v>88</v>
      </c>
      <c r="G57" s="11" t="s">
        <v>89</v>
      </c>
      <c r="H57" s="108">
        <v>6.2</v>
      </c>
      <c r="I57" s="22"/>
      <c r="J57" s="108">
        <v>0.02</v>
      </c>
      <c r="K57" s="110">
        <v>3</v>
      </c>
      <c r="L57" s="259">
        <v>0.06</v>
      </c>
      <c r="M57" s="260" t="s">
        <v>343</v>
      </c>
    </row>
    <row r="58" spans="1:13" x14ac:dyDescent="0.25">
      <c r="A58" s="146">
        <v>43699</v>
      </c>
      <c r="B58" s="11" t="s">
        <v>30</v>
      </c>
      <c r="C58" s="11" t="s">
        <v>91</v>
      </c>
      <c r="D58" s="11" t="s">
        <v>90</v>
      </c>
      <c r="E58" s="11" t="s">
        <v>6</v>
      </c>
      <c r="F58" s="11" t="s">
        <v>88</v>
      </c>
      <c r="G58" s="11" t="s">
        <v>89</v>
      </c>
      <c r="H58" s="108">
        <v>6</v>
      </c>
      <c r="I58" s="22"/>
      <c r="J58" s="108">
        <v>0.02</v>
      </c>
      <c r="K58" s="110">
        <v>3</v>
      </c>
      <c r="L58" s="259">
        <v>0.06</v>
      </c>
      <c r="M58" s="260" t="s">
        <v>344</v>
      </c>
    </row>
    <row r="59" spans="1:13" x14ac:dyDescent="0.25">
      <c r="A59" s="146">
        <v>43700</v>
      </c>
      <c r="B59" s="11" t="s">
        <v>30</v>
      </c>
      <c r="C59" s="11" t="s">
        <v>91</v>
      </c>
      <c r="D59" s="11" t="s">
        <v>90</v>
      </c>
      <c r="E59" s="11" t="s">
        <v>6</v>
      </c>
      <c r="F59" s="11" t="s">
        <v>88</v>
      </c>
      <c r="G59" s="11" t="s">
        <v>89</v>
      </c>
      <c r="H59" s="108">
        <v>5.86</v>
      </c>
      <c r="I59" s="22"/>
      <c r="J59" s="108">
        <v>0.02</v>
      </c>
      <c r="K59" s="110">
        <v>3</v>
      </c>
      <c r="L59" s="259">
        <v>0.06</v>
      </c>
      <c r="M59" s="260" t="s">
        <v>345</v>
      </c>
    </row>
    <row r="60" spans="1:13" x14ac:dyDescent="0.25">
      <c r="A60" s="146">
        <v>43702</v>
      </c>
      <c r="B60" s="11" t="s">
        <v>30</v>
      </c>
      <c r="C60" s="11" t="s">
        <v>91</v>
      </c>
      <c r="D60" s="11" t="s">
        <v>90</v>
      </c>
      <c r="E60" s="11" t="s">
        <v>6</v>
      </c>
      <c r="F60" s="11" t="s">
        <v>88</v>
      </c>
      <c r="G60" s="11" t="s">
        <v>89</v>
      </c>
      <c r="H60" s="108">
        <v>6.05</v>
      </c>
      <c r="I60" s="22"/>
      <c r="J60" s="108">
        <v>0.02</v>
      </c>
      <c r="K60" s="110">
        <v>3</v>
      </c>
      <c r="L60" s="259">
        <v>0.06</v>
      </c>
      <c r="M60" s="260" t="s">
        <v>346</v>
      </c>
    </row>
    <row r="61" spans="1:13" x14ac:dyDescent="0.25">
      <c r="A61" s="146">
        <v>43706</v>
      </c>
      <c r="B61" s="11" t="s">
        <v>30</v>
      </c>
      <c r="C61" s="11" t="s">
        <v>91</v>
      </c>
      <c r="D61" s="11" t="s">
        <v>90</v>
      </c>
      <c r="E61" s="11" t="s">
        <v>6</v>
      </c>
      <c r="F61" s="11" t="s">
        <v>88</v>
      </c>
      <c r="G61" s="11" t="s">
        <v>89</v>
      </c>
      <c r="H61" s="108">
        <v>6.36</v>
      </c>
      <c r="I61" s="22"/>
      <c r="J61" s="108">
        <v>0.02</v>
      </c>
      <c r="K61" s="110">
        <v>3</v>
      </c>
      <c r="L61" s="259">
        <v>0.06</v>
      </c>
      <c r="M61" s="260" t="s">
        <v>347</v>
      </c>
    </row>
    <row r="62" spans="1:13" x14ac:dyDescent="0.25">
      <c r="A62" s="146">
        <v>43707</v>
      </c>
      <c r="B62" s="11" t="s">
        <v>30</v>
      </c>
      <c r="C62" s="11" t="s">
        <v>91</v>
      </c>
      <c r="D62" s="11" t="s">
        <v>90</v>
      </c>
      <c r="E62" s="11" t="s">
        <v>6</v>
      </c>
      <c r="F62" s="11" t="s">
        <v>88</v>
      </c>
      <c r="G62" s="11" t="s">
        <v>89</v>
      </c>
      <c r="H62" s="108">
        <v>6.36</v>
      </c>
      <c r="I62" s="22"/>
      <c r="J62" s="108">
        <v>0.02</v>
      </c>
      <c r="K62" s="110">
        <v>3</v>
      </c>
      <c r="L62" s="259">
        <v>0.06</v>
      </c>
      <c r="M62" s="260" t="s">
        <v>348</v>
      </c>
    </row>
    <row r="63" spans="1:13" x14ac:dyDescent="0.25">
      <c r="A63" s="146">
        <v>43674</v>
      </c>
      <c r="B63" s="11" t="s">
        <v>16</v>
      </c>
      <c r="C63" s="11" t="s">
        <v>92</v>
      </c>
      <c r="D63" s="11" t="s">
        <v>93</v>
      </c>
      <c r="E63" s="11" t="s">
        <v>7</v>
      </c>
      <c r="F63" s="11" t="s">
        <v>88</v>
      </c>
      <c r="G63" s="11" t="s">
        <v>89</v>
      </c>
      <c r="H63" s="108">
        <v>4</v>
      </c>
      <c r="I63" s="22"/>
      <c r="J63" s="108">
        <v>0</v>
      </c>
      <c r="K63" s="110">
        <v>1</v>
      </c>
      <c r="L63" s="259">
        <v>0</v>
      </c>
      <c r="M63" s="260" t="s">
        <v>349</v>
      </c>
    </row>
    <row r="64" spans="1:13" x14ac:dyDescent="0.25">
      <c r="A64" s="146">
        <v>43675</v>
      </c>
      <c r="B64" s="11" t="s">
        <v>16</v>
      </c>
      <c r="C64" s="11" t="s">
        <v>92</v>
      </c>
      <c r="D64" s="11" t="s">
        <v>93</v>
      </c>
      <c r="E64" s="11" t="s">
        <v>7</v>
      </c>
      <c r="F64" s="11" t="s">
        <v>88</v>
      </c>
      <c r="G64" s="11" t="s">
        <v>89</v>
      </c>
      <c r="H64" s="108">
        <v>4</v>
      </c>
      <c r="I64" s="22" t="s">
        <v>94</v>
      </c>
      <c r="J64" s="108">
        <v>0</v>
      </c>
      <c r="K64" s="110">
        <v>1</v>
      </c>
      <c r="L64" s="259">
        <v>0</v>
      </c>
      <c r="M64" s="260" t="s">
        <v>350</v>
      </c>
    </row>
    <row r="65" spans="1:13" x14ac:dyDescent="0.25">
      <c r="A65" s="146">
        <v>43676</v>
      </c>
      <c r="B65" s="11" t="s">
        <v>16</v>
      </c>
      <c r="C65" s="11" t="s">
        <v>92</v>
      </c>
      <c r="D65" s="11" t="s">
        <v>93</v>
      </c>
      <c r="E65" s="11" t="s">
        <v>7</v>
      </c>
      <c r="F65" s="11" t="s">
        <v>88</v>
      </c>
      <c r="G65" s="11" t="s">
        <v>89</v>
      </c>
      <c r="H65" s="108">
        <v>4</v>
      </c>
      <c r="I65" s="22"/>
      <c r="J65" s="108">
        <v>0</v>
      </c>
      <c r="K65" s="110">
        <v>1</v>
      </c>
      <c r="L65" s="259">
        <v>0</v>
      </c>
      <c r="M65" s="260" t="s">
        <v>351</v>
      </c>
    </row>
    <row r="66" spans="1:13" x14ac:dyDescent="0.25">
      <c r="A66" s="146">
        <v>43677</v>
      </c>
      <c r="B66" s="11" t="s">
        <v>16</v>
      </c>
      <c r="C66" s="11" t="s">
        <v>92</v>
      </c>
      <c r="D66" s="11" t="s">
        <v>93</v>
      </c>
      <c r="E66" s="11" t="s">
        <v>7</v>
      </c>
      <c r="F66" s="11" t="s">
        <v>88</v>
      </c>
      <c r="G66" s="11" t="s">
        <v>89</v>
      </c>
      <c r="H66" s="108">
        <v>4</v>
      </c>
      <c r="I66" s="22"/>
      <c r="J66" s="108">
        <v>0</v>
      </c>
      <c r="K66" s="110">
        <v>1</v>
      </c>
      <c r="L66" s="259">
        <v>0</v>
      </c>
      <c r="M66" s="260" t="s">
        <v>352</v>
      </c>
    </row>
    <row r="67" spans="1:13" x14ac:dyDescent="0.25">
      <c r="A67" s="146">
        <v>43678</v>
      </c>
      <c r="B67" s="11" t="s">
        <v>16</v>
      </c>
      <c r="C67" s="11" t="s">
        <v>92</v>
      </c>
      <c r="D67" s="11" t="s">
        <v>93</v>
      </c>
      <c r="E67" s="11" t="s">
        <v>7</v>
      </c>
      <c r="F67" s="11" t="s">
        <v>88</v>
      </c>
      <c r="G67" s="11" t="s">
        <v>89</v>
      </c>
      <c r="H67" s="108">
        <v>3</v>
      </c>
      <c r="I67" s="22"/>
      <c r="J67" s="108">
        <v>0</v>
      </c>
      <c r="K67" s="110">
        <v>1</v>
      </c>
      <c r="L67" s="259">
        <v>0</v>
      </c>
      <c r="M67" s="260" t="s">
        <v>353</v>
      </c>
    </row>
    <row r="68" spans="1:13" x14ac:dyDescent="0.25">
      <c r="A68" s="146">
        <v>43679</v>
      </c>
      <c r="B68" s="11" t="s">
        <v>16</v>
      </c>
      <c r="C68" s="11" t="s">
        <v>92</v>
      </c>
      <c r="D68" s="11" t="s">
        <v>93</v>
      </c>
      <c r="E68" s="11" t="s">
        <v>7</v>
      </c>
      <c r="F68" s="11" t="s">
        <v>88</v>
      </c>
      <c r="G68" s="11" t="s">
        <v>89</v>
      </c>
      <c r="H68" s="108">
        <v>4</v>
      </c>
      <c r="I68" s="22"/>
      <c r="J68" s="108">
        <v>0</v>
      </c>
      <c r="K68" s="110">
        <v>1</v>
      </c>
      <c r="L68" s="259">
        <v>0</v>
      </c>
      <c r="M68" s="260" t="s">
        <v>354</v>
      </c>
    </row>
    <row r="69" spans="1:13" x14ac:dyDescent="0.25">
      <c r="A69" s="146">
        <v>43680</v>
      </c>
      <c r="B69" s="11" t="s">
        <v>16</v>
      </c>
      <c r="C69" s="11" t="s">
        <v>92</v>
      </c>
      <c r="D69" s="11" t="s">
        <v>93</v>
      </c>
      <c r="E69" s="11" t="s">
        <v>7</v>
      </c>
      <c r="F69" s="11" t="s">
        <v>88</v>
      </c>
      <c r="G69" s="11" t="s">
        <v>89</v>
      </c>
      <c r="H69" s="108" t="s">
        <v>258</v>
      </c>
      <c r="I69" s="22">
        <v>-19</v>
      </c>
      <c r="J69" s="108">
        <v>0</v>
      </c>
      <c r="K69" s="110">
        <v>1</v>
      </c>
      <c r="L69" s="259">
        <v>0</v>
      </c>
      <c r="M69" s="260" t="s">
        <v>355</v>
      </c>
    </row>
    <row r="70" spans="1:13" x14ac:dyDescent="0.25">
      <c r="A70" s="146">
        <v>43681</v>
      </c>
      <c r="B70" s="11" t="s">
        <v>16</v>
      </c>
      <c r="C70" s="11" t="s">
        <v>92</v>
      </c>
      <c r="D70" s="11" t="s">
        <v>93</v>
      </c>
      <c r="E70" s="11" t="s">
        <v>7</v>
      </c>
      <c r="F70" s="11" t="s">
        <v>88</v>
      </c>
      <c r="G70" s="11" t="s">
        <v>89</v>
      </c>
      <c r="H70" s="108">
        <v>4</v>
      </c>
      <c r="I70" s="22"/>
      <c r="J70" s="108">
        <v>0</v>
      </c>
      <c r="K70" s="110">
        <v>1</v>
      </c>
      <c r="L70" s="259">
        <v>0</v>
      </c>
      <c r="M70" s="260" t="s">
        <v>356</v>
      </c>
    </row>
    <row r="71" spans="1:13" x14ac:dyDescent="0.25">
      <c r="A71" s="146">
        <v>43682</v>
      </c>
      <c r="B71" s="11" t="s">
        <v>16</v>
      </c>
      <c r="C71" s="11" t="s">
        <v>92</v>
      </c>
      <c r="D71" s="11" t="s">
        <v>93</v>
      </c>
      <c r="E71" s="11" t="s">
        <v>7</v>
      </c>
      <c r="F71" s="11" t="s">
        <v>88</v>
      </c>
      <c r="G71" s="11" t="s">
        <v>89</v>
      </c>
      <c r="H71" s="108">
        <v>4</v>
      </c>
      <c r="I71" s="22"/>
      <c r="J71" s="108">
        <v>0</v>
      </c>
      <c r="K71" s="110">
        <v>1</v>
      </c>
      <c r="L71" s="259">
        <v>0</v>
      </c>
      <c r="M71" s="260" t="s">
        <v>357</v>
      </c>
    </row>
    <row r="72" spans="1:13" x14ac:dyDescent="0.25">
      <c r="A72" s="146">
        <v>43683</v>
      </c>
      <c r="B72" s="11" t="s">
        <v>16</v>
      </c>
      <c r="C72" s="11" t="s">
        <v>92</v>
      </c>
      <c r="D72" s="11" t="s">
        <v>93</v>
      </c>
      <c r="E72" s="11" t="s">
        <v>7</v>
      </c>
      <c r="F72" s="11" t="s">
        <v>88</v>
      </c>
      <c r="G72" s="11" t="s">
        <v>89</v>
      </c>
      <c r="H72" s="108">
        <v>4</v>
      </c>
      <c r="I72" s="22"/>
      <c r="J72" s="108">
        <v>0</v>
      </c>
      <c r="K72" s="110">
        <v>1</v>
      </c>
      <c r="L72" s="259">
        <v>0</v>
      </c>
      <c r="M72" s="260" t="s">
        <v>358</v>
      </c>
    </row>
    <row r="73" spans="1:13" x14ac:dyDescent="0.25">
      <c r="A73" s="146">
        <v>43684</v>
      </c>
      <c r="B73" s="11" t="s">
        <v>16</v>
      </c>
      <c r="C73" s="11" t="s">
        <v>92</v>
      </c>
      <c r="D73" s="11" t="s">
        <v>93</v>
      </c>
      <c r="E73" s="11" t="s">
        <v>7</v>
      </c>
      <c r="F73" s="11" t="s">
        <v>88</v>
      </c>
      <c r="G73" s="11" t="s">
        <v>89</v>
      </c>
      <c r="H73" s="108">
        <v>4</v>
      </c>
      <c r="I73" s="22"/>
      <c r="J73" s="108">
        <v>0</v>
      </c>
      <c r="K73" s="110">
        <v>1</v>
      </c>
      <c r="L73" s="259">
        <v>0</v>
      </c>
      <c r="M73" s="260" t="s">
        <v>359</v>
      </c>
    </row>
    <row r="74" spans="1:13" x14ac:dyDescent="0.25">
      <c r="A74" s="146">
        <v>43685</v>
      </c>
      <c r="B74" s="11" t="s">
        <v>16</v>
      </c>
      <c r="C74" s="11" t="s">
        <v>92</v>
      </c>
      <c r="D74" s="11" t="s">
        <v>93</v>
      </c>
      <c r="E74" s="11" t="s">
        <v>7</v>
      </c>
      <c r="F74" s="11" t="s">
        <v>88</v>
      </c>
      <c r="G74" s="11" t="s">
        <v>89</v>
      </c>
      <c r="H74" s="108">
        <v>3</v>
      </c>
      <c r="I74" s="22"/>
      <c r="J74" s="108">
        <v>0</v>
      </c>
      <c r="K74" s="110">
        <v>1</v>
      </c>
      <c r="L74" s="259">
        <v>0</v>
      </c>
      <c r="M74" s="260" t="s">
        <v>360</v>
      </c>
    </row>
    <row r="75" spans="1:13" x14ac:dyDescent="0.25">
      <c r="A75" s="146">
        <v>43686</v>
      </c>
      <c r="B75" s="11" t="s">
        <v>16</v>
      </c>
      <c r="C75" s="11" t="s">
        <v>92</v>
      </c>
      <c r="D75" s="11" t="s">
        <v>93</v>
      </c>
      <c r="E75" s="11" t="s">
        <v>7</v>
      </c>
      <c r="F75" s="11" t="s">
        <v>88</v>
      </c>
      <c r="G75" s="11" t="s">
        <v>89</v>
      </c>
      <c r="H75" s="108" t="s">
        <v>258</v>
      </c>
      <c r="I75" s="22">
        <v>-19</v>
      </c>
      <c r="J75" s="108">
        <v>0</v>
      </c>
      <c r="K75" s="110">
        <v>1</v>
      </c>
      <c r="L75" s="259">
        <v>0</v>
      </c>
      <c r="M75" s="260" t="s">
        <v>361</v>
      </c>
    </row>
    <row r="76" spans="1:13" x14ac:dyDescent="0.25">
      <c r="A76" s="146">
        <v>43687</v>
      </c>
      <c r="B76" s="11" t="s">
        <v>16</v>
      </c>
      <c r="C76" s="11" t="s">
        <v>92</v>
      </c>
      <c r="D76" s="11" t="s">
        <v>93</v>
      </c>
      <c r="E76" s="11" t="s">
        <v>7</v>
      </c>
      <c r="F76" s="11" t="s">
        <v>88</v>
      </c>
      <c r="G76" s="11" t="s">
        <v>89</v>
      </c>
      <c r="H76" s="108">
        <v>4</v>
      </c>
      <c r="I76" s="22"/>
      <c r="J76" s="108">
        <v>0</v>
      </c>
      <c r="K76" s="110">
        <v>1</v>
      </c>
      <c r="L76" s="259">
        <v>0</v>
      </c>
      <c r="M76" s="260" t="s">
        <v>362</v>
      </c>
    </row>
    <row r="77" spans="1:13" x14ac:dyDescent="0.25">
      <c r="A77" s="146">
        <v>43688</v>
      </c>
      <c r="B77" s="11" t="s">
        <v>16</v>
      </c>
      <c r="C77" s="11" t="s">
        <v>92</v>
      </c>
      <c r="D77" s="11" t="s">
        <v>93</v>
      </c>
      <c r="E77" s="11" t="s">
        <v>7</v>
      </c>
      <c r="F77" s="11" t="s">
        <v>88</v>
      </c>
      <c r="G77" s="11" t="s">
        <v>89</v>
      </c>
      <c r="H77" s="108">
        <v>4</v>
      </c>
      <c r="I77" s="22"/>
      <c r="J77" s="108">
        <v>0</v>
      </c>
      <c r="K77" s="110">
        <v>1</v>
      </c>
      <c r="L77" s="259">
        <v>0</v>
      </c>
      <c r="M77" s="260" t="s">
        <v>363</v>
      </c>
    </row>
    <row r="78" spans="1:13" x14ac:dyDescent="0.25">
      <c r="A78" s="146">
        <v>43689</v>
      </c>
      <c r="B78" s="11" t="s">
        <v>16</v>
      </c>
      <c r="C78" s="11" t="s">
        <v>92</v>
      </c>
      <c r="D78" s="11" t="s">
        <v>93</v>
      </c>
      <c r="E78" s="11" t="s">
        <v>7</v>
      </c>
      <c r="F78" s="11" t="s">
        <v>88</v>
      </c>
      <c r="G78" s="11" t="s">
        <v>89</v>
      </c>
      <c r="H78" s="108">
        <v>4</v>
      </c>
      <c r="I78" s="22"/>
      <c r="J78" s="108">
        <v>0</v>
      </c>
      <c r="K78" s="110">
        <v>1</v>
      </c>
      <c r="L78" s="259">
        <v>0</v>
      </c>
      <c r="M78" s="260" t="s">
        <v>364</v>
      </c>
    </row>
    <row r="79" spans="1:13" x14ac:dyDescent="0.25">
      <c r="A79" s="146">
        <v>43690</v>
      </c>
      <c r="B79" s="11" t="s">
        <v>16</v>
      </c>
      <c r="C79" s="11" t="s">
        <v>92</v>
      </c>
      <c r="D79" s="11" t="s">
        <v>93</v>
      </c>
      <c r="E79" s="11" t="s">
        <v>7</v>
      </c>
      <c r="F79" s="11" t="s">
        <v>88</v>
      </c>
      <c r="G79" s="11" t="s">
        <v>89</v>
      </c>
      <c r="H79" s="108">
        <v>3</v>
      </c>
      <c r="I79" s="22"/>
      <c r="J79" s="108">
        <v>0</v>
      </c>
      <c r="K79" s="110">
        <v>1</v>
      </c>
      <c r="L79" s="259">
        <v>0</v>
      </c>
      <c r="M79" s="260" t="s">
        <v>365</v>
      </c>
    </row>
    <row r="80" spans="1:13" x14ac:dyDescent="0.25">
      <c r="A80" s="146">
        <v>43691</v>
      </c>
      <c r="B80" s="11" t="s">
        <v>16</v>
      </c>
      <c r="C80" s="11" t="s">
        <v>92</v>
      </c>
      <c r="D80" s="11" t="s">
        <v>93</v>
      </c>
      <c r="E80" s="11" t="s">
        <v>7</v>
      </c>
      <c r="F80" s="11" t="s">
        <v>88</v>
      </c>
      <c r="G80" s="11" t="s">
        <v>89</v>
      </c>
      <c r="H80" s="108">
        <v>4</v>
      </c>
      <c r="I80" s="22"/>
      <c r="J80" s="108">
        <v>0</v>
      </c>
      <c r="K80" s="110">
        <v>1</v>
      </c>
      <c r="L80" s="259">
        <v>0</v>
      </c>
      <c r="M80" s="260" t="s">
        <v>366</v>
      </c>
    </row>
    <row r="81" spans="1:13" x14ac:dyDescent="0.25">
      <c r="A81" s="146">
        <v>43692</v>
      </c>
      <c r="B81" s="11" t="s">
        <v>16</v>
      </c>
      <c r="C81" s="11" t="s">
        <v>92</v>
      </c>
      <c r="D81" s="11" t="s">
        <v>93</v>
      </c>
      <c r="E81" s="11" t="s">
        <v>7</v>
      </c>
      <c r="F81" s="11" t="s">
        <v>88</v>
      </c>
      <c r="G81" s="11" t="s">
        <v>89</v>
      </c>
      <c r="H81" s="108">
        <v>4</v>
      </c>
      <c r="I81" s="22"/>
      <c r="J81" s="108">
        <v>0</v>
      </c>
      <c r="K81" s="110">
        <v>1</v>
      </c>
      <c r="L81" s="259">
        <v>0</v>
      </c>
      <c r="M81" s="260" t="s">
        <v>367</v>
      </c>
    </row>
    <row r="82" spans="1:13" x14ac:dyDescent="0.25">
      <c r="A82" s="146">
        <v>43693</v>
      </c>
      <c r="B82" s="11" t="s">
        <v>16</v>
      </c>
      <c r="C82" s="11" t="s">
        <v>92</v>
      </c>
      <c r="D82" s="11" t="s">
        <v>93</v>
      </c>
      <c r="E82" s="11" t="s">
        <v>7</v>
      </c>
      <c r="F82" s="11" t="s">
        <v>88</v>
      </c>
      <c r="G82" s="11" t="s">
        <v>89</v>
      </c>
      <c r="H82" s="108">
        <v>4</v>
      </c>
      <c r="I82" s="22"/>
      <c r="J82" s="108">
        <v>0</v>
      </c>
      <c r="K82" s="110">
        <v>1</v>
      </c>
      <c r="L82" s="259">
        <v>0</v>
      </c>
      <c r="M82" s="260" t="s">
        <v>368</v>
      </c>
    </row>
    <row r="83" spans="1:13" x14ac:dyDescent="0.25">
      <c r="A83" s="146">
        <v>43694</v>
      </c>
      <c r="B83" s="11" t="s">
        <v>16</v>
      </c>
      <c r="C83" s="11" t="s">
        <v>92</v>
      </c>
      <c r="D83" s="11" t="s">
        <v>93</v>
      </c>
      <c r="E83" s="11" t="s">
        <v>7</v>
      </c>
      <c r="F83" s="11" t="s">
        <v>88</v>
      </c>
      <c r="G83" s="11" t="s">
        <v>89</v>
      </c>
      <c r="H83" s="108">
        <v>4</v>
      </c>
      <c r="I83" s="22"/>
      <c r="J83" s="108">
        <v>0</v>
      </c>
      <c r="K83" s="110">
        <v>1</v>
      </c>
      <c r="L83" s="259">
        <v>0</v>
      </c>
      <c r="M83" s="260" t="s">
        <v>369</v>
      </c>
    </row>
    <row r="84" spans="1:13" x14ac:dyDescent="0.25">
      <c r="A84" s="146">
        <v>43695</v>
      </c>
      <c r="B84" s="11" t="s">
        <v>16</v>
      </c>
      <c r="C84" s="11" t="s">
        <v>92</v>
      </c>
      <c r="D84" s="11" t="s">
        <v>93</v>
      </c>
      <c r="E84" s="11" t="s">
        <v>7</v>
      </c>
      <c r="F84" s="11" t="s">
        <v>88</v>
      </c>
      <c r="G84" s="11" t="s">
        <v>89</v>
      </c>
      <c r="H84" s="108">
        <v>4</v>
      </c>
      <c r="I84" s="22"/>
      <c r="J84" s="108">
        <v>0</v>
      </c>
      <c r="K84" s="110">
        <v>1</v>
      </c>
      <c r="L84" s="259">
        <v>0</v>
      </c>
      <c r="M84" s="260" t="s">
        <v>370</v>
      </c>
    </row>
    <row r="85" spans="1:13" x14ac:dyDescent="0.25">
      <c r="A85" s="146">
        <v>43696</v>
      </c>
      <c r="B85" s="11" t="s">
        <v>16</v>
      </c>
      <c r="C85" s="11" t="s">
        <v>92</v>
      </c>
      <c r="D85" s="11" t="s">
        <v>93</v>
      </c>
      <c r="E85" s="11" t="s">
        <v>7</v>
      </c>
      <c r="F85" s="11" t="s">
        <v>88</v>
      </c>
      <c r="G85" s="11" t="s">
        <v>89</v>
      </c>
      <c r="H85" s="108">
        <v>4</v>
      </c>
      <c r="I85" s="22"/>
      <c r="J85" s="108">
        <v>0</v>
      </c>
      <c r="K85" s="110">
        <v>1</v>
      </c>
      <c r="L85" s="259">
        <v>0</v>
      </c>
      <c r="M85" s="260" t="s">
        <v>371</v>
      </c>
    </row>
    <row r="86" spans="1:13" x14ac:dyDescent="0.25">
      <c r="A86" s="146">
        <v>43697</v>
      </c>
      <c r="B86" s="11" t="s">
        <v>16</v>
      </c>
      <c r="C86" s="11" t="s">
        <v>92</v>
      </c>
      <c r="D86" s="11" t="s">
        <v>93</v>
      </c>
      <c r="E86" s="11" t="s">
        <v>7</v>
      </c>
      <c r="F86" s="11" t="s">
        <v>88</v>
      </c>
      <c r="G86" s="11" t="s">
        <v>89</v>
      </c>
      <c r="H86" s="108">
        <v>3</v>
      </c>
      <c r="I86" s="22"/>
      <c r="J86" s="108">
        <v>0</v>
      </c>
      <c r="K86" s="110">
        <v>1</v>
      </c>
      <c r="L86" s="259">
        <v>0</v>
      </c>
      <c r="M86" s="260" t="s">
        <v>372</v>
      </c>
    </row>
    <row r="87" spans="1:13" x14ac:dyDescent="0.25">
      <c r="A87" s="146">
        <v>43698</v>
      </c>
      <c r="B87" s="11" t="s">
        <v>16</v>
      </c>
      <c r="C87" s="11" t="s">
        <v>92</v>
      </c>
      <c r="D87" s="11" t="s">
        <v>93</v>
      </c>
      <c r="E87" s="11" t="s">
        <v>7</v>
      </c>
      <c r="F87" s="11" t="s">
        <v>88</v>
      </c>
      <c r="G87" s="11" t="s">
        <v>89</v>
      </c>
      <c r="H87" s="108">
        <v>4</v>
      </c>
      <c r="I87" s="22"/>
      <c r="J87" s="108">
        <v>0</v>
      </c>
      <c r="K87" s="110">
        <v>1</v>
      </c>
      <c r="L87" s="259">
        <v>0</v>
      </c>
      <c r="M87" s="260" t="s">
        <v>373</v>
      </c>
    </row>
    <row r="88" spans="1:13" x14ac:dyDescent="0.25">
      <c r="A88" s="146">
        <v>43699</v>
      </c>
      <c r="B88" s="11" t="s">
        <v>16</v>
      </c>
      <c r="C88" s="11" t="s">
        <v>92</v>
      </c>
      <c r="D88" s="11" t="s">
        <v>93</v>
      </c>
      <c r="E88" s="11" t="s">
        <v>7</v>
      </c>
      <c r="F88" s="11" t="s">
        <v>88</v>
      </c>
      <c r="G88" s="11" t="s">
        <v>89</v>
      </c>
      <c r="H88" s="108">
        <v>3</v>
      </c>
      <c r="I88" s="22"/>
      <c r="J88" s="108">
        <v>0</v>
      </c>
      <c r="K88" s="110">
        <v>1</v>
      </c>
      <c r="L88" s="259">
        <v>0</v>
      </c>
      <c r="M88" s="260" t="s">
        <v>374</v>
      </c>
    </row>
    <row r="89" spans="1:13" x14ac:dyDescent="0.25">
      <c r="A89" s="146">
        <v>43700</v>
      </c>
      <c r="B89" s="11" t="s">
        <v>16</v>
      </c>
      <c r="C89" s="11" t="s">
        <v>92</v>
      </c>
      <c r="D89" s="11" t="s">
        <v>93</v>
      </c>
      <c r="E89" s="11" t="s">
        <v>7</v>
      </c>
      <c r="F89" s="11" t="s">
        <v>88</v>
      </c>
      <c r="G89" s="11" t="s">
        <v>89</v>
      </c>
      <c r="H89" s="108">
        <v>4</v>
      </c>
      <c r="I89" s="22"/>
      <c r="J89" s="108">
        <v>0</v>
      </c>
      <c r="K89" s="110">
        <v>1</v>
      </c>
      <c r="L89" s="259">
        <v>0</v>
      </c>
      <c r="M89" s="260" t="s">
        <v>375</v>
      </c>
    </row>
    <row r="90" spans="1:13" x14ac:dyDescent="0.25">
      <c r="A90" s="146">
        <v>43701</v>
      </c>
      <c r="B90" s="11" t="s">
        <v>16</v>
      </c>
      <c r="C90" s="11" t="s">
        <v>92</v>
      </c>
      <c r="D90" s="11" t="s">
        <v>93</v>
      </c>
      <c r="E90" s="11" t="s">
        <v>7</v>
      </c>
      <c r="F90" s="11" t="s">
        <v>88</v>
      </c>
      <c r="G90" s="11" t="s">
        <v>89</v>
      </c>
      <c r="H90" s="108">
        <v>4</v>
      </c>
      <c r="I90" s="22" t="s">
        <v>94</v>
      </c>
      <c r="J90" s="108">
        <v>0</v>
      </c>
      <c r="K90" s="110">
        <v>1</v>
      </c>
      <c r="L90" s="259">
        <v>0</v>
      </c>
      <c r="M90" s="260" t="s">
        <v>376</v>
      </c>
    </row>
    <row r="91" spans="1:13" x14ac:dyDescent="0.25">
      <c r="A91" s="146">
        <v>43702</v>
      </c>
      <c r="B91" s="11" t="s">
        <v>16</v>
      </c>
      <c r="C91" s="11" t="s">
        <v>92</v>
      </c>
      <c r="D91" s="11" t="s">
        <v>93</v>
      </c>
      <c r="E91" s="11" t="s">
        <v>7</v>
      </c>
      <c r="F91" s="11" t="s">
        <v>88</v>
      </c>
      <c r="G91" s="11" t="s">
        <v>89</v>
      </c>
      <c r="H91" s="108">
        <v>4</v>
      </c>
      <c r="I91" s="22"/>
      <c r="J91" s="108">
        <v>0</v>
      </c>
      <c r="K91" s="110">
        <v>1</v>
      </c>
      <c r="L91" s="259">
        <v>0</v>
      </c>
      <c r="M91" s="260" t="s">
        <v>377</v>
      </c>
    </row>
    <row r="92" spans="1:13" x14ac:dyDescent="0.25">
      <c r="A92" s="146">
        <v>43703</v>
      </c>
      <c r="B92" s="11" t="s">
        <v>16</v>
      </c>
      <c r="C92" s="11" t="s">
        <v>92</v>
      </c>
      <c r="D92" s="11" t="s">
        <v>93</v>
      </c>
      <c r="E92" s="11" t="s">
        <v>7</v>
      </c>
      <c r="F92" s="11" t="s">
        <v>88</v>
      </c>
      <c r="G92" s="11" t="s">
        <v>89</v>
      </c>
      <c r="H92" s="108">
        <v>10</v>
      </c>
      <c r="I92" s="22"/>
      <c r="J92" s="108">
        <v>1</v>
      </c>
      <c r="K92" s="110">
        <v>1</v>
      </c>
      <c r="L92" s="259">
        <v>1</v>
      </c>
      <c r="M92" s="260" t="s">
        <v>378</v>
      </c>
    </row>
    <row r="93" spans="1:13" x14ac:dyDescent="0.25">
      <c r="A93" s="146">
        <v>43704</v>
      </c>
      <c r="B93" s="11" t="s">
        <v>16</v>
      </c>
      <c r="C93" s="11" t="s">
        <v>92</v>
      </c>
      <c r="D93" s="11" t="s">
        <v>93</v>
      </c>
      <c r="E93" s="11" t="s">
        <v>7</v>
      </c>
      <c r="F93" s="11" t="s">
        <v>88</v>
      </c>
      <c r="G93" s="11" t="s">
        <v>89</v>
      </c>
      <c r="H93" s="108">
        <v>4</v>
      </c>
      <c r="I93" s="22"/>
      <c r="J93" s="108">
        <v>0</v>
      </c>
      <c r="K93" s="110">
        <v>1</v>
      </c>
      <c r="L93" s="259">
        <v>0</v>
      </c>
      <c r="M93" s="260" t="s">
        <v>379</v>
      </c>
    </row>
    <row r="94" spans="1:13" x14ac:dyDescent="0.25">
      <c r="A94" s="146">
        <v>43705</v>
      </c>
      <c r="B94" s="11" t="s">
        <v>16</v>
      </c>
      <c r="C94" s="11" t="s">
        <v>92</v>
      </c>
      <c r="D94" s="11" t="s">
        <v>93</v>
      </c>
      <c r="E94" s="11" t="s">
        <v>7</v>
      </c>
      <c r="F94" s="11" t="s">
        <v>88</v>
      </c>
      <c r="G94" s="11" t="s">
        <v>89</v>
      </c>
      <c r="H94" s="108">
        <v>3</v>
      </c>
      <c r="I94" s="22"/>
      <c r="J94" s="108">
        <v>0</v>
      </c>
      <c r="K94" s="110">
        <v>1</v>
      </c>
      <c r="L94" s="259">
        <v>0</v>
      </c>
      <c r="M94" s="260" t="s">
        <v>380</v>
      </c>
    </row>
    <row r="95" spans="1:13" x14ac:dyDescent="0.25">
      <c r="A95" s="146">
        <v>43706</v>
      </c>
      <c r="B95" s="11" t="s">
        <v>16</v>
      </c>
      <c r="C95" s="11" t="s">
        <v>92</v>
      </c>
      <c r="D95" s="11" t="s">
        <v>93</v>
      </c>
      <c r="E95" s="11" t="s">
        <v>7</v>
      </c>
      <c r="F95" s="11" t="s">
        <v>88</v>
      </c>
      <c r="G95" s="11" t="s">
        <v>89</v>
      </c>
      <c r="H95" s="108">
        <v>4</v>
      </c>
      <c r="I95" s="22"/>
      <c r="J95" s="108">
        <v>0</v>
      </c>
      <c r="K95" s="110">
        <v>1</v>
      </c>
      <c r="L95" s="259">
        <v>0</v>
      </c>
      <c r="M95" s="260" t="s">
        <v>381</v>
      </c>
    </row>
    <row r="96" spans="1:13" x14ac:dyDescent="0.25">
      <c r="A96" s="146">
        <v>43707</v>
      </c>
      <c r="B96" s="11" t="s">
        <v>16</v>
      </c>
      <c r="C96" s="11" t="s">
        <v>92</v>
      </c>
      <c r="D96" s="11" t="s">
        <v>93</v>
      </c>
      <c r="E96" s="11" t="s">
        <v>7</v>
      </c>
      <c r="F96" s="11" t="s">
        <v>88</v>
      </c>
      <c r="G96" s="11" t="s">
        <v>89</v>
      </c>
      <c r="H96" s="108">
        <v>4</v>
      </c>
      <c r="I96" s="22"/>
      <c r="J96" s="108">
        <v>0</v>
      </c>
      <c r="K96" s="110">
        <v>1</v>
      </c>
      <c r="L96" s="259">
        <v>0</v>
      </c>
      <c r="M96" s="260" t="s">
        <v>382</v>
      </c>
    </row>
    <row r="97" spans="1:13" x14ac:dyDescent="0.25">
      <c r="A97" s="146">
        <v>43708</v>
      </c>
      <c r="B97" s="11" t="s">
        <v>16</v>
      </c>
      <c r="C97" s="11" t="s">
        <v>92</v>
      </c>
      <c r="D97" s="11" t="s">
        <v>93</v>
      </c>
      <c r="E97" s="11" t="s">
        <v>7</v>
      </c>
      <c r="F97" s="11" t="s">
        <v>88</v>
      </c>
      <c r="G97" s="11" t="s">
        <v>89</v>
      </c>
      <c r="H97" s="108">
        <v>4</v>
      </c>
      <c r="I97" s="22"/>
      <c r="J97" s="108">
        <v>0</v>
      </c>
      <c r="K97" s="110">
        <v>1</v>
      </c>
      <c r="L97" s="259">
        <v>0</v>
      </c>
      <c r="M97" s="260" t="s">
        <v>383</v>
      </c>
    </row>
    <row r="98" spans="1:13" x14ac:dyDescent="0.25">
      <c r="A98" s="146">
        <v>43679</v>
      </c>
      <c r="B98" s="11" t="s">
        <v>16</v>
      </c>
      <c r="C98" s="11" t="s">
        <v>92</v>
      </c>
      <c r="D98" s="11" t="s">
        <v>95</v>
      </c>
      <c r="E98" s="11" t="s">
        <v>14</v>
      </c>
      <c r="F98" s="11" t="s">
        <v>88</v>
      </c>
      <c r="G98" s="11" t="s">
        <v>89</v>
      </c>
      <c r="H98" s="108">
        <v>92.5</v>
      </c>
      <c r="I98" s="22"/>
      <c r="J98" s="108">
        <v>0.2</v>
      </c>
      <c r="K98" s="110">
        <v>3</v>
      </c>
      <c r="L98" s="259">
        <v>0.6</v>
      </c>
      <c r="M98" s="260" t="s">
        <v>354</v>
      </c>
    </row>
    <row r="99" spans="1:13" x14ac:dyDescent="0.25">
      <c r="A99" s="146">
        <v>43686</v>
      </c>
      <c r="B99" s="11" t="s">
        <v>16</v>
      </c>
      <c r="C99" s="11" t="s">
        <v>92</v>
      </c>
      <c r="D99" s="11" t="s">
        <v>95</v>
      </c>
      <c r="E99" s="11" t="s">
        <v>14</v>
      </c>
      <c r="F99" s="11" t="s">
        <v>88</v>
      </c>
      <c r="G99" s="11" t="s">
        <v>89</v>
      </c>
      <c r="H99" s="108">
        <v>90.6</v>
      </c>
      <c r="I99" s="22"/>
      <c r="J99" s="108">
        <v>0.2</v>
      </c>
      <c r="K99" s="110">
        <v>3</v>
      </c>
      <c r="L99" s="259">
        <v>0.6</v>
      </c>
      <c r="M99" s="260" t="s">
        <v>361</v>
      </c>
    </row>
    <row r="100" spans="1:13" x14ac:dyDescent="0.25">
      <c r="A100" s="146">
        <v>43690</v>
      </c>
      <c r="B100" s="11" t="s">
        <v>16</v>
      </c>
      <c r="C100" s="11" t="s">
        <v>92</v>
      </c>
      <c r="D100" s="11" t="s">
        <v>95</v>
      </c>
      <c r="E100" s="11" t="s">
        <v>14</v>
      </c>
      <c r="F100" s="11" t="s">
        <v>88</v>
      </c>
      <c r="G100" s="11" t="s">
        <v>89</v>
      </c>
      <c r="H100" s="108">
        <v>101</v>
      </c>
      <c r="I100" s="22"/>
      <c r="J100" s="108">
        <v>0.2</v>
      </c>
      <c r="K100" s="110">
        <v>3</v>
      </c>
      <c r="L100" s="259">
        <v>0.6</v>
      </c>
      <c r="M100" s="260" t="s">
        <v>365</v>
      </c>
    </row>
    <row r="101" spans="1:13" x14ac:dyDescent="0.25">
      <c r="A101" s="146">
        <v>43697</v>
      </c>
      <c r="B101" s="11" t="s">
        <v>16</v>
      </c>
      <c r="C101" s="11" t="s">
        <v>92</v>
      </c>
      <c r="D101" s="11" t="s">
        <v>95</v>
      </c>
      <c r="E101" s="11" t="s">
        <v>14</v>
      </c>
      <c r="F101" s="11" t="s">
        <v>88</v>
      </c>
      <c r="G101" s="11" t="s">
        <v>89</v>
      </c>
      <c r="H101" s="108">
        <v>97.9</v>
      </c>
      <c r="I101" s="22"/>
      <c r="J101" s="108">
        <v>0.2</v>
      </c>
      <c r="K101" s="110">
        <v>3</v>
      </c>
      <c r="L101" s="259">
        <v>0.6</v>
      </c>
      <c r="M101" s="260" t="s">
        <v>372</v>
      </c>
    </row>
    <row r="102" spans="1:13" x14ac:dyDescent="0.25">
      <c r="A102" s="146">
        <v>43704</v>
      </c>
      <c r="B102" s="11" t="s">
        <v>16</v>
      </c>
      <c r="C102" s="11" t="s">
        <v>92</v>
      </c>
      <c r="D102" s="11" t="s">
        <v>95</v>
      </c>
      <c r="E102" s="11" t="s">
        <v>14</v>
      </c>
      <c r="F102" s="11" t="s">
        <v>88</v>
      </c>
      <c r="G102" s="11" t="s">
        <v>89</v>
      </c>
      <c r="H102" s="108">
        <v>96.6</v>
      </c>
      <c r="I102" s="22"/>
      <c r="J102" s="108">
        <v>0.2</v>
      </c>
      <c r="K102" s="110">
        <v>3</v>
      </c>
      <c r="L102" s="259">
        <v>0.6</v>
      </c>
      <c r="M102" s="260" t="s">
        <v>379</v>
      </c>
    </row>
    <row r="103" spans="1:13" x14ac:dyDescent="0.25">
      <c r="A103" s="146">
        <v>43674</v>
      </c>
      <c r="B103" s="11" t="s">
        <v>16</v>
      </c>
      <c r="C103" s="11" t="s">
        <v>92</v>
      </c>
      <c r="D103" s="11" t="s">
        <v>100</v>
      </c>
      <c r="E103" s="11" t="s">
        <v>1</v>
      </c>
      <c r="F103" s="11" t="s">
        <v>98</v>
      </c>
      <c r="G103" s="11" t="s">
        <v>89</v>
      </c>
      <c r="H103" s="108">
        <v>5.9</v>
      </c>
      <c r="I103" s="22"/>
      <c r="J103" s="108">
        <v>0.1</v>
      </c>
      <c r="K103" s="110">
        <v>3</v>
      </c>
      <c r="L103" s="259">
        <v>0.3</v>
      </c>
      <c r="M103" s="260" t="s">
        <v>384</v>
      </c>
    </row>
    <row r="104" spans="1:13" x14ac:dyDescent="0.25">
      <c r="A104" s="146">
        <v>43675</v>
      </c>
      <c r="B104" s="11" t="s">
        <v>16</v>
      </c>
      <c r="C104" s="11" t="s">
        <v>92</v>
      </c>
      <c r="D104" s="11" t="s">
        <v>100</v>
      </c>
      <c r="E104" s="11" t="s">
        <v>1</v>
      </c>
      <c r="F104" s="11" t="s">
        <v>98</v>
      </c>
      <c r="G104" s="11" t="s">
        <v>89</v>
      </c>
      <c r="H104" s="108">
        <v>5.7</v>
      </c>
      <c r="I104" s="22"/>
      <c r="J104" s="108">
        <v>0.1</v>
      </c>
      <c r="K104" s="110">
        <v>3</v>
      </c>
      <c r="L104" s="259">
        <v>0.3</v>
      </c>
      <c r="M104" s="260" t="s">
        <v>385</v>
      </c>
    </row>
    <row r="105" spans="1:13" x14ac:dyDescent="0.25">
      <c r="A105" s="146">
        <v>43676</v>
      </c>
      <c r="B105" s="11" t="s">
        <v>16</v>
      </c>
      <c r="C105" s="11" t="s">
        <v>92</v>
      </c>
      <c r="D105" s="11" t="s">
        <v>100</v>
      </c>
      <c r="E105" s="11" t="s">
        <v>1</v>
      </c>
      <c r="F105" s="11" t="s">
        <v>98</v>
      </c>
      <c r="G105" s="11" t="s">
        <v>89</v>
      </c>
      <c r="H105" s="108">
        <v>5.9</v>
      </c>
      <c r="I105" s="22"/>
      <c r="J105" s="108">
        <v>0.1</v>
      </c>
      <c r="K105" s="110">
        <v>3</v>
      </c>
      <c r="L105" s="259">
        <v>0.3</v>
      </c>
      <c r="M105" s="260" t="s">
        <v>386</v>
      </c>
    </row>
    <row r="106" spans="1:13" x14ac:dyDescent="0.25">
      <c r="A106" s="146">
        <v>43677</v>
      </c>
      <c r="B106" s="11" t="s">
        <v>16</v>
      </c>
      <c r="C106" s="11" t="s">
        <v>92</v>
      </c>
      <c r="D106" s="11" t="s">
        <v>100</v>
      </c>
      <c r="E106" s="11" t="s">
        <v>1</v>
      </c>
      <c r="F106" s="11" t="s">
        <v>98</v>
      </c>
      <c r="G106" s="11" t="s">
        <v>89</v>
      </c>
      <c r="H106" s="108">
        <v>5.7</v>
      </c>
      <c r="I106" s="22"/>
      <c r="J106" s="108">
        <v>0.1</v>
      </c>
      <c r="K106" s="110">
        <v>3</v>
      </c>
      <c r="L106" s="259">
        <v>0.3</v>
      </c>
      <c r="M106" s="260" t="s">
        <v>387</v>
      </c>
    </row>
    <row r="107" spans="1:13" x14ac:dyDescent="0.25">
      <c r="A107" s="146">
        <v>43678</v>
      </c>
      <c r="B107" s="11" t="s">
        <v>16</v>
      </c>
      <c r="C107" s="11" t="s">
        <v>92</v>
      </c>
      <c r="D107" s="11" t="s">
        <v>100</v>
      </c>
      <c r="E107" s="11" t="s">
        <v>1</v>
      </c>
      <c r="F107" s="11" t="s">
        <v>98</v>
      </c>
      <c r="G107" s="11" t="s">
        <v>89</v>
      </c>
      <c r="H107" s="108">
        <v>5.7</v>
      </c>
      <c r="I107" s="22"/>
      <c r="J107" s="108">
        <v>0.1</v>
      </c>
      <c r="K107" s="110">
        <v>3</v>
      </c>
      <c r="L107" s="259">
        <v>0.3</v>
      </c>
      <c r="M107" s="260" t="s">
        <v>388</v>
      </c>
    </row>
    <row r="108" spans="1:13" x14ac:dyDescent="0.25">
      <c r="A108" s="146">
        <v>43679</v>
      </c>
      <c r="B108" s="11" t="s">
        <v>16</v>
      </c>
      <c r="C108" s="11" t="s">
        <v>92</v>
      </c>
      <c r="D108" s="11" t="s">
        <v>100</v>
      </c>
      <c r="E108" s="11" t="s">
        <v>1</v>
      </c>
      <c r="F108" s="11" t="s">
        <v>98</v>
      </c>
      <c r="G108" s="11" t="s">
        <v>89</v>
      </c>
      <c r="H108" s="108">
        <v>5.8</v>
      </c>
      <c r="I108" s="22"/>
      <c r="J108" s="108">
        <v>0.1</v>
      </c>
      <c r="K108" s="110">
        <v>3</v>
      </c>
      <c r="L108" s="259">
        <v>0.3</v>
      </c>
      <c r="M108" s="260" t="s">
        <v>389</v>
      </c>
    </row>
    <row r="109" spans="1:13" x14ac:dyDescent="0.25">
      <c r="A109" s="146">
        <v>43680</v>
      </c>
      <c r="B109" s="11" t="s">
        <v>16</v>
      </c>
      <c r="C109" s="11" t="s">
        <v>92</v>
      </c>
      <c r="D109" s="11" t="s">
        <v>100</v>
      </c>
      <c r="E109" s="11" t="s">
        <v>1</v>
      </c>
      <c r="F109" s="11" t="s">
        <v>98</v>
      </c>
      <c r="G109" s="11" t="s">
        <v>89</v>
      </c>
      <c r="H109" s="108">
        <v>5.9</v>
      </c>
      <c r="I109" s="22"/>
      <c r="J109" s="108">
        <v>0.1</v>
      </c>
      <c r="K109" s="110">
        <v>3</v>
      </c>
      <c r="L109" s="259">
        <v>0.3</v>
      </c>
      <c r="M109" s="260" t="s">
        <v>390</v>
      </c>
    </row>
    <row r="110" spans="1:13" x14ac:dyDescent="0.25">
      <c r="A110" s="146">
        <v>43681</v>
      </c>
      <c r="B110" s="11" t="s">
        <v>16</v>
      </c>
      <c r="C110" s="11" t="s">
        <v>92</v>
      </c>
      <c r="D110" s="11" t="s">
        <v>100</v>
      </c>
      <c r="E110" s="11" t="s">
        <v>1</v>
      </c>
      <c r="F110" s="11" t="s">
        <v>98</v>
      </c>
      <c r="G110" s="11" t="s">
        <v>89</v>
      </c>
      <c r="H110" s="108">
        <v>5.9</v>
      </c>
      <c r="I110" s="22"/>
      <c r="J110" s="108">
        <v>0.1</v>
      </c>
      <c r="K110" s="110">
        <v>3</v>
      </c>
      <c r="L110" s="259">
        <v>0.3</v>
      </c>
      <c r="M110" s="260" t="s">
        <v>391</v>
      </c>
    </row>
    <row r="111" spans="1:13" x14ac:dyDescent="0.25">
      <c r="A111" s="146">
        <v>43682</v>
      </c>
      <c r="B111" s="11" t="s">
        <v>16</v>
      </c>
      <c r="C111" s="11" t="s">
        <v>92</v>
      </c>
      <c r="D111" s="11" t="s">
        <v>100</v>
      </c>
      <c r="E111" s="11" t="s">
        <v>1</v>
      </c>
      <c r="F111" s="11" t="s">
        <v>98</v>
      </c>
      <c r="G111" s="11" t="s">
        <v>89</v>
      </c>
      <c r="H111" s="108">
        <v>5.9</v>
      </c>
      <c r="I111" s="22"/>
      <c r="J111" s="108">
        <v>0.1</v>
      </c>
      <c r="K111" s="110">
        <v>3</v>
      </c>
      <c r="L111" s="259">
        <v>0.3</v>
      </c>
      <c r="M111" s="260" t="s">
        <v>392</v>
      </c>
    </row>
    <row r="112" spans="1:13" x14ac:dyDescent="0.25">
      <c r="A112" s="146">
        <v>43683</v>
      </c>
      <c r="B112" s="11" t="s">
        <v>16</v>
      </c>
      <c r="C112" s="11" t="s">
        <v>92</v>
      </c>
      <c r="D112" s="11" t="s">
        <v>100</v>
      </c>
      <c r="E112" s="11" t="s">
        <v>1</v>
      </c>
      <c r="F112" s="11" t="s">
        <v>98</v>
      </c>
      <c r="G112" s="11" t="s">
        <v>89</v>
      </c>
      <c r="H112" s="108">
        <v>5.6</v>
      </c>
      <c r="I112" s="22"/>
      <c r="J112" s="108">
        <v>0.1</v>
      </c>
      <c r="K112" s="110">
        <v>3</v>
      </c>
      <c r="L112" s="259">
        <v>0.3</v>
      </c>
      <c r="M112" s="260" t="s">
        <v>393</v>
      </c>
    </row>
    <row r="113" spans="1:13" x14ac:dyDescent="0.25">
      <c r="A113" s="146">
        <v>43684</v>
      </c>
      <c r="B113" s="11" t="s">
        <v>16</v>
      </c>
      <c r="C113" s="11" t="s">
        <v>92</v>
      </c>
      <c r="D113" s="11" t="s">
        <v>100</v>
      </c>
      <c r="E113" s="11" t="s">
        <v>1</v>
      </c>
      <c r="F113" s="11" t="s">
        <v>98</v>
      </c>
      <c r="G113" s="11" t="s">
        <v>89</v>
      </c>
      <c r="H113" s="108">
        <v>5.8</v>
      </c>
      <c r="I113" s="22"/>
      <c r="J113" s="108">
        <v>0.1</v>
      </c>
      <c r="K113" s="110">
        <v>3</v>
      </c>
      <c r="L113" s="259">
        <v>0.3</v>
      </c>
      <c r="M113" s="260" t="s">
        <v>394</v>
      </c>
    </row>
    <row r="114" spans="1:13" x14ac:dyDescent="0.25">
      <c r="A114" s="146">
        <v>43685</v>
      </c>
      <c r="B114" s="11" t="s">
        <v>16</v>
      </c>
      <c r="C114" s="11" t="s">
        <v>92</v>
      </c>
      <c r="D114" s="11" t="s">
        <v>100</v>
      </c>
      <c r="E114" s="11" t="s">
        <v>1</v>
      </c>
      <c r="F114" s="11" t="s">
        <v>98</v>
      </c>
      <c r="G114" s="11" t="s">
        <v>89</v>
      </c>
      <c r="H114" s="108">
        <v>5.6</v>
      </c>
      <c r="I114" s="22"/>
      <c r="J114" s="108">
        <v>0.1</v>
      </c>
      <c r="K114" s="110">
        <v>3</v>
      </c>
      <c r="L114" s="259">
        <v>0.3</v>
      </c>
      <c r="M114" s="260" t="s">
        <v>395</v>
      </c>
    </row>
    <row r="115" spans="1:13" x14ac:dyDescent="0.25">
      <c r="A115" s="146">
        <v>43686</v>
      </c>
      <c r="B115" s="11" t="s">
        <v>16</v>
      </c>
      <c r="C115" s="11" t="s">
        <v>92</v>
      </c>
      <c r="D115" s="11" t="s">
        <v>100</v>
      </c>
      <c r="E115" s="11" t="s">
        <v>1</v>
      </c>
      <c r="F115" s="11" t="s">
        <v>98</v>
      </c>
      <c r="G115" s="11" t="s">
        <v>89</v>
      </c>
      <c r="H115" s="108">
        <v>5.6</v>
      </c>
      <c r="I115" s="22"/>
      <c r="J115" s="108">
        <v>0.1</v>
      </c>
      <c r="K115" s="110">
        <v>3</v>
      </c>
      <c r="L115" s="259">
        <v>0.3</v>
      </c>
      <c r="M115" s="260" t="s">
        <v>396</v>
      </c>
    </row>
    <row r="116" spans="1:13" x14ac:dyDescent="0.25">
      <c r="A116" s="146">
        <v>43687</v>
      </c>
      <c r="B116" s="11" t="s">
        <v>16</v>
      </c>
      <c r="C116" s="11" t="s">
        <v>92</v>
      </c>
      <c r="D116" s="11" t="s">
        <v>100</v>
      </c>
      <c r="E116" s="11" t="s">
        <v>1</v>
      </c>
      <c r="F116" s="11" t="s">
        <v>98</v>
      </c>
      <c r="G116" s="11" t="s">
        <v>89</v>
      </c>
      <c r="H116" s="108">
        <v>5.8</v>
      </c>
      <c r="I116" s="22"/>
      <c r="J116" s="108">
        <v>0.1</v>
      </c>
      <c r="K116" s="110">
        <v>3</v>
      </c>
      <c r="L116" s="259">
        <v>0.3</v>
      </c>
      <c r="M116" s="260" t="s">
        <v>397</v>
      </c>
    </row>
    <row r="117" spans="1:13" x14ac:dyDescent="0.25">
      <c r="A117" s="146">
        <v>43688</v>
      </c>
      <c r="B117" s="11" t="s">
        <v>16</v>
      </c>
      <c r="C117" s="11" t="s">
        <v>92</v>
      </c>
      <c r="D117" s="11" t="s">
        <v>100</v>
      </c>
      <c r="E117" s="11" t="s">
        <v>1</v>
      </c>
      <c r="F117" s="11" t="s">
        <v>98</v>
      </c>
      <c r="G117" s="11" t="s">
        <v>89</v>
      </c>
      <c r="H117" s="108">
        <v>6</v>
      </c>
      <c r="I117" s="22"/>
      <c r="J117" s="108">
        <v>0.1</v>
      </c>
      <c r="K117" s="110">
        <v>3</v>
      </c>
      <c r="L117" s="259">
        <v>0.3</v>
      </c>
      <c r="M117" s="260" t="s">
        <v>398</v>
      </c>
    </row>
    <row r="118" spans="1:13" x14ac:dyDescent="0.25">
      <c r="A118" s="146">
        <v>43689</v>
      </c>
      <c r="B118" s="11" t="s">
        <v>16</v>
      </c>
      <c r="C118" s="11" t="s">
        <v>92</v>
      </c>
      <c r="D118" s="11" t="s">
        <v>100</v>
      </c>
      <c r="E118" s="11" t="s">
        <v>1</v>
      </c>
      <c r="F118" s="11" t="s">
        <v>98</v>
      </c>
      <c r="G118" s="11" t="s">
        <v>89</v>
      </c>
      <c r="H118" s="108">
        <v>5.5</v>
      </c>
      <c r="I118" s="22"/>
      <c r="J118" s="108">
        <v>0.1</v>
      </c>
      <c r="K118" s="110">
        <v>3</v>
      </c>
      <c r="L118" s="259">
        <v>0.3</v>
      </c>
      <c r="M118" s="260" t="s">
        <v>399</v>
      </c>
    </row>
    <row r="119" spans="1:13" x14ac:dyDescent="0.25">
      <c r="A119" s="146">
        <v>43690</v>
      </c>
      <c r="B119" s="11" t="s">
        <v>16</v>
      </c>
      <c r="C119" s="11" t="s">
        <v>92</v>
      </c>
      <c r="D119" s="11" t="s">
        <v>100</v>
      </c>
      <c r="E119" s="11" t="s">
        <v>1</v>
      </c>
      <c r="F119" s="11" t="s">
        <v>98</v>
      </c>
      <c r="G119" s="11" t="s">
        <v>89</v>
      </c>
      <c r="H119" s="108">
        <v>5.8</v>
      </c>
      <c r="I119" s="22"/>
      <c r="J119" s="108">
        <v>0.1</v>
      </c>
      <c r="K119" s="110">
        <v>3</v>
      </c>
      <c r="L119" s="259">
        <v>0.3</v>
      </c>
      <c r="M119" s="260" t="s">
        <v>400</v>
      </c>
    </row>
    <row r="120" spans="1:13" x14ac:dyDescent="0.25">
      <c r="A120" s="146">
        <v>43691</v>
      </c>
      <c r="B120" s="11" t="s">
        <v>16</v>
      </c>
      <c r="C120" s="11" t="s">
        <v>92</v>
      </c>
      <c r="D120" s="11" t="s">
        <v>100</v>
      </c>
      <c r="E120" s="11" t="s">
        <v>1</v>
      </c>
      <c r="F120" s="11" t="s">
        <v>98</v>
      </c>
      <c r="G120" s="11" t="s">
        <v>89</v>
      </c>
      <c r="H120" s="108">
        <v>5.7</v>
      </c>
      <c r="I120" s="22"/>
      <c r="J120" s="108">
        <v>0.1</v>
      </c>
      <c r="K120" s="110">
        <v>3</v>
      </c>
      <c r="L120" s="259">
        <v>0.3</v>
      </c>
      <c r="M120" s="260" t="s">
        <v>401</v>
      </c>
    </row>
    <row r="121" spans="1:13" x14ac:dyDescent="0.25">
      <c r="A121" s="146">
        <v>43692</v>
      </c>
      <c r="B121" s="11" t="s">
        <v>16</v>
      </c>
      <c r="C121" s="11" t="s">
        <v>92</v>
      </c>
      <c r="D121" s="11" t="s">
        <v>100</v>
      </c>
      <c r="E121" s="11" t="s">
        <v>1</v>
      </c>
      <c r="F121" s="11" t="s">
        <v>98</v>
      </c>
      <c r="G121" s="11" t="s">
        <v>89</v>
      </c>
      <c r="H121" s="108">
        <v>5.8</v>
      </c>
      <c r="I121" s="22"/>
      <c r="J121" s="108">
        <v>0.1</v>
      </c>
      <c r="K121" s="110">
        <v>3</v>
      </c>
      <c r="L121" s="259">
        <v>0.3</v>
      </c>
      <c r="M121" s="260" t="s">
        <v>402</v>
      </c>
    </row>
    <row r="122" spans="1:13" x14ac:dyDescent="0.25">
      <c r="A122" s="146">
        <v>43692</v>
      </c>
      <c r="B122" s="11" t="s">
        <v>16</v>
      </c>
      <c r="C122" s="11" t="s">
        <v>92</v>
      </c>
      <c r="D122" s="11" t="s">
        <v>100</v>
      </c>
      <c r="E122" s="11" t="s">
        <v>1</v>
      </c>
      <c r="F122" s="11" t="s">
        <v>98</v>
      </c>
      <c r="G122" s="11" t="s">
        <v>89</v>
      </c>
      <c r="H122" s="108" t="s">
        <v>258</v>
      </c>
      <c r="I122" s="22">
        <v>-19</v>
      </c>
      <c r="J122" s="108">
        <v>0.1</v>
      </c>
      <c r="K122" s="110">
        <v>3</v>
      </c>
      <c r="L122" s="259">
        <v>0.3</v>
      </c>
      <c r="M122" s="260" t="s">
        <v>403</v>
      </c>
    </row>
    <row r="123" spans="1:13" x14ac:dyDescent="0.25">
      <c r="A123" s="146">
        <v>43693</v>
      </c>
      <c r="B123" s="11" t="s">
        <v>16</v>
      </c>
      <c r="C123" s="11" t="s">
        <v>92</v>
      </c>
      <c r="D123" s="11" t="s">
        <v>100</v>
      </c>
      <c r="E123" s="11" t="s">
        <v>1</v>
      </c>
      <c r="F123" s="11" t="s">
        <v>98</v>
      </c>
      <c r="G123" s="11" t="s">
        <v>89</v>
      </c>
      <c r="H123" s="108">
        <v>5.7</v>
      </c>
      <c r="I123" s="22"/>
      <c r="J123" s="108">
        <v>0.1</v>
      </c>
      <c r="K123" s="110">
        <v>3</v>
      </c>
      <c r="L123" s="259">
        <v>0.3</v>
      </c>
      <c r="M123" s="260" t="s">
        <v>404</v>
      </c>
    </row>
    <row r="124" spans="1:13" x14ac:dyDescent="0.25">
      <c r="A124" s="146">
        <v>43694</v>
      </c>
      <c r="B124" s="11" t="s">
        <v>16</v>
      </c>
      <c r="C124" s="11" t="s">
        <v>92</v>
      </c>
      <c r="D124" s="11" t="s">
        <v>100</v>
      </c>
      <c r="E124" s="11" t="s">
        <v>1</v>
      </c>
      <c r="F124" s="11" t="s">
        <v>98</v>
      </c>
      <c r="G124" s="11" t="s">
        <v>89</v>
      </c>
      <c r="H124" s="108">
        <v>5.6</v>
      </c>
      <c r="I124" s="22"/>
      <c r="J124" s="108">
        <v>0.1</v>
      </c>
      <c r="K124" s="110">
        <v>3</v>
      </c>
      <c r="L124" s="259">
        <v>0.3</v>
      </c>
      <c r="M124" s="260" t="s">
        <v>405</v>
      </c>
    </row>
    <row r="125" spans="1:13" x14ac:dyDescent="0.25">
      <c r="A125" s="146">
        <v>43695</v>
      </c>
      <c r="B125" s="11" t="s">
        <v>16</v>
      </c>
      <c r="C125" s="11" t="s">
        <v>92</v>
      </c>
      <c r="D125" s="11" t="s">
        <v>100</v>
      </c>
      <c r="E125" s="11" t="s">
        <v>1</v>
      </c>
      <c r="F125" s="11" t="s">
        <v>98</v>
      </c>
      <c r="G125" s="11" t="s">
        <v>89</v>
      </c>
      <c r="H125" s="108">
        <v>5.8</v>
      </c>
      <c r="I125" s="22"/>
      <c r="J125" s="108">
        <v>0.1</v>
      </c>
      <c r="K125" s="110">
        <v>3</v>
      </c>
      <c r="L125" s="259">
        <v>0.3</v>
      </c>
      <c r="M125" s="260" t="s">
        <v>406</v>
      </c>
    </row>
    <row r="126" spans="1:13" x14ac:dyDescent="0.25">
      <c r="A126" s="146">
        <v>43696</v>
      </c>
      <c r="B126" s="11" t="s">
        <v>16</v>
      </c>
      <c r="C126" s="11" t="s">
        <v>92</v>
      </c>
      <c r="D126" s="11" t="s">
        <v>100</v>
      </c>
      <c r="E126" s="11" t="s">
        <v>1</v>
      </c>
      <c r="F126" s="11" t="s">
        <v>98</v>
      </c>
      <c r="G126" s="11" t="s">
        <v>89</v>
      </c>
      <c r="H126" s="108">
        <v>5.8</v>
      </c>
      <c r="I126" s="22"/>
      <c r="J126" s="108">
        <v>0.1</v>
      </c>
      <c r="K126" s="110">
        <v>3</v>
      </c>
      <c r="L126" s="259">
        <v>0.3</v>
      </c>
      <c r="M126" s="260" t="s">
        <v>407</v>
      </c>
    </row>
    <row r="127" spans="1:13" x14ac:dyDescent="0.25">
      <c r="A127" s="146">
        <v>43697</v>
      </c>
      <c r="B127" s="11" t="s">
        <v>16</v>
      </c>
      <c r="C127" s="11" t="s">
        <v>92</v>
      </c>
      <c r="D127" s="11" t="s">
        <v>100</v>
      </c>
      <c r="E127" s="11" t="s">
        <v>1</v>
      </c>
      <c r="F127" s="11" t="s">
        <v>98</v>
      </c>
      <c r="G127" s="11" t="s">
        <v>89</v>
      </c>
      <c r="H127" s="108">
        <v>5.8</v>
      </c>
      <c r="I127" s="22"/>
      <c r="J127" s="108">
        <v>0.1</v>
      </c>
      <c r="K127" s="110">
        <v>3</v>
      </c>
      <c r="L127" s="259">
        <v>0.3</v>
      </c>
      <c r="M127" s="260" t="s">
        <v>408</v>
      </c>
    </row>
    <row r="128" spans="1:13" x14ac:dyDescent="0.25">
      <c r="A128" s="146">
        <v>43698</v>
      </c>
      <c r="B128" s="11" t="s">
        <v>16</v>
      </c>
      <c r="C128" s="11" t="s">
        <v>92</v>
      </c>
      <c r="D128" s="11" t="s">
        <v>100</v>
      </c>
      <c r="E128" s="11" t="s">
        <v>1</v>
      </c>
      <c r="F128" s="11" t="s">
        <v>98</v>
      </c>
      <c r="G128" s="11" t="s">
        <v>89</v>
      </c>
      <c r="H128" s="108">
        <v>5.7</v>
      </c>
      <c r="I128" s="22"/>
      <c r="J128" s="108">
        <v>0.1</v>
      </c>
      <c r="K128" s="110">
        <v>3</v>
      </c>
      <c r="L128" s="259">
        <v>0.3</v>
      </c>
      <c r="M128" s="260" t="s">
        <v>409</v>
      </c>
    </row>
    <row r="129" spans="1:13" x14ac:dyDescent="0.25">
      <c r="A129" s="146">
        <v>43699</v>
      </c>
      <c r="B129" s="11" t="s">
        <v>16</v>
      </c>
      <c r="C129" s="11" t="s">
        <v>92</v>
      </c>
      <c r="D129" s="11" t="s">
        <v>100</v>
      </c>
      <c r="E129" s="11" t="s">
        <v>1</v>
      </c>
      <c r="F129" s="11" t="s">
        <v>98</v>
      </c>
      <c r="G129" s="11" t="s">
        <v>89</v>
      </c>
      <c r="H129" s="108">
        <v>5.8</v>
      </c>
      <c r="I129" s="22"/>
      <c r="J129" s="108">
        <v>0.1</v>
      </c>
      <c r="K129" s="110">
        <v>3</v>
      </c>
      <c r="L129" s="259">
        <v>0.3</v>
      </c>
      <c r="M129" s="260" t="s">
        <v>410</v>
      </c>
    </row>
    <row r="130" spans="1:13" x14ac:dyDescent="0.25">
      <c r="A130" s="146">
        <v>43700</v>
      </c>
      <c r="B130" s="11" t="s">
        <v>16</v>
      </c>
      <c r="C130" s="11" t="s">
        <v>92</v>
      </c>
      <c r="D130" s="11" t="s">
        <v>100</v>
      </c>
      <c r="E130" s="11" t="s">
        <v>1</v>
      </c>
      <c r="F130" s="11" t="s">
        <v>98</v>
      </c>
      <c r="G130" s="11" t="s">
        <v>89</v>
      </c>
      <c r="H130" s="108">
        <v>5.9</v>
      </c>
      <c r="I130" s="22"/>
      <c r="J130" s="108">
        <v>0.1</v>
      </c>
      <c r="K130" s="110">
        <v>3</v>
      </c>
      <c r="L130" s="259">
        <v>0.3</v>
      </c>
      <c r="M130" s="260" t="s">
        <v>411</v>
      </c>
    </row>
    <row r="131" spans="1:13" x14ac:dyDescent="0.25">
      <c r="A131" s="146">
        <v>43701</v>
      </c>
      <c r="B131" s="11" t="s">
        <v>16</v>
      </c>
      <c r="C131" s="11" t="s">
        <v>92</v>
      </c>
      <c r="D131" s="11" t="s">
        <v>100</v>
      </c>
      <c r="E131" s="11" t="s">
        <v>1</v>
      </c>
      <c r="F131" s="11" t="s">
        <v>98</v>
      </c>
      <c r="G131" s="11" t="s">
        <v>89</v>
      </c>
      <c r="H131" s="108">
        <v>6</v>
      </c>
      <c r="I131" s="22"/>
      <c r="J131" s="108">
        <v>0.1</v>
      </c>
      <c r="K131" s="110">
        <v>3</v>
      </c>
      <c r="L131" s="259">
        <v>0.3</v>
      </c>
      <c r="M131" s="260" t="s">
        <v>412</v>
      </c>
    </row>
    <row r="132" spans="1:13" x14ac:dyDescent="0.25">
      <c r="A132" s="146">
        <v>43702</v>
      </c>
      <c r="B132" s="11" t="s">
        <v>16</v>
      </c>
      <c r="C132" s="11" t="s">
        <v>92</v>
      </c>
      <c r="D132" s="11" t="s">
        <v>100</v>
      </c>
      <c r="E132" s="11" t="s">
        <v>1</v>
      </c>
      <c r="F132" s="11" t="s">
        <v>98</v>
      </c>
      <c r="G132" s="11" t="s">
        <v>89</v>
      </c>
      <c r="H132" s="108">
        <v>5.9</v>
      </c>
      <c r="I132" s="22"/>
      <c r="J132" s="108">
        <v>0.1</v>
      </c>
      <c r="K132" s="110">
        <v>3</v>
      </c>
      <c r="L132" s="259">
        <v>0.3</v>
      </c>
      <c r="M132" s="260" t="s">
        <v>413</v>
      </c>
    </row>
    <row r="133" spans="1:13" x14ac:dyDescent="0.25">
      <c r="A133" s="146">
        <v>43703</v>
      </c>
      <c r="B133" s="11" t="s">
        <v>16</v>
      </c>
      <c r="C133" s="11" t="s">
        <v>92</v>
      </c>
      <c r="D133" s="11" t="s">
        <v>100</v>
      </c>
      <c r="E133" s="11" t="s">
        <v>1</v>
      </c>
      <c r="F133" s="11" t="s">
        <v>98</v>
      </c>
      <c r="G133" s="11" t="s">
        <v>89</v>
      </c>
      <c r="H133" s="108">
        <v>5.8</v>
      </c>
      <c r="I133" s="22"/>
      <c r="J133" s="108">
        <v>0.1</v>
      </c>
      <c r="K133" s="110">
        <v>3</v>
      </c>
      <c r="L133" s="259">
        <v>0.3</v>
      </c>
      <c r="M133" s="260" t="s">
        <v>414</v>
      </c>
    </row>
    <row r="134" spans="1:13" x14ac:dyDescent="0.25">
      <c r="A134" s="146">
        <v>43704</v>
      </c>
      <c r="B134" s="11" t="s">
        <v>16</v>
      </c>
      <c r="C134" s="11" t="s">
        <v>92</v>
      </c>
      <c r="D134" s="11" t="s">
        <v>100</v>
      </c>
      <c r="E134" s="11" t="s">
        <v>1</v>
      </c>
      <c r="F134" s="11" t="s">
        <v>98</v>
      </c>
      <c r="G134" s="11" t="s">
        <v>89</v>
      </c>
      <c r="H134" s="108">
        <v>5.8</v>
      </c>
      <c r="I134" s="22"/>
      <c r="J134" s="108">
        <v>0.1</v>
      </c>
      <c r="K134" s="110">
        <v>3</v>
      </c>
      <c r="L134" s="259">
        <v>0.3</v>
      </c>
      <c r="M134" s="260" t="s">
        <v>415</v>
      </c>
    </row>
    <row r="135" spans="1:13" x14ac:dyDescent="0.25">
      <c r="A135" s="146">
        <v>43705</v>
      </c>
      <c r="B135" s="11" t="s">
        <v>16</v>
      </c>
      <c r="C135" s="11" t="s">
        <v>92</v>
      </c>
      <c r="D135" s="11" t="s">
        <v>100</v>
      </c>
      <c r="E135" s="11" t="s">
        <v>1</v>
      </c>
      <c r="F135" s="11" t="s">
        <v>98</v>
      </c>
      <c r="G135" s="11" t="s">
        <v>89</v>
      </c>
      <c r="H135" s="108">
        <v>6</v>
      </c>
      <c r="I135" s="22"/>
      <c r="J135" s="108">
        <v>0.1</v>
      </c>
      <c r="K135" s="110">
        <v>3</v>
      </c>
      <c r="L135" s="259">
        <v>0.3</v>
      </c>
      <c r="M135" s="260" t="s">
        <v>416</v>
      </c>
    </row>
    <row r="136" spans="1:13" x14ac:dyDescent="0.25">
      <c r="A136" s="146">
        <v>43706</v>
      </c>
      <c r="B136" s="11" t="s">
        <v>16</v>
      </c>
      <c r="C136" s="11" t="s">
        <v>92</v>
      </c>
      <c r="D136" s="11" t="s">
        <v>100</v>
      </c>
      <c r="E136" s="11" t="s">
        <v>1</v>
      </c>
      <c r="F136" s="11" t="s">
        <v>98</v>
      </c>
      <c r="G136" s="11" t="s">
        <v>89</v>
      </c>
      <c r="H136" s="108">
        <v>5.9</v>
      </c>
      <c r="I136" s="22"/>
      <c r="J136" s="108">
        <v>0.1</v>
      </c>
      <c r="K136" s="110">
        <v>3</v>
      </c>
      <c r="L136" s="259">
        <v>0.3</v>
      </c>
      <c r="M136" s="260" t="s">
        <v>417</v>
      </c>
    </row>
    <row r="137" spans="1:13" x14ac:dyDescent="0.25">
      <c r="A137" s="146">
        <v>43707</v>
      </c>
      <c r="B137" s="11" t="s">
        <v>16</v>
      </c>
      <c r="C137" s="11" t="s">
        <v>92</v>
      </c>
      <c r="D137" s="11" t="s">
        <v>100</v>
      </c>
      <c r="E137" s="11" t="s">
        <v>1</v>
      </c>
      <c r="F137" s="11" t="s">
        <v>98</v>
      </c>
      <c r="G137" s="11" t="s">
        <v>89</v>
      </c>
      <c r="H137" s="108">
        <v>5.8</v>
      </c>
      <c r="I137" s="22"/>
      <c r="J137" s="108">
        <v>0.1</v>
      </c>
      <c r="K137" s="110">
        <v>3</v>
      </c>
      <c r="L137" s="259">
        <v>0.3</v>
      </c>
      <c r="M137" s="260" t="s">
        <v>418</v>
      </c>
    </row>
    <row r="138" spans="1:13" x14ac:dyDescent="0.25">
      <c r="A138" s="146">
        <v>43708</v>
      </c>
      <c r="B138" s="11" t="s">
        <v>16</v>
      </c>
      <c r="C138" s="11" t="s">
        <v>92</v>
      </c>
      <c r="D138" s="11" t="s">
        <v>100</v>
      </c>
      <c r="E138" s="11" t="s">
        <v>1</v>
      </c>
      <c r="F138" s="11" t="s">
        <v>98</v>
      </c>
      <c r="G138" s="11" t="s">
        <v>89</v>
      </c>
      <c r="H138" s="108">
        <v>5.9</v>
      </c>
      <c r="I138" s="22"/>
      <c r="J138" s="108">
        <v>0.1</v>
      </c>
      <c r="K138" s="110">
        <v>3</v>
      </c>
      <c r="L138" s="259">
        <v>0.3</v>
      </c>
      <c r="M138" s="260" t="s">
        <v>419</v>
      </c>
    </row>
    <row r="139" spans="1:13" x14ac:dyDescent="0.25">
      <c r="A139" s="146">
        <v>43674</v>
      </c>
      <c r="B139" s="11" t="s">
        <v>16</v>
      </c>
      <c r="C139" s="11" t="s">
        <v>92</v>
      </c>
      <c r="D139" s="11" t="s">
        <v>101</v>
      </c>
      <c r="E139" s="11" t="s">
        <v>3</v>
      </c>
      <c r="F139" s="11" t="s">
        <v>98</v>
      </c>
      <c r="G139" s="11" t="s">
        <v>102</v>
      </c>
      <c r="H139" s="108">
        <v>66</v>
      </c>
      <c r="I139" s="22"/>
      <c r="J139" s="108">
        <v>1</v>
      </c>
      <c r="K139" s="110">
        <v>1</v>
      </c>
      <c r="L139" s="259">
        <v>1</v>
      </c>
      <c r="M139" s="260" t="s">
        <v>420</v>
      </c>
    </row>
    <row r="140" spans="1:13" x14ac:dyDescent="0.25">
      <c r="A140" s="146">
        <v>43675</v>
      </c>
      <c r="B140" s="11" t="s">
        <v>16</v>
      </c>
      <c r="C140" s="11" t="s">
        <v>92</v>
      </c>
      <c r="D140" s="11" t="s">
        <v>101</v>
      </c>
      <c r="E140" s="11" t="s">
        <v>3</v>
      </c>
      <c r="F140" s="11" t="s">
        <v>98</v>
      </c>
      <c r="G140" s="11" t="s">
        <v>102</v>
      </c>
      <c r="H140" s="108">
        <v>115</v>
      </c>
      <c r="I140" s="22"/>
      <c r="J140" s="108">
        <v>1</v>
      </c>
      <c r="K140" s="110">
        <v>1</v>
      </c>
      <c r="L140" s="259">
        <v>1</v>
      </c>
      <c r="M140" s="260" t="s">
        <v>421</v>
      </c>
    </row>
    <row r="141" spans="1:13" x14ac:dyDescent="0.25">
      <c r="A141" s="146">
        <v>43676</v>
      </c>
      <c r="B141" s="11" t="s">
        <v>16</v>
      </c>
      <c r="C141" s="11" t="s">
        <v>92</v>
      </c>
      <c r="D141" s="11" t="s">
        <v>101</v>
      </c>
      <c r="E141" s="11" t="s">
        <v>3</v>
      </c>
      <c r="F141" s="11" t="s">
        <v>98</v>
      </c>
      <c r="G141" s="11" t="s">
        <v>102</v>
      </c>
      <c r="H141" s="108">
        <v>54</v>
      </c>
      <c r="I141" s="22"/>
      <c r="J141" s="108">
        <v>1</v>
      </c>
      <c r="K141" s="110">
        <v>1</v>
      </c>
      <c r="L141" s="259">
        <v>1</v>
      </c>
      <c r="M141" s="260" t="s">
        <v>422</v>
      </c>
    </row>
    <row r="142" spans="1:13" x14ac:dyDescent="0.25">
      <c r="A142" s="146">
        <v>43677</v>
      </c>
      <c r="B142" s="11" t="s">
        <v>16</v>
      </c>
      <c r="C142" s="11" t="s">
        <v>92</v>
      </c>
      <c r="D142" s="11" t="s">
        <v>101</v>
      </c>
      <c r="E142" s="11" t="s">
        <v>3</v>
      </c>
      <c r="F142" s="11" t="s">
        <v>98</v>
      </c>
      <c r="G142" s="11" t="s">
        <v>102</v>
      </c>
      <c r="H142" s="108">
        <v>123</v>
      </c>
      <c r="I142" s="22"/>
      <c r="J142" s="108">
        <v>1</v>
      </c>
      <c r="K142" s="110">
        <v>1</v>
      </c>
      <c r="L142" s="259">
        <v>1</v>
      </c>
      <c r="M142" s="260" t="s">
        <v>423</v>
      </c>
    </row>
    <row r="143" spans="1:13" x14ac:dyDescent="0.25">
      <c r="A143" s="146">
        <v>43678</v>
      </c>
      <c r="B143" s="11" t="s">
        <v>16</v>
      </c>
      <c r="C143" s="11" t="s">
        <v>92</v>
      </c>
      <c r="D143" s="11" t="s">
        <v>101</v>
      </c>
      <c r="E143" s="11" t="s">
        <v>3</v>
      </c>
      <c r="F143" s="11" t="s">
        <v>98</v>
      </c>
      <c r="G143" s="11" t="s">
        <v>102</v>
      </c>
      <c r="H143" s="108">
        <v>156</v>
      </c>
      <c r="I143" s="22"/>
      <c r="J143" s="108">
        <v>1</v>
      </c>
      <c r="K143" s="110">
        <v>1</v>
      </c>
      <c r="L143" s="259">
        <v>1</v>
      </c>
      <c r="M143" s="260" t="s">
        <v>424</v>
      </c>
    </row>
    <row r="144" spans="1:13" x14ac:dyDescent="0.25">
      <c r="A144" s="146">
        <v>43679</v>
      </c>
      <c r="B144" s="11" t="s">
        <v>16</v>
      </c>
      <c r="C144" s="11" t="s">
        <v>92</v>
      </c>
      <c r="D144" s="11" t="s">
        <v>101</v>
      </c>
      <c r="E144" s="11" t="s">
        <v>3</v>
      </c>
      <c r="F144" s="11" t="s">
        <v>98</v>
      </c>
      <c r="G144" s="11" t="s">
        <v>102</v>
      </c>
      <c r="H144" s="108">
        <v>110</v>
      </c>
      <c r="I144" s="22"/>
      <c r="J144" s="108">
        <v>1</v>
      </c>
      <c r="K144" s="110">
        <v>1</v>
      </c>
      <c r="L144" s="259">
        <v>1</v>
      </c>
      <c r="M144" s="260" t="s">
        <v>425</v>
      </c>
    </row>
    <row r="145" spans="1:13" x14ac:dyDescent="0.25">
      <c r="A145" s="146">
        <v>43680</v>
      </c>
      <c r="B145" s="11" t="s">
        <v>16</v>
      </c>
      <c r="C145" s="11" t="s">
        <v>92</v>
      </c>
      <c r="D145" s="11" t="s">
        <v>101</v>
      </c>
      <c r="E145" s="11" t="s">
        <v>3</v>
      </c>
      <c r="F145" s="11" t="s">
        <v>98</v>
      </c>
      <c r="G145" s="11" t="s">
        <v>102</v>
      </c>
      <c r="H145" s="108">
        <v>57</v>
      </c>
      <c r="I145" s="22"/>
      <c r="J145" s="108">
        <v>1</v>
      </c>
      <c r="K145" s="110">
        <v>1</v>
      </c>
      <c r="L145" s="259">
        <v>1</v>
      </c>
      <c r="M145" s="260" t="s">
        <v>426</v>
      </c>
    </row>
    <row r="146" spans="1:13" x14ac:dyDescent="0.25">
      <c r="A146" s="146">
        <v>43681</v>
      </c>
      <c r="B146" s="11" t="s">
        <v>16</v>
      </c>
      <c r="C146" s="11" t="s">
        <v>92</v>
      </c>
      <c r="D146" s="11" t="s">
        <v>101</v>
      </c>
      <c r="E146" s="11" t="s">
        <v>3</v>
      </c>
      <c r="F146" s="11" t="s">
        <v>98</v>
      </c>
      <c r="G146" s="11" t="s">
        <v>102</v>
      </c>
      <c r="H146" s="108">
        <v>41</v>
      </c>
      <c r="I146" s="22"/>
      <c r="J146" s="108">
        <v>1</v>
      </c>
      <c r="K146" s="110">
        <v>1</v>
      </c>
      <c r="L146" s="259">
        <v>1</v>
      </c>
      <c r="M146" s="260" t="s">
        <v>427</v>
      </c>
    </row>
    <row r="147" spans="1:13" x14ac:dyDescent="0.25">
      <c r="A147" s="146">
        <v>43682</v>
      </c>
      <c r="B147" s="11" t="s">
        <v>16</v>
      </c>
      <c r="C147" s="11" t="s">
        <v>92</v>
      </c>
      <c r="D147" s="11" t="s">
        <v>101</v>
      </c>
      <c r="E147" s="11" t="s">
        <v>3</v>
      </c>
      <c r="F147" s="11" t="s">
        <v>98</v>
      </c>
      <c r="G147" s="11" t="s">
        <v>102</v>
      </c>
      <c r="H147" s="108">
        <v>56</v>
      </c>
      <c r="I147" s="22"/>
      <c r="J147" s="108">
        <v>1</v>
      </c>
      <c r="K147" s="110">
        <v>1</v>
      </c>
      <c r="L147" s="259">
        <v>1</v>
      </c>
      <c r="M147" s="260" t="s">
        <v>428</v>
      </c>
    </row>
    <row r="148" spans="1:13" x14ac:dyDescent="0.25">
      <c r="A148" s="146">
        <v>43683</v>
      </c>
      <c r="B148" s="11" t="s">
        <v>16</v>
      </c>
      <c r="C148" s="11" t="s">
        <v>92</v>
      </c>
      <c r="D148" s="11" t="s">
        <v>101</v>
      </c>
      <c r="E148" s="11" t="s">
        <v>3</v>
      </c>
      <c r="F148" s="11" t="s">
        <v>98</v>
      </c>
      <c r="G148" s="11" t="s">
        <v>102</v>
      </c>
      <c r="H148" s="108">
        <v>114</v>
      </c>
      <c r="I148" s="22"/>
      <c r="J148" s="108">
        <v>1</v>
      </c>
      <c r="K148" s="110">
        <v>1</v>
      </c>
      <c r="L148" s="259">
        <v>1</v>
      </c>
      <c r="M148" s="260" t="s">
        <v>429</v>
      </c>
    </row>
    <row r="149" spans="1:13" x14ac:dyDescent="0.25">
      <c r="A149" s="146">
        <v>43684</v>
      </c>
      <c r="B149" s="11" t="s">
        <v>16</v>
      </c>
      <c r="C149" s="11" t="s">
        <v>92</v>
      </c>
      <c r="D149" s="11" t="s">
        <v>101</v>
      </c>
      <c r="E149" s="11" t="s">
        <v>3</v>
      </c>
      <c r="F149" s="11" t="s">
        <v>98</v>
      </c>
      <c r="G149" s="11" t="s">
        <v>102</v>
      </c>
      <c r="H149" s="108">
        <v>102</v>
      </c>
      <c r="I149" s="22"/>
      <c r="J149" s="108">
        <v>1</v>
      </c>
      <c r="K149" s="110">
        <v>1</v>
      </c>
      <c r="L149" s="259">
        <v>1</v>
      </c>
      <c r="M149" s="260" t="s">
        <v>430</v>
      </c>
    </row>
    <row r="150" spans="1:13" x14ac:dyDescent="0.25">
      <c r="A150" s="146">
        <v>43685</v>
      </c>
      <c r="B150" s="11" t="s">
        <v>16</v>
      </c>
      <c r="C150" s="11" t="s">
        <v>92</v>
      </c>
      <c r="D150" s="11" t="s">
        <v>101</v>
      </c>
      <c r="E150" s="11" t="s">
        <v>3</v>
      </c>
      <c r="F150" s="11" t="s">
        <v>98</v>
      </c>
      <c r="G150" s="11" t="s">
        <v>102</v>
      </c>
      <c r="H150" s="108">
        <v>219</v>
      </c>
      <c r="I150" s="22"/>
      <c r="J150" s="108">
        <v>1</v>
      </c>
      <c r="K150" s="110">
        <v>1</v>
      </c>
      <c r="L150" s="259">
        <v>1</v>
      </c>
      <c r="M150" s="260" t="s">
        <v>431</v>
      </c>
    </row>
    <row r="151" spans="1:13" x14ac:dyDescent="0.25">
      <c r="A151" s="146">
        <v>43686</v>
      </c>
      <c r="B151" s="11" t="s">
        <v>16</v>
      </c>
      <c r="C151" s="11" t="s">
        <v>92</v>
      </c>
      <c r="D151" s="11" t="s">
        <v>101</v>
      </c>
      <c r="E151" s="11" t="s">
        <v>3</v>
      </c>
      <c r="F151" s="11" t="s">
        <v>98</v>
      </c>
      <c r="G151" s="11" t="s">
        <v>102</v>
      </c>
      <c r="H151" s="108">
        <v>172</v>
      </c>
      <c r="I151" s="22"/>
      <c r="J151" s="108">
        <v>1</v>
      </c>
      <c r="K151" s="110">
        <v>1</v>
      </c>
      <c r="L151" s="259">
        <v>1</v>
      </c>
      <c r="M151" s="260" t="s">
        <v>432</v>
      </c>
    </row>
    <row r="152" spans="1:13" x14ac:dyDescent="0.25">
      <c r="A152" s="146">
        <v>43687</v>
      </c>
      <c r="B152" s="11" t="s">
        <v>16</v>
      </c>
      <c r="C152" s="11" t="s">
        <v>92</v>
      </c>
      <c r="D152" s="11" t="s">
        <v>101</v>
      </c>
      <c r="E152" s="11" t="s">
        <v>3</v>
      </c>
      <c r="F152" s="11" t="s">
        <v>98</v>
      </c>
      <c r="G152" s="11" t="s">
        <v>102</v>
      </c>
      <c r="H152" s="108">
        <v>162</v>
      </c>
      <c r="I152" s="22"/>
      <c r="J152" s="108">
        <v>1</v>
      </c>
      <c r="K152" s="110">
        <v>1</v>
      </c>
      <c r="L152" s="259">
        <v>1</v>
      </c>
      <c r="M152" s="260" t="s">
        <v>433</v>
      </c>
    </row>
    <row r="153" spans="1:13" x14ac:dyDescent="0.25">
      <c r="A153" s="146">
        <v>43688</v>
      </c>
      <c r="B153" s="11" t="s">
        <v>16</v>
      </c>
      <c r="C153" s="11" t="s">
        <v>92</v>
      </c>
      <c r="D153" s="11" t="s">
        <v>101</v>
      </c>
      <c r="E153" s="11" t="s">
        <v>3</v>
      </c>
      <c r="F153" s="11" t="s">
        <v>98</v>
      </c>
      <c r="G153" s="11" t="s">
        <v>102</v>
      </c>
      <c r="H153" s="108">
        <v>147</v>
      </c>
      <c r="I153" s="22"/>
      <c r="J153" s="108">
        <v>1</v>
      </c>
      <c r="K153" s="110">
        <v>1</v>
      </c>
      <c r="L153" s="259">
        <v>1</v>
      </c>
      <c r="M153" s="260" t="s">
        <v>434</v>
      </c>
    </row>
    <row r="154" spans="1:13" x14ac:dyDescent="0.25">
      <c r="A154" s="146">
        <v>43689</v>
      </c>
      <c r="B154" s="11" t="s">
        <v>16</v>
      </c>
      <c r="C154" s="11" t="s">
        <v>92</v>
      </c>
      <c r="D154" s="11" t="s">
        <v>101</v>
      </c>
      <c r="E154" s="11" t="s">
        <v>3</v>
      </c>
      <c r="F154" s="11" t="s">
        <v>98</v>
      </c>
      <c r="G154" s="11" t="s">
        <v>102</v>
      </c>
      <c r="H154" s="108">
        <v>276</v>
      </c>
      <c r="I154" s="22"/>
      <c r="J154" s="108">
        <v>1</v>
      </c>
      <c r="K154" s="110">
        <v>1</v>
      </c>
      <c r="L154" s="259">
        <v>1</v>
      </c>
      <c r="M154" s="260" t="s">
        <v>435</v>
      </c>
    </row>
    <row r="155" spans="1:13" x14ac:dyDescent="0.25">
      <c r="A155" s="146">
        <v>43690</v>
      </c>
      <c r="B155" s="11" t="s">
        <v>16</v>
      </c>
      <c r="C155" s="11" t="s">
        <v>92</v>
      </c>
      <c r="D155" s="11" t="s">
        <v>101</v>
      </c>
      <c r="E155" s="11" t="s">
        <v>3</v>
      </c>
      <c r="F155" s="11" t="s">
        <v>98</v>
      </c>
      <c r="G155" s="11" t="s">
        <v>102</v>
      </c>
      <c r="H155" s="108">
        <v>162</v>
      </c>
      <c r="I155" s="22"/>
      <c r="J155" s="108">
        <v>1</v>
      </c>
      <c r="K155" s="110">
        <v>1</v>
      </c>
      <c r="L155" s="259">
        <v>1</v>
      </c>
      <c r="M155" s="260" t="s">
        <v>436</v>
      </c>
    </row>
    <row r="156" spans="1:13" x14ac:dyDescent="0.25">
      <c r="A156" s="146">
        <v>43691</v>
      </c>
      <c r="B156" s="11" t="s">
        <v>16</v>
      </c>
      <c r="C156" s="11" t="s">
        <v>92</v>
      </c>
      <c r="D156" s="11" t="s">
        <v>101</v>
      </c>
      <c r="E156" s="11" t="s">
        <v>3</v>
      </c>
      <c r="F156" s="11" t="s">
        <v>98</v>
      </c>
      <c r="G156" s="11" t="s">
        <v>102</v>
      </c>
      <c r="H156" s="108">
        <v>308</v>
      </c>
      <c r="I156" s="22"/>
      <c r="J156" s="108">
        <v>1</v>
      </c>
      <c r="K156" s="110">
        <v>1</v>
      </c>
      <c r="L156" s="259">
        <v>1</v>
      </c>
      <c r="M156" s="260" t="s">
        <v>437</v>
      </c>
    </row>
    <row r="157" spans="1:13" x14ac:dyDescent="0.25">
      <c r="A157" s="146">
        <v>43692</v>
      </c>
      <c r="B157" s="11" t="s">
        <v>16</v>
      </c>
      <c r="C157" s="11" t="s">
        <v>92</v>
      </c>
      <c r="D157" s="11" t="s">
        <v>101</v>
      </c>
      <c r="E157" s="11" t="s">
        <v>3</v>
      </c>
      <c r="F157" s="11" t="s">
        <v>98</v>
      </c>
      <c r="G157" s="11" t="s">
        <v>102</v>
      </c>
      <c r="H157" s="108">
        <v>156</v>
      </c>
      <c r="I157" s="22"/>
      <c r="J157" s="108">
        <v>1</v>
      </c>
      <c r="K157" s="110">
        <v>1</v>
      </c>
      <c r="L157" s="259">
        <v>1</v>
      </c>
      <c r="M157" s="260" t="s">
        <v>438</v>
      </c>
    </row>
    <row r="158" spans="1:13" x14ac:dyDescent="0.25">
      <c r="A158" s="146">
        <v>43693</v>
      </c>
      <c r="B158" s="11" t="s">
        <v>16</v>
      </c>
      <c r="C158" s="11" t="s">
        <v>92</v>
      </c>
      <c r="D158" s="11" t="s">
        <v>101</v>
      </c>
      <c r="E158" s="11" t="s">
        <v>3</v>
      </c>
      <c r="F158" s="11" t="s">
        <v>98</v>
      </c>
      <c r="G158" s="11" t="s">
        <v>102</v>
      </c>
      <c r="H158" s="108">
        <v>206</v>
      </c>
      <c r="I158" s="22"/>
      <c r="J158" s="108">
        <v>1</v>
      </c>
      <c r="K158" s="110">
        <v>1</v>
      </c>
      <c r="L158" s="259">
        <v>1</v>
      </c>
      <c r="M158" s="260" t="s">
        <v>439</v>
      </c>
    </row>
    <row r="159" spans="1:13" x14ac:dyDescent="0.25">
      <c r="A159" s="146">
        <v>43694</v>
      </c>
      <c r="B159" s="11" t="s">
        <v>16</v>
      </c>
      <c r="C159" s="11" t="s">
        <v>92</v>
      </c>
      <c r="D159" s="11" t="s">
        <v>101</v>
      </c>
      <c r="E159" s="11" t="s">
        <v>3</v>
      </c>
      <c r="F159" s="11" t="s">
        <v>98</v>
      </c>
      <c r="G159" s="11" t="s">
        <v>102</v>
      </c>
      <c r="H159" s="108">
        <v>118</v>
      </c>
      <c r="I159" s="22"/>
      <c r="J159" s="108">
        <v>1</v>
      </c>
      <c r="K159" s="110">
        <v>1</v>
      </c>
      <c r="L159" s="259">
        <v>1</v>
      </c>
      <c r="M159" s="260" t="s">
        <v>440</v>
      </c>
    </row>
    <row r="160" spans="1:13" x14ac:dyDescent="0.25">
      <c r="A160" s="146">
        <v>43695</v>
      </c>
      <c r="B160" s="11" t="s">
        <v>16</v>
      </c>
      <c r="C160" s="11" t="s">
        <v>92</v>
      </c>
      <c r="D160" s="11" t="s">
        <v>101</v>
      </c>
      <c r="E160" s="11" t="s">
        <v>3</v>
      </c>
      <c r="F160" s="11" t="s">
        <v>98</v>
      </c>
      <c r="G160" s="11" t="s">
        <v>102</v>
      </c>
      <c r="H160" s="108">
        <v>178</v>
      </c>
      <c r="I160" s="22"/>
      <c r="J160" s="108">
        <v>1</v>
      </c>
      <c r="K160" s="110">
        <v>1</v>
      </c>
      <c r="L160" s="259">
        <v>1</v>
      </c>
      <c r="M160" s="260" t="s">
        <v>441</v>
      </c>
    </row>
    <row r="161" spans="1:13" x14ac:dyDescent="0.25">
      <c r="A161" s="146">
        <v>43696</v>
      </c>
      <c r="B161" s="11" t="s">
        <v>16</v>
      </c>
      <c r="C161" s="11" t="s">
        <v>92</v>
      </c>
      <c r="D161" s="11" t="s">
        <v>101</v>
      </c>
      <c r="E161" s="11" t="s">
        <v>3</v>
      </c>
      <c r="F161" s="11" t="s">
        <v>98</v>
      </c>
      <c r="G161" s="11" t="s">
        <v>102</v>
      </c>
      <c r="H161" s="108">
        <v>101</v>
      </c>
      <c r="I161" s="22"/>
      <c r="J161" s="108">
        <v>1</v>
      </c>
      <c r="K161" s="110">
        <v>1</v>
      </c>
      <c r="L161" s="259">
        <v>1</v>
      </c>
      <c r="M161" s="260" t="s">
        <v>442</v>
      </c>
    </row>
    <row r="162" spans="1:13" x14ac:dyDescent="0.25">
      <c r="A162" s="146">
        <v>43697</v>
      </c>
      <c r="B162" s="11" t="s">
        <v>16</v>
      </c>
      <c r="C162" s="11" t="s">
        <v>92</v>
      </c>
      <c r="D162" s="11" t="s">
        <v>101</v>
      </c>
      <c r="E162" s="11" t="s">
        <v>3</v>
      </c>
      <c r="F162" s="11" t="s">
        <v>98</v>
      </c>
      <c r="G162" s="11" t="s">
        <v>102</v>
      </c>
      <c r="H162" s="108">
        <v>126</v>
      </c>
      <c r="I162" s="22"/>
      <c r="J162" s="108">
        <v>1</v>
      </c>
      <c r="K162" s="110">
        <v>1</v>
      </c>
      <c r="L162" s="259">
        <v>1</v>
      </c>
      <c r="M162" s="260" t="s">
        <v>443</v>
      </c>
    </row>
    <row r="163" spans="1:13" x14ac:dyDescent="0.25">
      <c r="A163" s="146">
        <v>43698</v>
      </c>
      <c r="B163" s="11" t="s">
        <v>16</v>
      </c>
      <c r="C163" s="11" t="s">
        <v>92</v>
      </c>
      <c r="D163" s="11" t="s">
        <v>101</v>
      </c>
      <c r="E163" s="11" t="s">
        <v>3</v>
      </c>
      <c r="F163" s="11" t="s">
        <v>98</v>
      </c>
      <c r="G163" s="11" t="s">
        <v>102</v>
      </c>
      <c r="H163" s="108">
        <v>105</v>
      </c>
      <c r="I163" s="22"/>
      <c r="J163" s="108">
        <v>1</v>
      </c>
      <c r="K163" s="110">
        <v>1</v>
      </c>
      <c r="L163" s="259">
        <v>1</v>
      </c>
      <c r="M163" s="260" t="s">
        <v>444</v>
      </c>
    </row>
    <row r="164" spans="1:13" x14ac:dyDescent="0.25">
      <c r="A164" s="146">
        <v>43699</v>
      </c>
      <c r="B164" s="11" t="s">
        <v>16</v>
      </c>
      <c r="C164" s="11" t="s">
        <v>92</v>
      </c>
      <c r="D164" s="11" t="s">
        <v>101</v>
      </c>
      <c r="E164" s="11" t="s">
        <v>3</v>
      </c>
      <c r="F164" s="11" t="s">
        <v>98</v>
      </c>
      <c r="G164" s="11" t="s">
        <v>102</v>
      </c>
      <c r="H164" s="108">
        <v>178</v>
      </c>
      <c r="I164" s="22"/>
      <c r="J164" s="108">
        <v>1</v>
      </c>
      <c r="K164" s="110">
        <v>1</v>
      </c>
      <c r="L164" s="259">
        <v>1</v>
      </c>
      <c r="M164" s="260" t="s">
        <v>445</v>
      </c>
    </row>
    <row r="165" spans="1:13" x14ac:dyDescent="0.25">
      <c r="A165" s="146">
        <v>43700</v>
      </c>
      <c r="B165" s="11" t="s">
        <v>16</v>
      </c>
      <c r="C165" s="11" t="s">
        <v>92</v>
      </c>
      <c r="D165" s="11" t="s">
        <v>101</v>
      </c>
      <c r="E165" s="11" t="s">
        <v>3</v>
      </c>
      <c r="F165" s="11" t="s">
        <v>98</v>
      </c>
      <c r="G165" s="11" t="s">
        <v>102</v>
      </c>
      <c r="H165" s="108">
        <v>111</v>
      </c>
      <c r="I165" s="22"/>
      <c r="J165" s="108">
        <v>1</v>
      </c>
      <c r="K165" s="110">
        <v>1</v>
      </c>
      <c r="L165" s="259">
        <v>1</v>
      </c>
      <c r="M165" s="260" t="s">
        <v>446</v>
      </c>
    </row>
    <row r="166" spans="1:13" x14ac:dyDescent="0.25">
      <c r="A166" s="146">
        <v>43701</v>
      </c>
      <c r="B166" s="11" t="s">
        <v>16</v>
      </c>
      <c r="C166" s="11" t="s">
        <v>92</v>
      </c>
      <c r="D166" s="11" t="s">
        <v>101</v>
      </c>
      <c r="E166" s="11" t="s">
        <v>3</v>
      </c>
      <c r="F166" s="11" t="s">
        <v>98</v>
      </c>
      <c r="G166" s="11" t="s">
        <v>102</v>
      </c>
      <c r="H166" s="108">
        <v>101</v>
      </c>
      <c r="I166" s="22"/>
      <c r="J166" s="108">
        <v>1</v>
      </c>
      <c r="K166" s="110">
        <v>1</v>
      </c>
      <c r="L166" s="259">
        <v>1</v>
      </c>
      <c r="M166" s="260" t="s">
        <v>447</v>
      </c>
    </row>
    <row r="167" spans="1:13" x14ac:dyDescent="0.25">
      <c r="A167" s="146">
        <v>43702</v>
      </c>
      <c r="B167" s="11" t="s">
        <v>16</v>
      </c>
      <c r="C167" s="11" t="s">
        <v>92</v>
      </c>
      <c r="D167" s="11" t="s">
        <v>101</v>
      </c>
      <c r="E167" s="11" t="s">
        <v>3</v>
      </c>
      <c r="F167" s="11" t="s">
        <v>98</v>
      </c>
      <c r="G167" s="11" t="s">
        <v>102</v>
      </c>
      <c r="H167" s="108">
        <v>46</v>
      </c>
      <c r="I167" s="22"/>
      <c r="J167" s="108">
        <v>1</v>
      </c>
      <c r="K167" s="110">
        <v>1</v>
      </c>
      <c r="L167" s="259">
        <v>1</v>
      </c>
      <c r="M167" s="260" t="s">
        <v>448</v>
      </c>
    </row>
    <row r="168" spans="1:13" x14ac:dyDescent="0.25">
      <c r="A168" s="146">
        <v>43703</v>
      </c>
      <c r="B168" s="11" t="s">
        <v>16</v>
      </c>
      <c r="C168" s="11" t="s">
        <v>92</v>
      </c>
      <c r="D168" s="11" t="s">
        <v>101</v>
      </c>
      <c r="E168" s="11" t="s">
        <v>3</v>
      </c>
      <c r="F168" s="11" t="s">
        <v>98</v>
      </c>
      <c r="G168" s="11" t="s">
        <v>102</v>
      </c>
      <c r="H168" s="108">
        <v>45</v>
      </c>
      <c r="I168" s="22"/>
      <c r="J168" s="108">
        <v>1</v>
      </c>
      <c r="K168" s="110">
        <v>1</v>
      </c>
      <c r="L168" s="259">
        <v>1</v>
      </c>
      <c r="M168" s="260" t="s">
        <v>449</v>
      </c>
    </row>
    <row r="169" spans="1:13" x14ac:dyDescent="0.25">
      <c r="A169" s="146">
        <v>43704</v>
      </c>
      <c r="B169" s="11" t="s">
        <v>16</v>
      </c>
      <c r="C169" s="11" t="s">
        <v>92</v>
      </c>
      <c r="D169" s="11" t="s">
        <v>101</v>
      </c>
      <c r="E169" s="11" t="s">
        <v>3</v>
      </c>
      <c r="F169" s="11" t="s">
        <v>98</v>
      </c>
      <c r="G169" s="11" t="s">
        <v>102</v>
      </c>
      <c r="H169" s="108">
        <v>127</v>
      </c>
      <c r="I169" s="22"/>
      <c r="J169" s="108">
        <v>1</v>
      </c>
      <c r="K169" s="110">
        <v>1</v>
      </c>
      <c r="L169" s="259">
        <v>1</v>
      </c>
      <c r="M169" s="260" t="s">
        <v>450</v>
      </c>
    </row>
    <row r="170" spans="1:13" x14ac:dyDescent="0.25">
      <c r="A170" s="146">
        <v>43705</v>
      </c>
      <c r="B170" s="11" t="s">
        <v>16</v>
      </c>
      <c r="C170" s="11" t="s">
        <v>92</v>
      </c>
      <c r="D170" s="11" t="s">
        <v>101</v>
      </c>
      <c r="E170" s="11" t="s">
        <v>3</v>
      </c>
      <c r="F170" s="11" t="s">
        <v>98</v>
      </c>
      <c r="G170" s="11" t="s">
        <v>102</v>
      </c>
      <c r="H170" s="108">
        <v>84</v>
      </c>
      <c r="I170" s="22"/>
      <c r="J170" s="108">
        <v>1</v>
      </c>
      <c r="K170" s="110">
        <v>1</v>
      </c>
      <c r="L170" s="259">
        <v>1</v>
      </c>
      <c r="M170" s="260" t="s">
        <v>451</v>
      </c>
    </row>
    <row r="171" spans="1:13" x14ac:dyDescent="0.25">
      <c r="A171" s="146">
        <v>43706</v>
      </c>
      <c r="B171" s="11" t="s">
        <v>16</v>
      </c>
      <c r="C171" s="11" t="s">
        <v>92</v>
      </c>
      <c r="D171" s="11" t="s">
        <v>101</v>
      </c>
      <c r="E171" s="11" t="s">
        <v>3</v>
      </c>
      <c r="F171" s="11" t="s">
        <v>98</v>
      </c>
      <c r="G171" s="11" t="s">
        <v>102</v>
      </c>
      <c r="H171" s="108">
        <v>72</v>
      </c>
      <c r="I171" s="22"/>
      <c r="J171" s="108">
        <v>1</v>
      </c>
      <c r="K171" s="110">
        <v>1</v>
      </c>
      <c r="L171" s="259">
        <v>1</v>
      </c>
      <c r="M171" s="260" t="s">
        <v>452</v>
      </c>
    </row>
    <row r="172" spans="1:13" x14ac:dyDescent="0.25">
      <c r="A172" s="146">
        <v>43707</v>
      </c>
      <c r="B172" s="11" t="s">
        <v>16</v>
      </c>
      <c r="C172" s="11" t="s">
        <v>92</v>
      </c>
      <c r="D172" s="11" t="s">
        <v>101</v>
      </c>
      <c r="E172" s="11" t="s">
        <v>3</v>
      </c>
      <c r="F172" s="11" t="s">
        <v>98</v>
      </c>
      <c r="G172" s="11" t="s">
        <v>102</v>
      </c>
      <c r="H172" s="108">
        <v>114</v>
      </c>
      <c r="I172" s="22"/>
      <c r="J172" s="108">
        <v>1</v>
      </c>
      <c r="K172" s="110">
        <v>1</v>
      </c>
      <c r="L172" s="259">
        <v>1</v>
      </c>
      <c r="M172" s="260" t="s">
        <v>453</v>
      </c>
    </row>
    <row r="173" spans="1:13" x14ac:dyDescent="0.25">
      <c r="A173" s="146">
        <v>43708</v>
      </c>
      <c r="B173" s="11" t="s">
        <v>16</v>
      </c>
      <c r="C173" s="11" t="s">
        <v>92</v>
      </c>
      <c r="D173" s="11" t="s">
        <v>101</v>
      </c>
      <c r="E173" s="11" t="s">
        <v>3</v>
      </c>
      <c r="F173" s="11" t="s">
        <v>98</v>
      </c>
      <c r="G173" s="11" t="s">
        <v>102</v>
      </c>
      <c r="H173" s="108">
        <v>126</v>
      </c>
      <c r="I173" s="22"/>
      <c r="J173" s="108">
        <v>1</v>
      </c>
      <c r="K173" s="110">
        <v>1</v>
      </c>
      <c r="L173" s="259">
        <v>1</v>
      </c>
      <c r="M173" s="260" t="s">
        <v>454</v>
      </c>
    </row>
    <row r="174" spans="1:13" x14ac:dyDescent="0.25">
      <c r="A174" s="146">
        <v>43674</v>
      </c>
      <c r="B174" s="11" t="s">
        <v>16</v>
      </c>
      <c r="C174" s="11" t="s">
        <v>92</v>
      </c>
      <c r="D174" s="11" t="s">
        <v>125</v>
      </c>
      <c r="E174" s="11" t="s">
        <v>126</v>
      </c>
      <c r="F174" s="11" t="s">
        <v>98</v>
      </c>
      <c r="G174" s="11" t="s">
        <v>76</v>
      </c>
      <c r="H174" s="108">
        <v>14.34</v>
      </c>
      <c r="I174" s="22"/>
      <c r="J174" s="108"/>
      <c r="K174" s="110">
        <v>1</v>
      </c>
      <c r="L174" s="259"/>
      <c r="M174" s="260" t="s">
        <v>420</v>
      </c>
    </row>
    <row r="175" spans="1:13" x14ac:dyDescent="0.25">
      <c r="A175" s="146">
        <v>43674</v>
      </c>
      <c r="B175" s="11" t="s">
        <v>16</v>
      </c>
      <c r="C175" s="11" t="s">
        <v>92</v>
      </c>
      <c r="D175" s="11" t="s">
        <v>125</v>
      </c>
      <c r="E175" s="11" t="s">
        <v>126</v>
      </c>
      <c r="F175" s="11" t="s">
        <v>98</v>
      </c>
      <c r="G175" s="11" t="s">
        <v>76</v>
      </c>
      <c r="H175" s="108">
        <v>40.92</v>
      </c>
      <c r="I175" s="22"/>
      <c r="J175" s="108"/>
      <c r="K175" s="110">
        <v>1</v>
      </c>
      <c r="L175" s="259"/>
      <c r="M175" s="260" t="s">
        <v>384</v>
      </c>
    </row>
    <row r="176" spans="1:13" x14ac:dyDescent="0.25">
      <c r="A176" s="146">
        <v>43675</v>
      </c>
      <c r="B176" s="11" t="s">
        <v>16</v>
      </c>
      <c r="C176" s="11" t="s">
        <v>92</v>
      </c>
      <c r="D176" s="11" t="s">
        <v>125</v>
      </c>
      <c r="E176" s="11" t="s">
        <v>126</v>
      </c>
      <c r="F176" s="11" t="s">
        <v>98</v>
      </c>
      <c r="G176" s="11" t="s">
        <v>76</v>
      </c>
      <c r="H176" s="108">
        <v>66.72</v>
      </c>
      <c r="I176" s="22"/>
      <c r="J176" s="108"/>
      <c r="K176" s="110">
        <v>1</v>
      </c>
      <c r="L176" s="259"/>
      <c r="M176" s="260" t="s">
        <v>385</v>
      </c>
    </row>
    <row r="177" spans="1:13" x14ac:dyDescent="0.25">
      <c r="A177" s="146">
        <v>43675</v>
      </c>
      <c r="B177" s="11" t="s">
        <v>16</v>
      </c>
      <c r="C177" s="11" t="s">
        <v>92</v>
      </c>
      <c r="D177" s="11" t="s">
        <v>125</v>
      </c>
      <c r="E177" s="11" t="s">
        <v>126</v>
      </c>
      <c r="F177" s="11" t="s">
        <v>98</v>
      </c>
      <c r="G177" s="11" t="s">
        <v>76</v>
      </c>
      <c r="H177" s="108">
        <v>15.82</v>
      </c>
      <c r="I177" s="22"/>
      <c r="J177" s="108"/>
      <c r="K177" s="110">
        <v>1</v>
      </c>
      <c r="L177" s="259"/>
      <c r="M177" s="260" t="s">
        <v>421</v>
      </c>
    </row>
    <row r="178" spans="1:13" x14ac:dyDescent="0.25">
      <c r="A178" s="146">
        <v>43676</v>
      </c>
      <c r="B178" s="11" t="s">
        <v>16</v>
      </c>
      <c r="C178" s="11" t="s">
        <v>92</v>
      </c>
      <c r="D178" s="11" t="s">
        <v>125</v>
      </c>
      <c r="E178" s="11" t="s">
        <v>126</v>
      </c>
      <c r="F178" s="11" t="s">
        <v>98</v>
      </c>
      <c r="G178" s="11" t="s">
        <v>76</v>
      </c>
      <c r="H178" s="108">
        <v>61.66</v>
      </c>
      <c r="I178" s="22"/>
      <c r="J178" s="108"/>
      <c r="K178" s="110">
        <v>1</v>
      </c>
      <c r="L178" s="259"/>
      <c r="M178" s="260" t="s">
        <v>422</v>
      </c>
    </row>
    <row r="179" spans="1:13" x14ac:dyDescent="0.25">
      <c r="A179" s="146">
        <v>43676</v>
      </c>
      <c r="B179" s="11" t="s">
        <v>16</v>
      </c>
      <c r="C179" s="11" t="s">
        <v>92</v>
      </c>
      <c r="D179" s="11" t="s">
        <v>125</v>
      </c>
      <c r="E179" s="11" t="s">
        <v>126</v>
      </c>
      <c r="F179" s="11" t="s">
        <v>98</v>
      </c>
      <c r="G179" s="11" t="s">
        <v>76</v>
      </c>
      <c r="H179" s="108">
        <v>49.93</v>
      </c>
      <c r="I179" s="22"/>
      <c r="J179" s="108"/>
      <c r="K179" s="110">
        <v>1</v>
      </c>
      <c r="L179" s="259"/>
      <c r="M179" s="260" t="s">
        <v>386</v>
      </c>
    </row>
    <row r="180" spans="1:13" x14ac:dyDescent="0.25">
      <c r="A180" s="146">
        <v>43677</v>
      </c>
      <c r="B180" s="11" t="s">
        <v>16</v>
      </c>
      <c r="C180" s="11" t="s">
        <v>92</v>
      </c>
      <c r="D180" s="11" t="s">
        <v>125</v>
      </c>
      <c r="E180" s="11" t="s">
        <v>126</v>
      </c>
      <c r="F180" s="11" t="s">
        <v>98</v>
      </c>
      <c r="G180" s="11" t="s">
        <v>76</v>
      </c>
      <c r="H180" s="108">
        <v>53.69</v>
      </c>
      <c r="I180" s="22"/>
      <c r="J180" s="108"/>
      <c r="K180" s="110">
        <v>1</v>
      </c>
      <c r="L180" s="259"/>
      <c r="M180" s="260" t="s">
        <v>387</v>
      </c>
    </row>
    <row r="181" spans="1:13" x14ac:dyDescent="0.25">
      <c r="A181" s="146">
        <v>43677</v>
      </c>
      <c r="B181" s="11" t="s">
        <v>16</v>
      </c>
      <c r="C181" s="11" t="s">
        <v>92</v>
      </c>
      <c r="D181" s="11" t="s">
        <v>125</v>
      </c>
      <c r="E181" s="11" t="s">
        <v>126</v>
      </c>
      <c r="F181" s="11" t="s">
        <v>98</v>
      </c>
      <c r="G181" s="11" t="s">
        <v>76</v>
      </c>
      <c r="H181" s="108">
        <v>21.3</v>
      </c>
      <c r="I181" s="22"/>
      <c r="J181" s="108"/>
      <c r="K181" s="110">
        <v>1</v>
      </c>
      <c r="L181" s="259"/>
      <c r="M181" s="260" t="s">
        <v>423</v>
      </c>
    </row>
    <row r="182" spans="1:13" x14ac:dyDescent="0.25">
      <c r="A182" s="146">
        <v>43678</v>
      </c>
      <c r="B182" s="11" t="s">
        <v>16</v>
      </c>
      <c r="C182" s="11" t="s">
        <v>92</v>
      </c>
      <c r="D182" s="11" t="s">
        <v>125</v>
      </c>
      <c r="E182" s="11" t="s">
        <v>126</v>
      </c>
      <c r="F182" s="11" t="s">
        <v>98</v>
      </c>
      <c r="G182" s="11" t="s">
        <v>76</v>
      </c>
      <c r="H182" s="108">
        <v>70.97</v>
      </c>
      <c r="I182" s="22"/>
      <c r="J182" s="108"/>
      <c r="K182" s="110">
        <v>1</v>
      </c>
      <c r="L182" s="259"/>
      <c r="M182" s="260" t="s">
        <v>388</v>
      </c>
    </row>
    <row r="183" spans="1:13" x14ac:dyDescent="0.25">
      <c r="A183" s="146">
        <v>43678</v>
      </c>
      <c r="B183" s="11" t="s">
        <v>16</v>
      </c>
      <c r="C183" s="11" t="s">
        <v>92</v>
      </c>
      <c r="D183" s="11" t="s">
        <v>125</v>
      </c>
      <c r="E183" s="11" t="s">
        <v>126</v>
      </c>
      <c r="F183" s="11" t="s">
        <v>98</v>
      </c>
      <c r="G183" s="11" t="s">
        <v>76</v>
      </c>
      <c r="H183" s="108">
        <v>44.29</v>
      </c>
      <c r="I183" s="22"/>
      <c r="J183" s="108"/>
      <c r="K183" s="110">
        <v>1</v>
      </c>
      <c r="L183" s="259"/>
      <c r="M183" s="260" t="s">
        <v>424</v>
      </c>
    </row>
    <row r="184" spans="1:13" x14ac:dyDescent="0.25">
      <c r="A184" s="146">
        <v>43679</v>
      </c>
      <c r="B184" s="11" t="s">
        <v>16</v>
      </c>
      <c r="C184" s="11" t="s">
        <v>92</v>
      </c>
      <c r="D184" s="11" t="s">
        <v>125</v>
      </c>
      <c r="E184" s="11" t="s">
        <v>126</v>
      </c>
      <c r="F184" s="11" t="s">
        <v>98</v>
      </c>
      <c r="G184" s="11" t="s">
        <v>76</v>
      </c>
      <c r="H184" s="108">
        <v>68.900000000000006</v>
      </c>
      <c r="I184" s="22"/>
      <c r="J184" s="108"/>
      <c r="K184" s="110">
        <v>1</v>
      </c>
      <c r="L184" s="259"/>
      <c r="M184" s="260" t="s">
        <v>425</v>
      </c>
    </row>
    <row r="185" spans="1:13" x14ac:dyDescent="0.25">
      <c r="A185" s="146">
        <v>43679</v>
      </c>
      <c r="B185" s="11" t="s">
        <v>16</v>
      </c>
      <c r="C185" s="11" t="s">
        <v>92</v>
      </c>
      <c r="D185" s="11" t="s">
        <v>125</v>
      </c>
      <c r="E185" s="11" t="s">
        <v>126</v>
      </c>
      <c r="F185" s="11" t="s">
        <v>98</v>
      </c>
      <c r="G185" s="11" t="s">
        <v>76</v>
      </c>
      <c r="H185" s="108">
        <v>62.55</v>
      </c>
      <c r="I185" s="22"/>
      <c r="J185" s="108"/>
      <c r="K185" s="110">
        <v>1</v>
      </c>
      <c r="L185" s="259"/>
      <c r="M185" s="260" t="s">
        <v>389</v>
      </c>
    </row>
    <row r="186" spans="1:13" x14ac:dyDescent="0.25">
      <c r="A186" s="146">
        <v>43680</v>
      </c>
      <c r="B186" s="11" t="s">
        <v>16</v>
      </c>
      <c r="C186" s="11" t="s">
        <v>92</v>
      </c>
      <c r="D186" s="11" t="s">
        <v>125</v>
      </c>
      <c r="E186" s="11" t="s">
        <v>126</v>
      </c>
      <c r="F186" s="11" t="s">
        <v>98</v>
      </c>
      <c r="G186" s="11" t="s">
        <v>76</v>
      </c>
      <c r="H186" s="108">
        <v>54</v>
      </c>
      <c r="I186" s="22"/>
      <c r="J186" s="108"/>
      <c r="K186" s="110">
        <v>1</v>
      </c>
      <c r="L186" s="259"/>
      <c r="M186" s="260" t="s">
        <v>390</v>
      </c>
    </row>
    <row r="187" spans="1:13" x14ac:dyDescent="0.25">
      <c r="A187" s="146">
        <v>43680</v>
      </c>
      <c r="B187" s="11" t="s">
        <v>16</v>
      </c>
      <c r="C187" s="11" t="s">
        <v>92</v>
      </c>
      <c r="D187" s="11" t="s">
        <v>125</v>
      </c>
      <c r="E187" s="11" t="s">
        <v>126</v>
      </c>
      <c r="F187" s="11" t="s">
        <v>98</v>
      </c>
      <c r="G187" s="11" t="s">
        <v>76</v>
      </c>
      <c r="H187" s="108">
        <v>73.06</v>
      </c>
      <c r="I187" s="22"/>
      <c r="J187" s="108"/>
      <c r="K187" s="110">
        <v>1</v>
      </c>
      <c r="L187" s="259"/>
      <c r="M187" s="260" t="s">
        <v>426</v>
      </c>
    </row>
    <row r="188" spans="1:13" x14ac:dyDescent="0.25">
      <c r="A188" s="146">
        <v>43681</v>
      </c>
      <c r="B188" s="11" t="s">
        <v>16</v>
      </c>
      <c r="C188" s="11" t="s">
        <v>92</v>
      </c>
      <c r="D188" s="11" t="s">
        <v>125</v>
      </c>
      <c r="E188" s="11" t="s">
        <v>126</v>
      </c>
      <c r="F188" s="11" t="s">
        <v>98</v>
      </c>
      <c r="G188" s="11" t="s">
        <v>76</v>
      </c>
      <c r="H188" s="108">
        <v>74.739999999999995</v>
      </c>
      <c r="I188" s="22"/>
      <c r="J188" s="108"/>
      <c r="K188" s="110">
        <v>1</v>
      </c>
      <c r="L188" s="259"/>
      <c r="M188" s="260" t="s">
        <v>427</v>
      </c>
    </row>
    <row r="189" spans="1:13" x14ac:dyDescent="0.25">
      <c r="A189" s="146">
        <v>43681</v>
      </c>
      <c r="B189" s="11" t="s">
        <v>16</v>
      </c>
      <c r="C189" s="11" t="s">
        <v>92</v>
      </c>
      <c r="D189" s="11" t="s">
        <v>125</v>
      </c>
      <c r="E189" s="11" t="s">
        <v>126</v>
      </c>
      <c r="F189" s="11" t="s">
        <v>98</v>
      </c>
      <c r="G189" s="11" t="s">
        <v>76</v>
      </c>
      <c r="H189" s="108">
        <v>35.56</v>
      </c>
      <c r="I189" s="22"/>
      <c r="J189" s="108"/>
      <c r="K189" s="110">
        <v>1</v>
      </c>
      <c r="L189" s="259"/>
      <c r="M189" s="260" t="s">
        <v>391</v>
      </c>
    </row>
    <row r="190" spans="1:13" x14ac:dyDescent="0.25">
      <c r="A190" s="146">
        <v>43682</v>
      </c>
      <c r="B190" s="11" t="s">
        <v>16</v>
      </c>
      <c r="C190" s="11" t="s">
        <v>92</v>
      </c>
      <c r="D190" s="11" t="s">
        <v>125</v>
      </c>
      <c r="E190" s="11" t="s">
        <v>126</v>
      </c>
      <c r="F190" s="11" t="s">
        <v>98</v>
      </c>
      <c r="G190" s="11" t="s">
        <v>76</v>
      </c>
      <c r="H190" s="108">
        <v>56.29</v>
      </c>
      <c r="I190" s="22"/>
      <c r="J190" s="108"/>
      <c r="K190" s="110">
        <v>1</v>
      </c>
      <c r="L190" s="259"/>
      <c r="M190" s="260" t="s">
        <v>428</v>
      </c>
    </row>
    <row r="191" spans="1:13" x14ac:dyDescent="0.25">
      <c r="A191" s="146">
        <v>43682</v>
      </c>
      <c r="B191" s="11" t="s">
        <v>16</v>
      </c>
      <c r="C191" s="11" t="s">
        <v>92</v>
      </c>
      <c r="D191" s="11" t="s">
        <v>125</v>
      </c>
      <c r="E191" s="11" t="s">
        <v>126</v>
      </c>
      <c r="F191" s="11" t="s">
        <v>98</v>
      </c>
      <c r="G191" s="11" t="s">
        <v>76</v>
      </c>
      <c r="H191" s="108">
        <v>50.31</v>
      </c>
      <c r="I191" s="22"/>
      <c r="J191" s="108"/>
      <c r="K191" s="110">
        <v>1</v>
      </c>
      <c r="L191" s="259"/>
      <c r="M191" s="260" t="s">
        <v>392</v>
      </c>
    </row>
    <row r="192" spans="1:13" x14ac:dyDescent="0.25">
      <c r="A192" s="146">
        <v>43683</v>
      </c>
      <c r="B192" s="11" t="s">
        <v>16</v>
      </c>
      <c r="C192" s="11" t="s">
        <v>92</v>
      </c>
      <c r="D192" s="11" t="s">
        <v>125</v>
      </c>
      <c r="E192" s="11" t="s">
        <v>126</v>
      </c>
      <c r="F192" s="11" t="s">
        <v>98</v>
      </c>
      <c r="G192" s="11" t="s">
        <v>76</v>
      </c>
      <c r="H192" s="108">
        <v>37.380000000000003</v>
      </c>
      <c r="I192" s="22"/>
      <c r="J192" s="108"/>
      <c r="K192" s="110">
        <v>1</v>
      </c>
      <c r="L192" s="259"/>
      <c r="M192" s="260" t="s">
        <v>429</v>
      </c>
    </row>
    <row r="193" spans="1:13" x14ac:dyDescent="0.25">
      <c r="A193" s="146">
        <v>43683</v>
      </c>
      <c r="B193" s="11" t="s">
        <v>16</v>
      </c>
      <c r="C193" s="11" t="s">
        <v>92</v>
      </c>
      <c r="D193" s="11" t="s">
        <v>125</v>
      </c>
      <c r="E193" s="11" t="s">
        <v>126</v>
      </c>
      <c r="F193" s="11" t="s">
        <v>98</v>
      </c>
      <c r="G193" s="11" t="s">
        <v>76</v>
      </c>
      <c r="H193" s="108">
        <v>64.459999999999994</v>
      </c>
      <c r="I193" s="22"/>
      <c r="J193" s="108"/>
      <c r="K193" s="110">
        <v>1</v>
      </c>
      <c r="L193" s="259"/>
      <c r="M193" s="260" t="s">
        <v>393</v>
      </c>
    </row>
    <row r="194" spans="1:13" x14ac:dyDescent="0.25">
      <c r="A194" s="146">
        <v>43684</v>
      </c>
      <c r="B194" s="11" t="s">
        <v>16</v>
      </c>
      <c r="C194" s="11" t="s">
        <v>92</v>
      </c>
      <c r="D194" s="11" t="s">
        <v>125</v>
      </c>
      <c r="E194" s="11" t="s">
        <v>126</v>
      </c>
      <c r="F194" s="11" t="s">
        <v>98</v>
      </c>
      <c r="G194" s="11" t="s">
        <v>76</v>
      </c>
      <c r="H194" s="108">
        <v>78.33</v>
      </c>
      <c r="I194" s="22"/>
      <c r="J194" s="108"/>
      <c r="K194" s="110">
        <v>1</v>
      </c>
      <c r="L194" s="259"/>
      <c r="M194" s="260" t="s">
        <v>430</v>
      </c>
    </row>
    <row r="195" spans="1:13" x14ac:dyDescent="0.25">
      <c r="A195" s="146">
        <v>43684</v>
      </c>
      <c r="B195" s="11" t="s">
        <v>16</v>
      </c>
      <c r="C195" s="11" t="s">
        <v>92</v>
      </c>
      <c r="D195" s="11" t="s">
        <v>125</v>
      </c>
      <c r="E195" s="11" t="s">
        <v>126</v>
      </c>
      <c r="F195" s="11" t="s">
        <v>98</v>
      </c>
      <c r="G195" s="11" t="s">
        <v>76</v>
      </c>
      <c r="H195" s="108">
        <v>79.92</v>
      </c>
      <c r="I195" s="22"/>
      <c r="J195" s="108"/>
      <c r="K195" s="110">
        <v>1</v>
      </c>
      <c r="L195" s="259"/>
      <c r="M195" s="260" t="s">
        <v>394</v>
      </c>
    </row>
    <row r="196" spans="1:13" x14ac:dyDescent="0.25">
      <c r="A196" s="146">
        <v>43685</v>
      </c>
      <c r="B196" s="11" t="s">
        <v>16</v>
      </c>
      <c r="C196" s="11" t="s">
        <v>92</v>
      </c>
      <c r="D196" s="11" t="s">
        <v>125</v>
      </c>
      <c r="E196" s="11" t="s">
        <v>126</v>
      </c>
      <c r="F196" s="11" t="s">
        <v>98</v>
      </c>
      <c r="G196" s="11" t="s">
        <v>76</v>
      </c>
      <c r="H196" s="108">
        <v>77.95</v>
      </c>
      <c r="I196" s="22"/>
      <c r="J196" s="108"/>
      <c r="K196" s="110">
        <v>1</v>
      </c>
      <c r="L196" s="259"/>
      <c r="M196" s="260" t="s">
        <v>395</v>
      </c>
    </row>
    <row r="197" spans="1:13" x14ac:dyDescent="0.25">
      <c r="A197" s="146">
        <v>43685</v>
      </c>
      <c r="B197" s="11" t="s">
        <v>16</v>
      </c>
      <c r="C197" s="11" t="s">
        <v>92</v>
      </c>
      <c r="D197" s="11" t="s">
        <v>125</v>
      </c>
      <c r="E197" s="11" t="s">
        <v>126</v>
      </c>
      <c r="F197" s="11" t="s">
        <v>98</v>
      </c>
      <c r="G197" s="11" t="s">
        <v>76</v>
      </c>
      <c r="H197" s="108">
        <v>77.790000000000006</v>
      </c>
      <c r="I197" s="22"/>
      <c r="J197" s="108"/>
      <c r="K197" s="110">
        <v>1</v>
      </c>
      <c r="L197" s="259"/>
      <c r="M197" s="260" t="s">
        <v>431</v>
      </c>
    </row>
    <row r="198" spans="1:13" x14ac:dyDescent="0.25">
      <c r="A198" s="146">
        <v>43686</v>
      </c>
      <c r="B198" s="11" t="s">
        <v>16</v>
      </c>
      <c r="C198" s="11" t="s">
        <v>92</v>
      </c>
      <c r="D198" s="11" t="s">
        <v>125</v>
      </c>
      <c r="E198" s="11" t="s">
        <v>126</v>
      </c>
      <c r="F198" s="11" t="s">
        <v>98</v>
      </c>
      <c r="G198" s="11" t="s">
        <v>76</v>
      </c>
      <c r="H198" s="108">
        <v>74.540000000000006</v>
      </c>
      <c r="I198" s="22"/>
      <c r="J198" s="108"/>
      <c r="K198" s="110">
        <v>1</v>
      </c>
      <c r="L198" s="259"/>
      <c r="M198" s="260" t="s">
        <v>396</v>
      </c>
    </row>
    <row r="199" spans="1:13" x14ac:dyDescent="0.25">
      <c r="A199" s="146">
        <v>43686</v>
      </c>
      <c r="B199" s="11" t="s">
        <v>16</v>
      </c>
      <c r="C199" s="11" t="s">
        <v>92</v>
      </c>
      <c r="D199" s="11" t="s">
        <v>125</v>
      </c>
      <c r="E199" s="11" t="s">
        <v>126</v>
      </c>
      <c r="F199" s="11" t="s">
        <v>98</v>
      </c>
      <c r="G199" s="11" t="s">
        <v>76</v>
      </c>
      <c r="H199" s="108">
        <v>74.540000000000006</v>
      </c>
      <c r="I199" s="22"/>
      <c r="J199" s="108"/>
      <c r="K199" s="110">
        <v>1</v>
      </c>
      <c r="L199" s="259"/>
      <c r="M199" s="260" t="s">
        <v>432</v>
      </c>
    </row>
    <row r="200" spans="1:13" x14ac:dyDescent="0.25">
      <c r="A200" s="146">
        <v>43687</v>
      </c>
      <c r="B200" s="11" t="s">
        <v>16</v>
      </c>
      <c r="C200" s="11" t="s">
        <v>92</v>
      </c>
      <c r="D200" s="11" t="s">
        <v>125</v>
      </c>
      <c r="E200" s="11" t="s">
        <v>126</v>
      </c>
      <c r="F200" s="11" t="s">
        <v>98</v>
      </c>
      <c r="G200" s="11" t="s">
        <v>76</v>
      </c>
      <c r="H200" s="108">
        <v>61.66</v>
      </c>
      <c r="I200" s="22"/>
      <c r="J200" s="108"/>
      <c r="K200" s="110">
        <v>1</v>
      </c>
      <c r="L200" s="259"/>
      <c r="M200" s="260" t="s">
        <v>433</v>
      </c>
    </row>
    <row r="201" spans="1:13" x14ac:dyDescent="0.25">
      <c r="A201" s="146">
        <v>43687</v>
      </c>
      <c r="B201" s="11" t="s">
        <v>16</v>
      </c>
      <c r="C201" s="11" t="s">
        <v>92</v>
      </c>
      <c r="D201" s="11" t="s">
        <v>125</v>
      </c>
      <c r="E201" s="11" t="s">
        <v>126</v>
      </c>
      <c r="F201" s="11" t="s">
        <v>98</v>
      </c>
      <c r="G201" s="11" t="s">
        <v>76</v>
      </c>
      <c r="H201" s="108">
        <v>61.66</v>
      </c>
      <c r="I201" s="22"/>
      <c r="J201" s="108"/>
      <c r="K201" s="110">
        <v>1</v>
      </c>
      <c r="L201" s="259"/>
      <c r="M201" s="260" t="s">
        <v>397</v>
      </c>
    </row>
    <row r="202" spans="1:13" x14ac:dyDescent="0.25">
      <c r="A202" s="146">
        <v>43688</v>
      </c>
      <c r="B202" s="11" t="s">
        <v>16</v>
      </c>
      <c r="C202" s="11" t="s">
        <v>92</v>
      </c>
      <c r="D202" s="11" t="s">
        <v>125</v>
      </c>
      <c r="E202" s="11" t="s">
        <v>126</v>
      </c>
      <c r="F202" s="11" t="s">
        <v>98</v>
      </c>
      <c r="G202" s="11" t="s">
        <v>76</v>
      </c>
      <c r="H202" s="108">
        <v>45.33</v>
      </c>
      <c r="I202" s="22"/>
      <c r="J202" s="108"/>
      <c r="K202" s="110">
        <v>1</v>
      </c>
      <c r="L202" s="259"/>
      <c r="M202" s="260" t="s">
        <v>434</v>
      </c>
    </row>
    <row r="203" spans="1:13" x14ac:dyDescent="0.25">
      <c r="A203" s="146">
        <v>43688</v>
      </c>
      <c r="B203" s="11" t="s">
        <v>16</v>
      </c>
      <c r="C203" s="11" t="s">
        <v>92</v>
      </c>
      <c r="D203" s="11" t="s">
        <v>125</v>
      </c>
      <c r="E203" s="11" t="s">
        <v>126</v>
      </c>
      <c r="F203" s="11" t="s">
        <v>98</v>
      </c>
      <c r="G203" s="11" t="s">
        <v>76</v>
      </c>
      <c r="H203" s="108">
        <v>23.56</v>
      </c>
      <c r="I203" s="22"/>
      <c r="J203" s="108"/>
      <c r="K203" s="110">
        <v>1</v>
      </c>
      <c r="L203" s="259"/>
      <c r="M203" s="260" t="s">
        <v>398</v>
      </c>
    </row>
    <row r="204" spans="1:13" x14ac:dyDescent="0.25">
      <c r="A204" s="146">
        <v>43689</v>
      </c>
      <c r="B204" s="11" t="s">
        <v>16</v>
      </c>
      <c r="C204" s="11" t="s">
        <v>92</v>
      </c>
      <c r="D204" s="11" t="s">
        <v>125</v>
      </c>
      <c r="E204" s="11" t="s">
        <v>126</v>
      </c>
      <c r="F204" s="11" t="s">
        <v>98</v>
      </c>
      <c r="G204" s="11" t="s">
        <v>76</v>
      </c>
      <c r="H204" s="108">
        <v>78.400000000000006</v>
      </c>
      <c r="I204" s="22"/>
      <c r="J204" s="108"/>
      <c r="K204" s="110">
        <v>1</v>
      </c>
      <c r="L204" s="259"/>
      <c r="M204" s="260" t="s">
        <v>399</v>
      </c>
    </row>
    <row r="205" spans="1:13" x14ac:dyDescent="0.25">
      <c r="A205" s="146">
        <v>43689</v>
      </c>
      <c r="B205" s="11" t="s">
        <v>16</v>
      </c>
      <c r="C205" s="11" t="s">
        <v>92</v>
      </c>
      <c r="D205" s="11" t="s">
        <v>125</v>
      </c>
      <c r="E205" s="11" t="s">
        <v>126</v>
      </c>
      <c r="F205" s="11" t="s">
        <v>98</v>
      </c>
      <c r="G205" s="11" t="s">
        <v>76</v>
      </c>
      <c r="H205" s="108">
        <v>74.459999999999994</v>
      </c>
      <c r="I205" s="22"/>
      <c r="J205" s="108"/>
      <c r="K205" s="110">
        <v>1</v>
      </c>
      <c r="L205" s="259"/>
      <c r="M205" s="260" t="s">
        <v>435</v>
      </c>
    </row>
    <row r="206" spans="1:13" x14ac:dyDescent="0.25">
      <c r="A206" s="146">
        <v>43690</v>
      </c>
      <c r="B206" s="11" t="s">
        <v>16</v>
      </c>
      <c r="C206" s="11" t="s">
        <v>92</v>
      </c>
      <c r="D206" s="11" t="s">
        <v>125</v>
      </c>
      <c r="E206" s="11" t="s">
        <v>126</v>
      </c>
      <c r="F206" s="11" t="s">
        <v>98</v>
      </c>
      <c r="G206" s="11" t="s">
        <v>76</v>
      </c>
      <c r="H206" s="108">
        <v>22.37</v>
      </c>
      <c r="I206" s="22"/>
      <c r="J206" s="108"/>
      <c r="K206" s="110">
        <v>1</v>
      </c>
      <c r="L206" s="259"/>
      <c r="M206" s="260" t="s">
        <v>436</v>
      </c>
    </row>
    <row r="207" spans="1:13" x14ac:dyDescent="0.25">
      <c r="A207" s="146">
        <v>43690</v>
      </c>
      <c r="B207" s="11" t="s">
        <v>16</v>
      </c>
      <c r="C207" s="11" t="s">
        <v>92</v>
      </c>
      <c r="D207" s="11" t="s">
        <v>125</v>
      </c>
      <c r="E207" s="11" t="s">
        <v>126</v>
      </c>
      <c r="F207" s="11" t="s">
        <v>98</v>
      </c>
      <c r="G207" s="11" t="s">
        <v>76</v>
      </c>
      <c r="H207" s="108">
        <v>60.23</v>
      </c>
      <c r="I207" s="22"/>
      <c r="J207" s="108"/>
      <c r="K207" s="110">
        <v>1</v>
      </c>
      <c r="L207" s="259"/>
      <c r="M207" s="260" t="s">
        <v>400</v>
      </c>
    </row>
    <row r="208" spans="1:13" x14ac:dyDescent="0.25">
      <c r="A208" s="146">
        <v>43691</v>
      </c>
      <c r="B208" s="11" t="s">
        <v>16</v>
      </c>
      <c r="C208" s="11" t="s">
        <v>92</v>
      </c>
      <c r="D208" s="11" t="s">
        <v>125</v>
      </c>
      <c r="E208" s="11" t="s">
        <v>126</v>
      </c>
      <c r="F208" s="11" t="s">
        <v>98</v>
      </c>
      <c r="G208" s="11" t="s">
        <v>76</v>
      </c>
      <c r="H208" s="108">
        <v>35.21</v>
      </c>
      <c r="I208" s="22"/>
      <c r="J208" s="108"/>
      <c r="K208" s="110">
        <v>1</v>
      </c>
      <c r="L208" s="259"/>
      <c r="M208" s="260" t="s">
        <v>437</v>
      </c>
    </row>
    <row r="209" spans="1:13" x14ac:dyDescent="0.25">
      <c r="A209" s="146">
        <v>43691</v>
      </c>
      <c r="B209" s="11" t="s">
        <v>16</v>
      </c>
      <c r="C209" s="11" t="s">
        <v>92</v>
      </c>
      <c r="D209" s="11" t="s">
        <v>125</v>
      </c>
      <c r="E209" s="11" t="s">
        <v>126</v>
      </c>
      <c r="F209" s="11" t="s">
        <v>98</v>
      </c>
      <c r="G209" s="11" t="s">
        <v>76</v>
      </c>
      <c r="H209" s="108">
        <v>66.33</v>
      </c>
      <c r="I209" s="22"/>
      <c r="J209" s="108"/>
      <c r="K209" s="110">
        <v>1</v>
      </c>
      <c r="L209" s="259"/>
      <c r="M209" s="260" t="s">
        <v>401</v>
      </c>
    </row>
    <row r="210" spans="1:13" x14ac:dyDescent="0.25">
      <c r="A210" s="146">
        <v>43692</v>
      </c>
      <c r="B210" s="11" t="s">
        <v>16</v>
      </c>
      <c r="C210" s="11" t="s">
        <v>92</v>
      </c>
      <c r="D210" s="11" t="s">
        <v>125</v>
      </c>
      <c r="E210" s="11" t="s">
        <v>126</v>
      </c>
      <c r="F210" s="11" t="s">
        <v>98</v>
      </c>
      <c r="G210" s="11" t="s">
        <v>76</v>
      </c>
      <c r="H210" s="108">
        <v>16.579999999999998</v>
      </c>
      <c r="I210" s="22"/>
      <c r="J210" s="108"/>
      <c r="K210" s="110">
        <v>1</v>
      </c>
      <c r="L210" s="259"/>
      <c r="M210" s="260" t="s">
        <v>438</v>
      </c>
    </row>
    <row r="211" spans="1:13" x14ac:dyDescent="0.25">
      <c r="A211" s="146">
        <v>43692</v>
      </c>
      <c r="B211" s="11" t="s">
        <v>16</v>
      </c>
      <c r="C211" s="11" t="s">
        <v>92</v>
      </c>
      <c r="D211" s="11" t="s">
        <v>125</v>
      </c>
      <c r="E211" s="11" t="s">
        <v>126</v>
      </c>
      <c r="F211" s="11" t="s">
        <v>98</v>
      </c>
      <c r="G211" s="11" t="s">
        <v>76</v>
      </c>
      <c r="H211" s="108">
        <v>45.93</v>
      </c>
      <c r="I211" s="22"/>
      <c r="J211" s="108"/>
      <c r="K211" s="110">
        <v>1</v>
      </c>
      <c r="L211" s="259"/>
      <c r="M211" s="260" t="s">
        <v>402</v>
      </c>
    </row>
    <row r="212" spans="1:13" x14ac:dyDescent="0.25">
      <c r="A212" s="146">
        <v>43692</v>
      </c>
      <c r="B212" s="11" t="s">
        <v>16</v>
      </c>
      <c r="C212" s="11" t="s">
        <v>92</v>
      </c>
      <c r="D212" s="11" t="s">
        <v>125</v>
      </c>
      <c r="E212" s="11" t="s">
        <v>126</v>
      </c>
      <c r="F212" s="11" t="s">
        <v>98</v>
      </c>
      <c r="G212" s="11" t="s">
        <v>76</v>
      </c>
      <c r="H212" s="108">
        <v>48.74</v>
      </c>
      <c r="I212" s="22"/>
      <c r="J212" s="108"/>
      <c r="K212" s="110">
        <v>1</v>
      </c>
      <c r="L212" s="259"/>
      <c r="M212" s="260" t="s">
        <v>403</v>
      </c>
    </row>
    <row r="213" spans="1:13" x14ac:dyDescent="0.25">
      <c r="A213" s="146">
        <v>43693</v>
      </c>
      <c r="B213" s="11" t="s">
        <v>16</v>
      </c>
      <c r="C213" s="11" t="s">
        <v>92</v>
      </c>
      <c r="D213" s="11" t="s">
        <v>125</v>
      </c>
      <c r="E213" s="11" t="s">
        <v>126</v>
      </c>
      <c r="F213" s="11" t="s">
        <v>98</v>
      </c>
      <c r="G213" s="11" t="s">
        <v>76</v>
      </c>
      <c r="H213" s="108">
        <v>23.41</v>
      </c>
      <c r="I213" s="22"/>
      <c r="J213" s="108"/>
      <c r="K213" s="110">
        <v>1</v>
      </c>
      <c r="L213" s="259"/>
      <c r="M213" s="260" t="s">
        <v>439</v>
      </c>
    </row>
    <row r="214" spans="1:13" x14ac:dyDescent="0.25">
      <c r="A214" s="146">
        <v>43693</v>
      </c>
      <c r="B214" s="11" t="s">
        <v>16</v>
      </c>
      <c r="C214" s="11" t="s">
        <v>92</v>
      </c>
      <c r="D214" s="11" t="s">
        <v>125</v>
      </c>
      <c r="E214" s="11" t="s">
        <v>126</v>
      </c>
      <c r="F214" s="11" t="s">
        <v>98</v>
      </c>
      <c r="G214" s="11" t="s">
        <v>76</v>
      </c>
      <c r="H214" s="108">
        <v>48.17</v>
      </c>
      <c r="I214" s="22"/>
      <c r="J214" s="108"/>
      <c r="K214" s="110">
        <v>1</v>
      </c>
      <c r="L214" s="259"/>
      <c r="M214" s="260" t="s">
        <v>404</v>
      </c>
    </row>
    <row r="215" spans="1:13" x14ac:dyDescent="0.25">
      <c r="A215" s="146">
        <v>43694</v>
      </c>
      <c r="B215" s="11" t="s">
        <v>16</v>
      </c>
      <c r="C215" s="11" t="s">
        <v>92</v>
      </c>
      <c r="D215" s="11" t="s">
        <v>125</v>
      </c>
      <c r="E215" s="11" t="s">
        <v>126</v>
      </c>
      <c r="F215" s="11" t="s">
        <v>98</v>
      </c>
      <c r="G215" s="11" t="s">
        <v>76</v>
      </c>
      <c r="H215" s="108">
        <v>22.49</v>
      </c>
      <c r="I215" s="22"/>
      <c r="J215" s="108"/>
      <c r="K215" s="110">
        <v>1</v>
      </c>
      <c r="L215" s="259"/>
      <c r="M215" s="260" t="s">
        <v>405</v>
      </c>
    </row>
    <row r="216" spans="1:13" x14ac:dyDescent="0.25">
      <c r="A216" s="146">
        <v>43694</v>
      </c>
      <c r="B216" s="11" t="s">
        <v>16</v>
      </c>
      <c r="C216" s="11" t="s">
        <v>92</v>
      </c>
      <c r="D216" s="11" t="s">
        <v>125</v>
      </c>
      <c r="E216" s="11" t="s">
        <v>126</v>
      </c>
      <c r="F216" s="11" t="s">
        <v>98</v>
      </c>
      <c r="G216" s="11" t="s">
        <v>76</v>
      </c>
      <c r="H216" s="108">
        <v>52.63</v>
      </c>
      <c r="I216" s="22"/>
      <c r="J216" s="108"/>
      <c r="K216" s="110">
        <v>1</v>
      </c>
      <c r="L216" s="259"/>
      <c r="M216" s="260" t="s">
        <v>440</v>
      </c>
    </row>
    <row r="217" spans="1:13" x14ac:dyDescent="0.25">
      <c r="A217" s="146">
        <v>43695</v>
      </c>
      <c r="B217" s="11" t="s">
        <v>16</v>
      </c>
      <c r="C217" s="11" t="s">
        <v>92</v>
      </c>
      <c r="D217" s="11" t="s">
        <v>125</v>
      </c>
      <c r="E217" s="11" t="s">
        <v>126</v>
      </c>
      <c r="F217" s="11" t="s">
        <v>98</v>
      </c>
      <c r="G217" s="11" t="s">
        <v>76</v>
      </c>
      <c r="H217" s="108">
        <v>46.6</v>
      </c>
      <c r="I217" s="22"/>
      <c r="J217" s="108"/>
      <c r="K217" s="110">
        <v>1</v>
      </c>
      <c r="L217" s="259"/>
      <c r="M217" s="260" t="s">
        <v>406</v>
      </c>
    </row>
    <row r="218" spans="1:13" x14ac:dyDescent="0.25">
      <c r="A218" s="146">
        <v>43695</v>
      </c>
      <c r="B218" s="11" t="s">
        <v>16</v>
      </c>
      <c r="C218" s="11" t="s">
        <v>92</v>
      </c>
      <c r="D218" s="11" t="s">
        <v>125</v>
      </c>
      <c r="E218" s="11" t="s">
        <v>126</v>
      </c>
      <c r="F218" s="11" t="s">
        <v>98</v>
      </c>
      <c r="G218" s="11" t="s">
        <v>76</v>
      </c>
      <c r="H218" s="108">
        <v>21.66</v>
      </c>
      <c r="I218" s="22"/>
      <c r="J218" s="108"/>
      <c r="K218" s="110">
        <v>1</v>
      </c>
      <c r="L218" s="259"/>
      <c r="M218" s="260" t="s">
        <v>441</v>
      </c>
    </row>
    <row r="219" spans="1:13" x14ac:dyDescent="0.25">
      <c r="A219" s="146">
        <v>43696</v>
      </c>
      <c r="B219" s="11" t="s">
        <v>16</v>
      </c>
      <c r="C219" s="11" t="s">
        <v>92</v>
      </c>
      <c r="D219" s="11" t="s">
        <v>125</v>
      </c>
      <c r="E219" s="11" t="s">
        <v>126</v>
      </c>
      <c r="F219" s="11" t="s">
        <v>98</v>
      </c>
      <c r="G219" s="11" t="s">
        <v>76</v>
      </c>
      <c r="H219" s="108">
        <v>36.46</v>
      </c>
      <c r="I219" s="22"/>
      <c r="J219" s="108"/>
      <c r="K219" s="110">
        <v>1</v>
      </c>
      <c r="L219" s="259"/>
      <c r="M219" s="260" t="s">
        <v>442</v>
      </c>
    </row>
    <row r="220" spans="1:13" x14ac:dyDescent="0.25">
      <c r="A220" s="146">
        <v>43696</v>
      </c>
      <c r="B220" s="11" t="s">
        <v>16</v>
      </c>
      <c r="C220" s="11" t="s">
        <v>92</v>
      </c>
      <c r="D220" s="11" t="s">
        <v>125</v>
      </c>
      <c r="E220" s="11" t="s">
        <v>126</v>
      </c>
      <c r="F220" s="11" t="s">
        <v>98</v>
      </c>
      <c r="G220" s="11" t="s">
        <v>76</v>
      </c>
      <c r="H220" s="108">
        <v>36.130000000000003</v>
      </c>
      <c r="I220" s="22"/>
      <c r="J220" s="108"/>
      <c r="K220" s="110">
        <v>1</v>
      </c>
      <c r="L220" s="259"/>
      <c r="M220" s="260" t="s">
        <v>407</v>
      </c>
    </row>
    <row r="221" spans="1:13" x14ac:dyDescent="0.25">
      <c r="A221" s="146">
        <v>43697</v>
      </c>
      <c r="B221" s="11" t="s">
        <v>16</v>
      </c>
      <c r="C221" s="11" t="s">
        <v>92</v>
      </c>
      <c r="D221" s="11" t="s">
        <v>125</v>
      </c>
      <c r="E221" s="11" t="s">
        <v>126</v>
      </c>
      <c r="F221" s="11" t="s">
        <v>98</v>
      </c>
      <c r="G221" s="11" t="s">
        <v>76</v>
      </c>
      <c r="H221" s="108">
        <v>42.32</v>
      </c>
      <c r="I221" s="22"/>
      <c r="J221" s="108"/>
      <c r="K221" s="110">
        <v>1</v>
      </c>
      <c r="L221" s="259"/>
      <c r="M221" s="260" t="s">
        <v>408</v>
      </c>
    </row>
    <row r="222" spans="1:13" x14ac:dyDescent="0.25">
      <c r="A222" s="146">
        <v>43697</v>
      </c>
      <c r="B222" s="11" t="s">
        <v>16</v>
      </c>
      <c r="C222" s="11" t="s">
        <v>92</v>
      </c>
      <c r="D222" s="11" t="s">
        <v>125</v>
      </c>
      <c r="E222" s="11" t="s">
        <v>126</v>
      </c>
      <c r="F222" s="11" t="s">
        <v>98</v>
      </c>
      <c r="G222" s="11" t="s">
        <v>76</v>
      </c>
      <c r="H222" s="108">
        <v>42.43</v>
      </c>
      <c r="I222" s="22"/>
      <c r="J222" s="108"/>
      <c r="K222" s="110">
        <v>1</v>
      </c>
      <c r="L222" s="259"/>
      <c r="M222" s="260" t="s">
        <v>443</v>
      </c>
    </row>
    <row r="223" spans="1:13" x14ac:dyDescent="0.25">
      <c r="A223" s="146">
        <v>43698</v>
      </c>
      <c r="B223" s="11" t="s">
        <v>16</v>
      </c>
      <c r="C223" s="11" t="s">
        <v>92</v>
      </c>
      <c r="D223" s="11" t="s">
        <v>125</v>
      </c>
      <c r="E223" s="11" t="s">
        <v>126</v>
      </c>
      <c r="F223" s="11" t="s">
        <v>98</v>
      </c>
      <c r="G223" s="11" t="s">
        <v>76</v>
      </c>
      <c r="H223" s="108">
        <v>52.31</v>
      </c>
      <c r="I223" s="22"/>
      <c r="J223" s="108"/>
      <c r="K223" s="110">
        <v>1</v>
      </c>
      <c r="L223" s="259"/>
      <c r="M223" s="260" t="s">
        <v>444</v>
      </c>
    </row>
    <row r="224" spans="1:13" x14ac:dyDescent="0.25">
      <c r="A224" s="146">
        <v>43698</v>
      </c>
      <c r="B224" s="11" t="s">
        <v>16</v>
      </c>
      <c r="C224" s="11" t="s">
        <v>92</v>
      </c>
      <c r="D224" s="11" t="s">
        <v>125</v>
      </c>
      <c r="E224" s="11" t="s">
        <v>126</v>
      </c>
      <c r="F224" s="11" t="s">
        <v>98</v>
      </c>
      <c r="G224" s="11" t="s">
        <v>76</v>
      </c>
      <c r="H224" s="108">
        <v>46.53</v>
      </c>
      <c r="I224" s="22"/>
      <c r="J224" s="108"/>
      <c r="K224" s="110">
        <v>1</v>
      </c>
      <c r="L224" s="259"/>
      <c r="M224" s="260" t="s">
        <v>409</v>
      </c>
    </row>
    <row r="225" spans="1:13" x14ac:dyDescent="0.25">
      <c r="A225" s="146">
        <v>43699</v>
      </c>
      <c r="B225" s="11" t="s">
        <v>16</v>
      </c>
      <c r="C225" s="11" t="s">
        <v>92</v>
      </c>
      <c r="D225" s="11" t="s">
        <v>125</v>
      </c>
      <c r="E225" s="11" t="s">
        <v>126</v>
      </c>
      <c r="F225" s="11" t="s">
        <v>98</v>
      </c>
      <c r="G225" s="11" t="s">
        <v>76</v>
      </c>
      <c r="H225" s="108">
        <v>38.979999999999997</v>
      </c>
      <c r="I225" s="22"/>
      <c r="J225" s="108"/>
      <c r="K225" s="110">
        <v>1</v>
      </c>
      <c r="L225" s="259"/>
      <c r="M225" s="260" t="s">
        <v>445</v>
      </c>
    </row>
    <row r="226" spans="1:13" x14ac:dyDescent="0.25">
      <c r="A226" s="146">
        <v>43699</v>
      </c>
      <c r="B226" s="11" t="s">
        <v>16</v>
      </c>
      <c r="C226" s="11" t="s">
        <v>92</v>
      </c>
      <c r="D226" s="11" t="s">
        <v>125</v>
      </c>
      <c r="E226" s="11" t="s">
        <v>126</v>
      </c>
      <c r="F226" s="11" t="s">
        <v>98</v>
      </c>
      <c r="G226" s="11" t="s">
        <v>76</v>
      </c>
      <c r="H226" s="108">
        <v>55.46</v>
      </c>
      <c r="I226" s="22"/>
      <c r="J226" s="108"/>
      <c r="K226" s="110">
        <v>1</v>
      </c>
      <c r="L226" s="259"/>
      <c r="M226" s="260" t="s">
        <v>410</v>
      </c>
    </row>
    <row r="227" spans="1:13" x14ac:dyDescent="0.25">
      <c r="A227" s="146">
        <v>43700</v>
      </c>
      <c r="B227" s="11" t="s">
        <v>16</v>
      </c>
      <c r="C227" s="11" t="s">
        <v>92</v>
      </c>
      <c r="D227" s="11" t="s">
        <v>125</v>
      </c>
      <c r="E227" s="11" t="s">
        <v>126</v>
      </c>
      <c r="F227" s="11" t="s">
        <v>98</v>
      </c>
      <c r="G227" s="11" t="s">
        <v>76</v>
      </c>
      <c r="H227" s="108">
        <v>59.44</v>
      </c>
      <c r="I227" s="22"/>
      <c r="J227" s="108"/>
      <c r="K227" s="110">
        <v>1</v>
      </c>
      <c r="L227" s="259"/>
      <c r="M227" s="260" t="s">
        <v>411</v>
      </c>
    </row>
    <row r="228" spans="1:13" x14ac:dyDescent="0.25">
      <c r="A228" s="146">
        <v>43700</v>
      </c>
      <c r="B228" s="11" t="s">
        <v>16</v>
      </c>
      <c r="C228" s="11" t="s">
        <v>92</v>
      </c>
      <c r="D228" s="11" t="s">
        <v>125</v>
      </c>
      <c r="E228" s="11" t="s">
        <v>126</v>
      </c>
      <c r="F228" s="11" t="s">
        <v>98</v>
      </c>
      <c r="G228" s="11" t="s">
        <v>76</v>
      </c>
      <c r="H228" s="108">
        <v>15.68</v>
      </c>
      <c r="I228" s="22"/>
      <c r="J228" s="108"/>
      <c r="K228" s="110">
        <v>1</v>
      </c>
      <c r="L228" s="259"/>
      <c r="M228" s="260" t="s">
        <v>446</v>
      </c>
    </row>
    <row r="229" spans="1:13" x14ac:dyDescent="0.25">
      <c r="A229" s="146">
        <v>43701</v>
      </c>
      <c r="B229" s="11" t="s">
        <v>16</v>
      </c>
      <c r="C229" s="11" t="s">
        <v>92</v>
      </c>
      <c r="D229" s="11" t="s">
        <v>125</v>
      </c>
      <c r="E229" s="11" t="s">
        <v>126</v>
      </c>
      <c r="F229" s="11" t="s">
        <v>98</v>
      </c>
      <c r="G229" s="11" t="s">
        <v>76</v>
      </c>
      <c r="H229" s="108">
        <v>37.07</v>
      </c>
      <c r="I229" s="22"/>
      <c r="J229" s="108"/>
      <c r="K229" s="110">
        <v>1</v>
      </c>
      <c r="L229" s="259"/>
      <c r="M229" s="260" t="s">
        <v>412</v>
      </c>
    </row>
    <row r="230" spans="1:13" x14ac:dyDescent="0.25">
      <c r="A230" s="146">
        <v>43701</v>
      </c>
      <c r="B230" s="11" t="s">
        <v>16</v>
      </c>
      <c r="C230" s="11" t="s">
        <v>92</v>
      </c>
      <c r="D230" s="11" t="s">
        <v>125</v>
      </c>
      <c r="E230" s="11" t="s">
        <v>126</v>
      </c>
      <c r="F230" s="11" t="s">
        <v>98</v>
      </c>
      <c r="G230" s="11" t="s">
        <v>76</v>
      </c>
      <c r="H230" s="108">
        <v>16.190000000000001</v>
      </c>
      <c r="I230" s="22"/>
      <c r="J230" s="108"/>
      <c r="K230" s="110">
        <v>1</v>
      </c>
      <c r="L230" s="259"/>
      <c r="M230" s="260" t="s">
        <v>447</v>
      </c>
    </row>
    <row r="231" spans="1:13" x14ac:dyDescent="0.25">
      <c r="A231" s="146">
        <v>43702</v>
      </c>
      <c r="B231" s="11" t="s">
        <v>16</v>
      </c>
      <c r="C231" s="11" t="s">
        <v>92</v>
      </c>
      <c r="D231" s="11" t="s">
        <v>125</v>
      </c>
      <c r="E231" s="11" t="s">
        <v>126</v>
      </c>
      <c r="F231" s="11" t="s">
        <v>98</v>
      </c>
      <c r="G231" s="11" t="s">
        <v>76</v>
      </c>
      <c r="H231" s="108">
        <v>25.23</v>
      </c>
      <c r="I231" s="22"/>
      <c r="J231" s="108"/>
      <c r="K231" s="110">
        <v>1</v>
      </c>
      <c r="L231" s="259"/>
      <c r="M231" s="260" t="s">
        <v>413</v>
      </c>
    </row>
    <row r="232" spans="1:13" x14ac:dyDescent="0.25">
      <c r="A232" s="146">
        <v>43702</v>
      </c>
      <c r="B232" s="11" t="s">
        <v>16</v>
      </c>
      <c r="C232" s="11" t="s">
        <v>92</v>
      </c>
      <c r="D232" s="11" t="s">
        <v>125</v>
      </c>
      <c r="E232" s="11" t="s">
        <v>126</v>
      </c>
      <c r="F232" s="11" t="s">
        <v>98</v>
      </c>
      <c r="G232" s="11" t="s">
        <v>76</v>
      </c>
      <c r="H232" s="108">
        <v>18.329999999999998</v>
      </c>
      <c r="I232" s="22"/>
      <c r="J232" s="108"/>
      <c r="K232" s="110">
        <v>1</v>
      </c>
      <c r="L232" s="259"/>
      <c r="M232" s="260" t="s">
        <v>448</v>
      </c>
    </row>
    <row r="233" spans="1:13" x14ac:dyDescent="0.25">
      <c r="A233" s="146">
        <v>43703</v>
      </c>
      <c r="B233" s="11" t="s">
        <v>16</v>
      </c>
      <c r="C233" s="11" t="s">
        <v>92</v>
      </c>
      <c r="D233" s="11" t="s">
        <v>125</v>
      </c>
      <c r="E233" s="11" t="s">
        <v>126</v>
      </c>
      <c r="F233" s="11" t="s">
        <v>98</v>
      </c>
      <c r="G233" s="11" t="s">
        <v>76</v>
      </c>
      <c r="H233" s="108">
        <v>39.43</v>
      </c>
      <c r="I233" s="22"/>
      <c r="J233" s="108"/>
      <c r="K233" s="110">
        <v>1</v>
      </c>
      <c r="L233" s="259"/>
      <c r="M233" s="260" t="s">
        <v>449</v>
      </c>
    </row>
    <row r="234" spans="1:13" x14ac:dyDescent="0.25">
      <c r="A234" s="146">
        <v>43703</v>
      </c>
      <c r="B234" s="11" t="s">
        <v>16</v>
      </c>
      <c r="C234" s="11" t="s">
        <v>92</v>
      </c>
      <c r="D234" s="11" t="s">
        <v>125</v>
      </c>
      <c r="E234" s="11" t="s">
        <v>126</v>
      </c>
      <c r="F234" s="11" t="s">
        <v>98</v>
      </c>
      <c r="G234" s="11" t="s">
        <v>76</v>
      </c>
      <c r="H234" s="108">
        <v>49.63</v>
      </c>
      <c r="I234" s="22"/>
      <c r="J234" s="108"/>
      <c r="K234" s="110">
        <v>1</v>
      </c>
      <c r="L234" s="259"/>
      <c r="M234" s="260" t="s">
        <v>414</v>
      </c>
    </row>
    <row r="235" spans="1:13" x14ac:dyDescent="0.25">
      <c r="A235" s="146">
        <v>43704</v>
      </c>
      <c r="B235" s="11" t="s">
        <v>16</v>
      </c>
      <c r="C235" s="11" t="s">
        <v>92</v>
      </c>
      <c r="D235" s="11" t="s">
        <v>125</v>
      </c>
      <c r="E235" s="11" t="s">
        <v>126</v>
      </c>
      <c r="F235" s="11" t="s">
        <v>98</v>
      </c>
      <c r="G235" s="11" t="s">
        <v>76</v>
      </c>
      <c r="H235" s="108">
        <v>20.74</v>
      </c>
      <c r="I235" s="22"/>
      <c r="J235" s="108"/>
      <c r="K235" s="110">
        <v>1</v>
      </c>
      <c r="L235" s="259"/>
      <c r="M235" s="260" t="s">
        <v>450</v>
      </c>
    </row>
    <row r="236" spans="1:13" x14ac:dyDescent="0.25">
      <c r="A236" s="146">
        <v>43704</v>
      </c>
      <c r="B236" s="11" t="s">
        <v>16</v>
      </c>
      <c r="C236" s="11" t="s">
        <v>92</v>
      </c>
      <c r="D236" s="11" t="s">
        <v>125</v>
      </c>
      <c r="E236" s="11" t="s">
        <v>126</v>
      </c>
      <c r="F236" s="11" t="s">
        <v>98</v>
      </c>
      <c r="G236" s="11" t="s">
        <v>76</v>
      </c>
      <c r="H236" s="108">
        <v>47.99</v>
      </c>
      <c r="I236" s="22"/>
      <c r="J236" s="108"/>
      <c r="K236" s="110">
        <v>1</v>
      </c>
      <c r="L236" s="259"/>
      <c r="M236" s="260" t="s">
        <v>415</v>
      </c>
    </row>
    <row r="237" spans="1:13" x14ac:dyDescent="0.25">
      <c r="A237" s="146">
        <v>43705</v>
      </c>
      <c r="B237" s="11" t="s">
        <v>16</v>
      </c>
      <c r="C237" s="11" t="s">
        <v>92</v>
      </c>
      <c r="D237" s="11" t="s">
        <v>125</v>
      </c>
      <c r="E237" s="11" t="s">
        <v>126</v>
      </c>
      <c r="F237" s="11" t="s">
        <v>98</v>
      </c>
      <c r="G237" s="11" t="s">
        <v>76</v>
      </c>
      <c r="H237" s="108">
        <v>35.880000000000003</v>
      </c>
      <c r="I237" s="22"/>
      <c r="J237" s="108"/>
      <c r="K237" s="110">
        <v>1</v>
      </c>
      <c r="L237" s="259"/>
      <c r="M237" s="260" t="s">
        <v>416</v>
      </c>
    </row>
    <row r="238" spans="1:13" x14ac:dyDescent="0.25">
      <c r="A238" s="146">
        <v>43705</v>
      </c>
      <c r="B238" s="11" t="s">
        <v>16</v>
      </c>
      <c r="C238" s="11" t="s">
        <v>92</v>
      </c>
      <c r="D238" s="11" t="s">
        <v>125</v>
      </c>
      <c r="E238" s="11" t="s">
        <v>126</v>
      </c>
      <c r="F238" s="11" t="s">
        <v>98</v>
      </c>
      <c r="G238" s="11" t="s">
        <v>76</v>
      </c>
      <c r="H238" s="108">
        <v>30.81</v>
      </c>
      <c r="I238" s="22"/>
      <c r="J238" s="108"/>
      <c r="K238" s="110">
        <v>1</v>
      </c>
      <c r="L238" s="259"/>
      <c r="M238" s="260" t="s">
        <v>451</v>
      </c>
    </row>
    <row r="239" spans="1:13" x14ac:dyDescent="0.25">
      <c r="A239" s="146">
        <v>43706</v>
      </c>
      <c r="B239" s="11" t="s">
        <v>16</v>
      </c>
      <c r="C239" s="11" t="s">
        <v>92</v>
      </c>
      <c r="D239" s="11" t="s">
        <v>125</v>
      </c>
      <c r="E239" s="11" t="s">
        <v>126</v>
      </c>
      <c r="F239" s="11" t="s">
        <v>98</v>
      </c>
      <c r="G239" s="11" t="s">
        <v>76</v>
      </c>
      <c r="H239" s="108">
        <v>35.43</v>
      </c>
      <c r="I239" s="22"/>
      <c r="J239" s="108"/>
      <c r="K239" s="110">
        <v>1</v>
      </c>
      <c r="L239" s="259"/>
      <c r="M239" s="260" t="s">
        <v>452</v>
      </c>
    </row>
    <row r="240" spans="1:13" x14ac:dyDescent="0.25">
      <c r="A240" s="146">
        <v>43706</v>
      </c>
      <c r="B240" s="11" t="s">
        <v>16</v>
      </c>
      <c r="C240" s="11" t="s">
        <v>92</v>
      </c>
      <c r="D240" s="11" t="s">
        <v>125</v>
      </c>
      <c r="E240" s="11" t="s">
        <v>126</v>
      </c>
      <c r="F240" s="11" t="s">
        <v>98</v>
      </c>
      <c r="G240" s="11" t="s">
        <v>76</v>
      </c>
      <c r="H240" s="108">
        <v>37.619999999999997</v>
      </c>
      <c r="I240" s="22"/>
      <c r="J240" s="108"/>
      <c r="K240" s="110">
        <v>1</v>
      </c>
      <c r="L240" s="259"/>
      <c r="M240" s="260" t="s">
        <v>417</v>
      </c>
    </row>
    <row r="241" spans="1:13" x14ac:dyDescent="0.25">
      <c r="A241" s="146">
        <v>43707</v>
      </c>
      <c r="B241" s="11" t="s">
        <v>16</v>
      </c>
      <c r="C241" s="11" t="s">
        <v>92</v>
      </c>
      <c r="D241" s="11" t="s">
        <v>125</v>
      </c>
      <c r="E241" s="11" t="s">
        <v>126</v>
      </c>
      <c r="F241" s="11" t="s">
        <v>98</v>
      </c>
      <c r="G241" s="11" t="s">
        <v>76</v>
      </c>
      <c r="H241" s="108">
        <v>32.18</v>
      </c>
      <c r="I241" s="22"/>
      <c r="J241" s="108"/>
      <c r="K241" s="110">
        <v>1</v>
      </c>
      <c r="L241" s="259"/>
      <c r="M241" s="260" t="s">
        <v>418</v>
      </c>
    </row>
    <row r="242" spans="1:13" x14ac:dyDescent="0.25">
      <c r="A242" s="146">
        <v>43707</v>
      </c>
      <c r="B242" s="11" t="s">
        <v>16</v>
      </c>
      <c r="C242" s="11" t="s">
        <v>92</v>
      </c>
      <c r="D242" s="11" t="s">
        <v>125</v>
      </c>
      <c r="E242" s="11" t="s">
        <v>126</v>
      </c>
      <c r="F242" s="11" t="s">
        <v>98</v>
      </c>
      <c r="G242" s="11" t="s">
        <v>76</v>
      </c>
      <c r="H242" s="108">
        <v>15.17</v>
      </c>
      <c r="I242" s="22"/>
      <c r="J242" s="108"/>
      <c r="K242" s="110">
        <v>1</v>
      </c>
      <c r="L242" s="259"/>
      <c r="M242" s="260" t="s">
        <v>453</v>
      </c>
    </row>
    <row r="243" spans="1:13" x14ac:dyDescent="0.25">
      <c r="A243" s="146">
        <v>43708</v>
      </c>
      <c r="B243" s="11" t="s">
        <v>16</v>
      </c>
      <c r="C243" s="11" t="s">
        <v>92</v>
      </c>
      <c r="D243" s="11" t="s">
        <v>125</v>
      </c>
      <c r="E243" s="11" t="s">
        <v>126</v>
      </c>
      <c r="F243" s="11" t="s">
        <v>98</v>
      </c>
      <c r="G243" s="11" t="s">
        <v>76</v>
      </c>
      <c r="H243" s="108">
        <v>21.13</v>
      </c>
      <c r="I243" s="22"/>
      <c r="J243" s="108"/>
      <c r="K243" s="110">
        <v>1</v>
      </c>
      <c r="L243" s="259"/>
      <c r="M243" s="260" t="s">
        <v>419</v>
      </c>
    </row>
    <row r="244" spans="1:13" x14ac:dyDescent="0.25">
      <c r="A244" s="146">
        <v>43708</v>
      </c>
      <c r="B244" s="11" t="s">
        <v>16</v>
      </c>
      <c r="C244" s="11" t="s">
        <v>92</v>
      </c>
      <c r="D244" s="11" t="s">
        <v>125</v>
      </c>
      <c r="E244" s="11" t="s">
        <v>126</v>
      </c>
      <c r="F244" s="11" t="s">
        <v>98</v>
      </c>
      <c r="G244" s="11" t="s">
        <v>76</v>
      </c>
      <c r="H244" s="108">
        <v>15.65</v>
      </c>
      <c r="I244" s="22"/>
      <c r="J244" s="108"/>
      <c r="K244" s="110">
        <v>1</v>
      </c>
      <c r="L244" s="259"/>
      <c r="M244" s="260" t="s">
        <v>454</v>
      </c>
    </row>
    <row r="245" spans="1:13" x14ac:dyDescent="0.25">
      <c r="A245" s="146">
        <v>43679</v>
      </c>
      <c r="B245" s="11" t="s">
        <v>16</v>
      </c>
      <c r="C245" s="11" t="s">
        <v>92</v>
      </c>
      <c r="D245" s="11" t="s">
        <v>95</v>
      </c>
      <c r="E245" s="11" t="s">
        <v>15</v>
      </c>
      <c r="F245" s="11" t="s">
        <v>88</v>
      </c>
      <c r="G245" s="11" t="s">
        <v>89</v>
      </c>
      <c r="H245" s="108">
        <v>111</v>
      </c>
      <c r="I245" s="22"/>
      <c r="J245" s="108">
        <v>0.2</v>
      </c>
      <c r="K245" s="110">
        <v>3</v>
      </c>
      <c r="L245" s="259">
        <v>0.6</v>
      </c>
      <c r="M245" s="260" t="s">
        <v>354</v>
      </c>
    </row>
    <row r="246" spans="1:13" x14ac:dyDescent="0.25">
      <c r="A246" s="146">
        <v>43686</v>
      </c>
      <c r="B246" s="11" t="s">
        <v>16</v>
      </c>
      <c r="C246" s="11" t="s">
        <v>92</v>
      </c>
      <c r="D246" s="11" t="s">
        <v>95</v>
      </c>
      <c r="E246" s="11" t="s">
        <v>15</v>
      </c>
      <c r="F246" s="11" t="s">
        <v>88</v>
      </c>
      <c r="G246" s="11" t="s">
        <v>89</v>
      </c>
      <c r="H246" s="108">
        <v>104</v>
      </c>
      <c r="I246" s="22"/>
      <c r="J246" s="108">
        <v>0.2</v>
      </c>
      <c r="K246" s="110">
        <v>3</v>
      </c>
      <c r="L246" s="259">
        <v>0.6</v>
      </c>
      <c r="M246" s="260" t="s">
        <v>361</v>
      </c>
    </row>
    <row r="247" spans="1:13" x14ac:dyDescent="0.25">
      <c r="A247" s="146">
        <v>43690</v>
      </c>
      <c r="B247" s="11" t="s">
        <v>16</v>
      </c>
      <c r="C247" s="11" t="s">
        <v>92</v>
      </c>
      <c r="D247" s="11" t="s">
        <v>95</v>
      </c>
      <c r="E247" s="11" t="s">
        <v>15</v>
      </c>
      <c r="F247" s="11" t="s">
        <v>88</v>
      </c>
      <c r="G247" s="11" t="s">
        <v>89</v>
      </c>
      <c r="H247" s="108">
        <v>110</v>
      </c>
      <c r="I247" s="22"/>
      <c r="J247" s="108">
        <v>0.2</v>
      </c>
      <c r="K247" s="110">
        <v>3</v>
      </c>
      <c r="L247" s="259">
        <v>0.6</v>
      </c>
      <c r="M247" s="260" t="s">
        <v>365</v>
      </c>
    </row>
    <row r="248" spans="1:13" x14ac:dyDescent="0.25">
      <c r="A248" s="146">
        <v>43697</v>
      </c>
      <c r="B248" s="11" t="s">
        <v>16</v>
      </c>
      <c r="C248" s="11" t="s">
        <v>92</v>
      </c>
      <c r="D248" s="11" t="s">
        <v>95</v>
      </c>
      <c r="E248" s="11" t="s">
        <v>15</v>
      </c>
      <c r="F248" s="11" t="s">
        <v>88</v>
      </c>
      <c r="G248" s="11" t="s">
        <v>89</v>
      </c>
      <c r="H248" s="108">
        <v>108</v>
      </c>
      <c r="I248" s="22"/>
      <c r="J248" s="108">
        <v>0.2</v>
      </c>
      <c r="K248" s="110">
        <v>3</v>
      </c>
      <c r="L248" s="259">
        <v>0.6</v>
      </c>
      <c r="M248" s="260" t="s">
        <v>372</v>
      </c>
    </row>
    <row r="249" spans="1:13" x14ac:dyDescent="0.25">
      <c r="A249" s="146">
        <v>43704</v>
      </c>
      <c r="B249" s="11" t="s">
        <v>16</v>
      </c>
      <c r="C249" s="11" t="s">
        <v>92</v>
      </c>
      <c r="D249" s="11" t="s">
        <v>95</v>
      </c>
      <c r="E249" s="11" t="s">
        <v>15</v>
      </c>
      <c r="F249" s="11" t="s">
        <v>88</v>
      </c>
      <c r="G249" s="11" t="s">
        <v>89</v>
      </c>
      <c r="H249" s="108">
        <v>110</v>
      </c>
      <c r="I249" s="22"/>
      <c r="J249" s="108">
        <v>0.2</v>
      </c>
      <c r="K249" s="110">
        <v>3</v>
      </c>
      <c r="L249" s="259">
        <v>0.6</v>
      </c>
      <c r="M249" s="260" t="s">
        <v>379</v>
      </c>
    </row>
    <row r="250" spans="1:13" x14ac:dyDescent="0.25">
      <c r="A250" s="146">
        <v>43674</v>
      </c>
      <c r="B250" s="11" t="s">
        <v>16</v>
      </c>
      <c r="C250" s="11" t="s">
        <v>92</v>
      </c>
      <c r="D250" s="11" t="s">
        <v>105</v>
      </c>
      <c r="E250" s="11" t="s">
        <v>9</v>
      </c>
      <c r="F250" s="11" t="s">
        <v>88</v>
      </c>
      <c r="G250" s="11" t="s">
        <v>89</v>
      </c>
      <c r="H250" s="108">
        <v>9</v>
      </c>
      <c r="I250" s="22"/>
      <c r="J250" s="108">
        <v>1</v>
      </c>
      <c r="K250" s="110">
        <v>3</v>
      </c>
      <c r="L250" s="259">
        <v>3</v>
      </c>
      <c r="M250" s="260" t="s">
        <v>349</v>
      </c>
    </row>
    <row r="251" spans="1:13" x14ac:dyDescent="0.25">
      <c r="A251" s="146">
        <v>43675</v>
      </c>
      <c r="B251" s="11" t="s">
        <v>16</v>
      </c>
      <c r="C251" s="11" t="s">
        <v>92</v>
      </c>
      <c r="D251" s="11" t="s">
        <v>105</v>
      </c>
      <c r="E251" s="11" t="s">
        <v>9</v>
      </c>
      <c r="F251" s="11" t="s">
        <v>88</v>
      </c>
      <c r="G251" s="11" t="s">
        <v>89</v>
      </c>
      <c r="H251" s="108">
        <v>10</v>
      </c>
      <c r="I251" s="22"/>
      <c r="J251" s="108">
        <v>1</v>
      </c>
      <c r="K251" s="110">
        <v>3</v>
      </c>
      <c r="L251" s="259">
        <v>3</v>
      </c>
      <c r="M251" s="260" t="s">
        <v>350</v>
      </c>
    </row>
    <row r="252" spans="1:13" x14ac:dyDescent="0.25">
      <c r="A252" s="146">
        <v>43676</v>
      </c>
      <c r="B252" s="11" t="s">
        <v>16</v>
      </c>
      <c r="C252" s="11" t="s">
        <v>92</v>
      </c>
      <c r="D252" s="11" t="s">
        <v>105</v>
      </c>
      <c r="E252" s="11" t="s">
        <v>9</v>
      </c>
      <c r="F252" s="11" t="s">
        <v>88</v>
      </c>
      <c r="G252" s="11" t="s">
        <v>89</v>
      </c>
      <c r="H252" s="108">
        <v>10</v>
      </c>
      <c r="I252" s="22"/>
      <c r="J252" s="108">
        <v>1</v>
      </c>
      <c r="K252" s="110">
        <v>3</v>
      </c>
      <c r="L252" s="259">
        <v>3</v>
      </c>
      <c r="M252" s="260" t="s">
        <v>351</v>
      </c>
    </row>
    <row r="253" spans="1:13" x14ac:dyDescent="0.25">
      <c r="A253" s="146">
        <v>43677</v>
      </c>
      <c r="B253" s="11" t="s">
        <v>16</v>
      </c>
      <c r="C253" s="11" t="s">
        <v>92</v>
      </c>
      <c r="D253" s="11" t="s">
        <v>105</v>
      </c>
      <c r="E253" s="11" t="s">
        <v>9</v>
      </c>
      <c r="F253" s="11" t="s">
        <v>88</v>
      </c>
      <c r="G253" s="11" t="s">
        <v>89</v>
      </c>
      <c r="H253" s="108">
        <v>11</v>
      </c>
      <c r="I253" s="22"/>
      <c r="J253" s="108">
        <v>1</v>
      </c>
      <c r="K253" s="110">
        <v>3</v>
      </c>
      <c r="L253" s="259">
        <v>3</v>
      </c>
      <c r="M253" s="260" t="s">
        <v>352</v>
      </c>
    </row>
    <row r="254" spans="1:13" x14ac:dyDescent="0.25">
      <c r="A254" s="146">
        <v>43678</v>
      </c>
      <c r="B254" s="11" t="s">
        <v>16</v>
      </c>
      <c r="C254" s="11" t="s">
        <v>92</v>
      </c>
      <c r="D254" s="11" t="s">
        <v>105</v>
      </c>
      <c r="E254" s="11" t="s">
        <v>9</v>
      </c>
      <c r="F254" s="11" t="s">
        <v>88</v>
      </c>
      <c r="G254" s="11" t="s">
        <v>89</v>
      </c>
      <c r="H254" s="108">
        <v>13</v>
      </c>
      <c r="I254" s="22"/>
      <c r="J254" s="108">
        <v>1</v>
      </c>
      <c r="K254" s="110">
        <v>3</v>
      </c>
      <c r="L254" s="259">
        <v>3</v>
      </c>
      <c r="M254" s="260" t="s">
        <v>353</v>
      </c>
    </row>
    <row r="255" spans="1:13" x14ac:dyDescent="0.25">
      <c r="A255" s="146">
        <v>43679</v>
      </c>
      <c r="B255" s="11" t="s">
        <v>16</v>
      </c>
      <c r="C255" s="11" t="s">
        <v>92</v>
      </c>
      <c r="D255" s="11" t="s">
        <v>105</v>
      </c>
      <c r="E255" s="11" t="s">
        <v>9</v>
      </c>
      <c r="F255" s="11" t="s">
        <v>88</v>
      </c>
      <c r="G255" s="11" t="s">
        <v>89</v>
      </c>
      <c r="H255" s="108">
        <v>11</v>
      </c>
      <c r="I255" s="22"/>
      <c r="J255" s="108">
        <v>1</v>
      </c>
      <c r="K255" s="110">
        <v>3</v>
      </c>
      <c r="L255" s="259">
        <v>3</v>
      </c>
      <c r="M255" s="260" t="s">
        <v>354</v>
      </c>
    </row>
    <row r="256" spans="1:13" x14ac:dyDescent="0.25">
      <c r="A256" s="146">
        <v>43680</v>
      </c>
      <c r="B256" s="11" t="s">
        <v>16</v>
      </c>
      <c r="C256" s="11" t="s">
        <v>92</v>
      </c>
      <c r="D256" s="11" t="s">
        <v>105</v>
      </c>
      <c r="E256" s="11" t="s">
        <v>9</v>
      </c>
      <c r="F256" s="11" t="s">
        <v>88</v>
      </c>
      <c r="G256" s="11" t="s">
        <v>89</v>
      </c>
      <c r="H256" s="108">
        <v>12</v>
      </c>
      <c r="I256" s="22"/>
      <c r="J256" s="108">
        <v>1</v>
      </c>
      <c r="K256" s="110">
        <v>3</v>
      </c>
      <c r="L256" s="259">
        <v>3</v>
      </c>
      <c r="M256" s="260" t="s">
        <v>355</v>
      </c>
    </row>
    <row r="257" spans="1:13" x14ac:dyDescent="0.25">
      <c r="A257" s="146">
        <v>43681</v>
      </c>
      <c r="B257" s="11" t="s">
        <v>16</v>
      </c>
      <c r="C257" s="11" t="s">
        <v>92</v>
      </c>
      <c r="D257" s="11" t="s">
        <v>105</v>
      </c>
      <c r="E257" s="11" t="s">
        <v>9</v>
      </c>
      <c r="F257" s="11" t="s">
        <v>88</v>
      </c>
      <c r="G257" s="11" t="s">
        <v>89</v>
      </c>
      <c r="H257" s="108">
        <v>13</v>
      </c>
      <c r="I257" s="22"/>
      <c r="J257" s="108">
        <v>1</v>
      </c>
      <c r="K257" s="110">
        <v>3</v>
      </c>
      <c r="L257" s="259">
        <v>3</v>
      </c>
      <c r="M257" s="260" t="s">
        <v>356</v>
      </c>
    </row>
    <row r="258" spans="1:13" x14ac:dyDescent="0.25">
      <c r="A258" s="146">
        <v>43682</v>
      </c>
      <c r="B258" s="11" t="s">
        <v>16</v>
      </c>
      <c r="C258" s="11" t="s">
        <v>92</v>
      </c>
      <c r="D258" s="11" t="s">
        <v>105</v>
      </c>
      <c r="E258" s="11" t="s">
        <v>9</v>
      </c>
      <c r="F258" s="11" t="s">
        <v>88</v>
      </c>
      <c r="G258" s="11" t="s">
        <v>89</v>
      </c>
      <c r="H258" s="108">
        <v>13</v>
      </c>
      <c r="I258" s="22"/>
      <c r="J258" s="108">
        <v>1</v>
      </c>
      <c r="K258" s="110">
        <v>3</v>
      </c>
      <c r="L258" s="259">
        <v>3</v>
      </c>
      <c r="M258" s="260" t="s">
        <v>357</v>
      </c>
    </row>
    <row r="259" spans="1:13" x14ac:dyDescent="0.25">
      <c r="A259" s="146">
        <v>43683</v>
      </c>
      <c r="B259" s="11" t="s">
        <v>16</v>
      </c>
      <c r="C259" s="11" t="s">
        <v>92</v>
      </c>
      <c r="D259" s="11" t="s">
        <v>105</v>
      </c>
      <c r="E259" s="11" t="s">
        <v>9</v>
      </c>
      <c r="F259" s="11" t="s">
        <v>88</v>
      </c>
      <c r="G259" s="11" t="s">
        <v>89</v>
      </c>
      <c r="H259" s="108">
        <v>13</v>
      </c>
      <c r="I259" s="22"/>
      <c r="J259" s="108">
        <v>1</v>
      </c>
      <c r="K259" s="110">
        <v>3</v>
      </c>
      <c r="L259" s="259">
        <v>3</v>
      </c>
      <c r="M259" s="260" t="s">
        <v>358</v>
      </c>
    </row>
    <row r="260" spans="1:13" x14ac:dyDescent="0.25">
      <c r="A260" s="146">
        <v>43684</v>
      </c>
      <c r="B260" s="11" t="s">
        <v>16</v>
      </c>
      <c r="C260" s="11" t="s">
        <v>92</v>
      </c>
      <c r="D260" s="11" t="s">
        <v>105</v>
      </c>
      <c r="E260" s="11" t="s">
        <v>9</v>
      </c>
      <c r="F260" s="11" t="s">
        <v>88</v>
      </c>
      <c r="G260" s="11" t="s">
        <v>89</v>
      </c>
      <c r="H260" s="108">
        <v>15</v>
      </c>
      <c r="I260" s="22"/>
      <c r="J260" s="108">
        <v>1</v>
      </c>
      <c r="K260" s="110">
        <v>3</v>
      </c>
      <c r="L260" s="259">
        <v>3</v>
      </c>
      <c r="M260" s="260" t="s">
        <v>359</v>
      </c>
    </row>
    <row r="261" spans="1:13" x14ac:dyDescent="0.25">
      <c r="A261" s="146">
        <v>43685</v>
      </c>
      <c r="B261" s="11" t="s">
        <v>16</v>
      </c>
      <c r="C261" s="11" t="s">
        <v>92</v>
      </c>
      <c r="D261" s="11" t="s">
        <v>105</v>
      </c>
      <c r="E261" s="11" t="s">
        <v>9</v>
      </c>
      <c r="F261" s="11" t="s">
        <v>88</v>
      </c>
      <c r="G261" s="11" t="s">
        <v>89</v>
      </c>
      <c r="H261" s="108">
        <v>12</v>
      </c>
      <c r="I261" s="22"/>
      <c r="J261" s="108">
        <v>1</v>
      </c>
      <c r="K261" s="110">
        <v>3</v>
      </c>
      <c r="L261" s="259">
        <v>3</v>
      </c>
      <c r="M261" s="260" t="s">
        <v>360</v>
      </c>
    </row>
    <row r="262" spans="1:13" x14ac:dyDescent="0.25">
      <c r="A262" s="146">
        <v>43686</v>
      </c>
      <c r="B262" s="11" t="s">
        <v>16</v>
      </c>
      <c r="C262" s="11" t="s">
        <v>92</v>
      </c>
      <c r="D262" s="11" t="s">
        <v>105</v>
      </c>
      <c r="E262" s="11" t="s">
        <v>9</v>
      </c>
      <c r="F262" s="11" t="s">
        <v>88</v>
      </c>
      <c r="G262" s="11" t="s">
        <v>89</v>
      </c>
      <c r="H262" s="108">
        <v>11</v>
      </c>
      <c r="I262" s="22"/>
      <c r="J262" s="108">
        <v>1</v>
      </c>
      <c r="K262" s="110">
        <v>3</v>
      </c>
      <c r="L262" s="259">
        <v>3</v>
      </c>
      <c r="M262" s="260" t="s">
        <v>361</v>
      </c>
    </row>
    <row r="263" spans="1:13" x14ac:dyDescent="0.25">
      <c r="A263" s="146">
        <v>43687</v>
      </c>
      <c r="B263" s="11" t="s">
        <v>16</v>
      </c>
      <c r="C263" s="11" t="s">
        <v>92</v>
      </c>
      <c r="D263" s="11" t="s">
        <v>105</v>
      </c>
      <c r="E263" s="11" t="s">
        <v>9</v>
      </c>
      <c r="F263" s="11" t="s">
        <v>88</v>
      </c>
      <c r="G263" s="11" t="s">
        <v>89</v>
      </c>
      <c r="H263" s="108">
        <v>12</v>
      </c>
      <c r="I263" s="22"/>
      <c r="J263" s="108">
        <v>1</v>
      </c>
      <c r="K263" s="110">
        <v>3</v>
      </c>
      <c r="L263" s="259">
        <v>3</v>
      </c>
      <c r="M263" s="260" t="s">
        <v>362</v>
      </c>
    </row>
    <row r="264" spans="1:13" x14ac:dyDescent="0.25">
      <c r="A264" s="146">
        <v>43688</v>
      </c>
      <c r="B264" s="11" t="s">
        <v>16</v>
      </c>
      <c r="C264" s="11" t="s">
        <v>92</v>
      </c>
      <c r="D264" s="11" t="s">
        <v>105</v>
      </c>
      <c r="E264" s="11" t="s">
        <v>9</v>
      </c>
      <c r="F264" s="11" t="s">
        <v>88</v>
      </c>
      <c r="G264" s="11" t="s">
        <v>89</v>
      </c>
      <c r="H264" s="108">
        <v>11</v>
      </c>
      <c r="I264" s="22"/>
      <c r="J264" s="108">
        <v>1</v>
      </c>
      <c r="K264" s="110">
        <v>3</v>
      </c>
      <c r="L264" s="259">
        <v>3</v>
      </c>
      <c r="M264" s="260" t="s">
        <v>363</v>
      </c>
    </row>
    <row r="265" spans="1:13" x14ac:dyDescent="0.25">
      <c r="A265" s="146">
        <v>43689</v>
      </c>
      <c r="B265" s="11" t="s">
        <v>16</v>
      </c>
      <c r="C265" s="11" t="s">
        <v>92</v>
      </c>
      <c r="D265" s="11" t="s">
        <v>105</v>
      </c>
      <c r="E265" s="11" t="s">
        <v>9</v>
      </c>
      <c r="F265" s="11" t="s">
        <v>88</v>
      </c>
      <c r="G265" s="11" t="s">
        <v>89</v>
      </c>
      <c r="H265" s="108">
        <v>9</v>
      </c>
      <c r="I265" s="22"/>
      <c r="J265" s="108">
        <v>1</v>
      </c>
      <c r="K265" s="110">
        <v>3</v>
      </c>
      <c r="L265" s="259">
        <v>3</v>
      </c>
      <c r="M265" s="260" t="s">
        <v>364</v>
      </c>
    </row>
    <row r="266" spans="1:13" x14ac:dyDescent="0.25">
      <c r="A266" s="146">
        <v>43690</v>
      </c>
      <c r="B266" s="11" t="s">
        <v>16</v>
      </c>
      <c r="C266" s="11" t="s">
        <v>92</v>
      </c>
      <c r="D266" s="11" t="s">
        <v>105</v>
      </c>
      <c r="E266" s="11" t="s">
        <v>9</v>
      </c>
      <c r="F266" s="11" t="s">
        <v>88</v>
      </c>
      <c r="G266" s="11" t="s">
        <v>89</v>
      </c>
      <c r="H266" s="108">
        <v>10</v>
      </c>
      <c r="I266" s="22"/>
      <c r="J266" s="108">
        <v>1</v>
      </c>
      <c r="K266" s="110">
        <v>3</v>
      </c>
      <c r="L266" s="259">
        <v>3</v>
      </c>
      <c r="M266" s="260" t="s">
        <v>365</v>
      </c>
    </row>
    <row r="267" spans="1:13" x14ac:dyDescent="0.25">
      <c r="A267" s="146">
        <v>43691</v>
      </c>
      <c r="B267" s="11" t="s">
        <v>16</v>
      </c>
      <c r="C267" s="11" t="s">
        <v>92</v>
      </c>
      <c r="D267" s="11" t="s">
        <v>105</v>
      </c>
      <c r="E267" s="11" t="s">
        <v>9</v>
      </c>
      <c r="F267" s="11" t="s">
        <v>88</v>
      </c>
      <c r="G267" s="11" t="s">
        <v>89</v>
      </c>
      <c r="H267" s="108">
        <v>10</v>
      </c>
      <c r="I267" s="22"/>
      <c r="J267" s="108">
        <v>1</v>
      </c>
      <c r="K267" s="110">
        <v>3</v>
      </c>
      <c r="L267" s="259">
        <v>3</v>
      </c>
      <c r="M267" s="260" t="s">
        <v>366</v>
      </c>
    </row>
    <row r="268" spans="1:13" x14ac:dyDescent="0.25">
      <c r="A268" s="146">
        <v>43692</v>
      </c>
      <c r="B268" s="11" t="s">
        <v>16</v>
      </c>
      <c r="C268" s="11" t="s">
        <v>92</v>
      </c>
      <c r="D268" s="11" t="s">
        <v>105</v>
      </c>
      <c r="E268" s="11" t="s">
        <v>9</v>
      </c>
      <c r="F268" s="11" t="s">
        <v>88</v>
      </c>
      <c r="G268" s="11" t="s">
        <v>89</v>
      </c>
      <c r="H268" s="108">
        <v>10</v>
      </c>
      <c r="I268" s="22"/>
      <c r="J268" s="108">
        <v>1</v>
      </c>
      <c r="K268" s="110">
        <v>3</v>
      </c>
      <c r="L268" s="259">
        <v>3</v>
      </c>
      <c r="M268" s="260" t="s">
        <v>367</v>
      </c>
    </row>
    <row r="269" spans="1:13" x14ac:dyDescent="0.25">
      <c r="A269" s="146">
        <v>43693</v>
      </c>
      <c r="B269" s="11" t="s">
        <v>16</v>
      </c>
      <c r="C269" s="11" t="s">
        <v>92</v>
      </c>
      <c r="D269" s="11" t="s">
        <v>105</v>
      </c>
      <c r="E269" s="11" t="s">
        <v>9</v>
      </c>
      <c r="F269" s="11" t="s">
        <v>88</v>
      </c>
      <c r="G269" s="11" t="s">
        <v>89</v>
      </c>
      <c r="H269" s="108">
        <v>9</v>
      </c>
      <c r="I269" s="22"/>
      <c r="J269" s="108">
        <v>1</v>
      </c>
      <c r="K269" s="110">
        <v>3</v>
      </c>
      <c r="L269" s="259">
        <v>3</v>
      </c>
      <c r="M269" s="260" t="s">
        <v>368</v>
      </c>
    </row>
    <row r="270" spans="1:13" x14ac:dyDescent="0.25">
      <c r="A270" s="146">
        <v>43694</v>
      </c>
      <c r="B270" s="11" t="s">
        <v>16</v>
      </c>
      <c r="C270" s="11" t="s">
        <v>92</v>
      </c>
      <c r="D270" s="11" t="s">
        <v>105</v>
      </c>
      <c r="E270" s="11" t="s">
        <v>9</v>
      </c>
      <c r="F270" s="11" t="s">
        <v>88</v>
      </c>
      <c r="G270" s="11" t="s">
        <v>89</v>
      </c>
      <c r="H270" s="108">
        <v>6</v>
      </c>
      <c r="I270" s="22"/>
      <c r="J270" s="108">
        <v>1</v>
      </c>
      <c r="K270" s="110">
        <v>3</v>
      </c>
      <c r="L270" s="259">
        <v>3</v>
      </c>
      <c r="M270" s="260" t="s">
        <v>369</v>
      </c>
    </row>
    <row r="271" spans="1:13" x14ac:dyDescent="0.25">
      <c r="A271" s="146">
        <v>43695</v>
      </c>
      <c r="B271" s="11" t="s">
        <v>16</v>
      </c>
      <c r="C271" s="11" t="s">
        <v>92</v>
      </c>
      <c r="D271" s="11" t="s">
        <v>105</v>
      </c>
      <c r="E271" s="11" t="s">
        <v>9</v>
      </c>
      <c r="F271" s="11" t="s">
        <v>88</v>
      </c>
      <c r="G271" s="11" t="s">
        <v>89</v>
      </c>
      <c r="H271" s="108">
        <v>7</v>
      </c>
      <c r="I271" s="22"/>
      <c r="J271" s="108">
        <v>1</v>
      </c>
      <c r="K271" s="110">
        <v>3</v>
      </c>
      <c r="L271" s="259">
        <v>3</v>
      </c>
      <c r="M271" s="260" t="s">
        <v>370</v>
      </c>
    </row>
    <row r="272" spans="1:13" x14ac:dyDescent="0.25">
      <c r="A272" s="146">
        <v>43696</v>
      </c>
      <c r="B272" s="11" t="s">
        <v>16</v>
      </c>
      <c r="C272" s="11" t="s">
        <v>92</v>
      </c>
      <c r="D272" s="11" t="s">
        <v>105</v>
      </c>
      <c r="E272" s="11" t="s">
        <v>9</v>
      </c>
      <c r="F272" s="11" t="s">
        <v>88</v>
      </c>
      <c r="G272" s="11" t="s">
        <v>89</v>
      </c>
      <c r="H272" s="108">
        <v>10</v>
      </c>
      <c r="I272" s="22"/>
      <c r="J272" s="108">
        <v>1</v>
      </c>
      <c r="K272" s="110">
        <v>3</v>
      </c>
      <c r="L272" s="259">
        <v>3</v>
      </c>
      <c r="M272" s="260" t="s">
        <v>371</v>
      </c>
    </row>
    <row r="273" spans="1:13" x14ac:dyDescent="0.25">
      <c r="A273" s="146">
        <v>43697</v>
      </c>
      <c r="B273" s="11" t="s">
        <v>16</v>
      </c>
      <c r="C273" s="11" t="s">
        <v>92</v>
      </c>
      <c r="D273" s="11" t="s">
        <v>105</v>
      </c>
      <c r="E273" s="11" t="s">
        <v>9</v>
      </c>
      <c r="F273" s="11" t="s">
        <v>88</v>
      </c>
      <c r="G273" s="11" t="s">
        <v>89</v>
      </c>
      <c r="H273" s="108">
        <v>10</v>
      </c>
      <c r="I273" s="22"/>
      <c r="J273" s="108">
        <v>1</v>
      </c>
      <c r="K273" s="110">
        <v>3</v>
      </c>
      <c r="L273" s="259">
        <v>3</v>
      </c>
      <c r="M273" s="260" t="s">
        <v>372</v>
      </c>
    </row>
    <row r="274" spans="1:13" x14ac:dyDescent="0.25">
      <c r="A274" s="146">
        <v>43698</v>
      </c>
      <c r="B274" s="11" t="s">
        <v>16</v>
      </c>
      <c r="C274" s="11" t="s">
        <v>92</v>
      </c>
      <c r="D274" s="11" t="s">
        <v>105</v>
      </c>
      <c r="E274" s="11" t="s">
        <v>9</v>
      </c>
      <c r="F274" s="11" t="s">
        <v>88</v>
      </c>
      <c r="G274" s="11" t="s">
        <v>89</v>
      </c>
      <c r="H274" s="108">
        <v>17</v>
      </c>
      <c r="I274" s="22"/>
      <c r="J274" s="108">
        <v>1</v>
      </c>
      <c r="K274" s="110">
        <v>3</v>
      </c>
      <c r="L274" s="259">
        <v>3</v>
      </c>
      <c r="M274" s="260" t="s">
        <v>373</v>
      </c>
    </row>
    <row r="275" spans="1:13" x14ac:dyDescent="0.25">
      <c r="A275" s="146">
        <v>43699</v>
      </c>
      <c r="B275" s="11" t="s">
        <v>16</v>
      </c>
      <c r="C275" s="11" t="s">
        <v>92</v>
      </c>
      <c r="D275" s="11" t="s">
        <v>105</v>
      </c>
      <c r="E275" s="11" t="s">
        <v>9</v>
      </c>
      <c r="F275" s="11" t="s">
        <v>88</v>
      </c>
      <c r="G275" s="11" t="s">
        <v>89</v>
      </c>
      <c r="H275" s="108">
        <v>13</v>
      </c>
      <c r="I275" s="22"/>
      <c r="J275" s="108">
        <v>1</v>
      </c>
      <c r="K275" s="110">
        <v>3</v>
      </c>
      <c r="L275" s="259">
        <v>3</v>
      </c>
      <c r="M275" s="260" t="s">
        <v>374</v>
      </c>
    </row>
    <row r="276" spans="1:13" x14ac:dyDescent="0.25">
      <c r="A276" s="146">
        <v>43700</v>
      </c>
      <c r="B276" s="11" t="s">
        <v>16</v>
      </c>
      <c r="C276" s="11" t="s">
        <v>92</v>
      </c>
      <c r="D276" s="11" t="s">
        <v>105</v>
      </c>
      <c r="E276" s="11" t="s">
        <v>9</v>
      </c>
      <c r="F276" s="11" t="s">
        <v>88</v>
      </c>
      <c r="G276" s="11" t="s">
        <v>89</v>
      </c>
      <c r="H276" s="108">
        <v>13</v>
      </c>
      <c r="I276" s="22"/>
      <c r="J276" s="108">
        <v>1</v>
      </c>
      <c r="K276" s="110">
        <v>3</v>
      </c>
      <c r="L276" s="259">
        <v>3</v>
      </c>
      <c r="M276" s="260" t="s">
        <v>375</v>
      </c>
    </row>
    <row r="277" spans="1:13" x14ac:dyDescent="0.25">
      <c r="A277" s="146">
        <v>43701</v>
      </c>
      <c r="B277" s="11" t="s">
        <v>16</v>
      </c>
      <c r="C277" s="11" t="s">
        <v>92</v>
      </c>
      <c r="D277" s="11" t="s">
        <v>105</v>
      </c>
      <c r="E277" s="11" t="s">
        <v>9</v>
      </c>
      <c r="F277" s="11" t="s">
        <v>88</v>
      </c>
      <c r="G277" s="11" t="s">
        <v>89</v>
      </c>
      <c r="H277" s="108">
        <v>13</v>
      </c>
      <c r="I277" s="22"/>
      <c r="J277" s="108">
        <v>1</v>
      </c>
      <c r="K277" s="110">
        <v>3</v>
      </c>
      <c r="L277" s="259">
        <v>3</v>
      </c>
      <c r="M277" s="260" t="s">
        <v>376</v>
      </c>
    </row>
    <row r="278" spans="1:13" x14ac:dyDescent="0.25">
      <c r="A278" s="146">
        <v>43702</v>
      </c>
      <c r="B278" s="11" t="s">
        <v>16</v>
      </c>
      <c r="C278" s="11" t="s">
        <v>92</v>
      </c>
      <c r="D278" s="11" t="s">
        <v>105</v>
      </c>
      <c r="E278" s="11" t="s">
        <v>9</v>
      </c>
      <c r="F278" s="11" t="s">
        <v>88</v>
      </c>
      <c r="G278" s="11" t="s">
        <v>89</v>
      </c>
      <c r="H278" s="108">
        <v>13</v>
      </c>
      <c r="I278" s="22"/>
      <c r="J278" s="108">
        <v>1</v>
      </c>
      <c r="K278" s="110">
        <v>3</v>
      </c>
      <c r="L278" s="259">
        <v>3</v>
      </c>
      <c r="M278" s="260" t="s">
        <v>377</v>
      </c>
    </row>
    <row r="279" spans="1:13" x14ac:dyDescent="0.25">
      <c r="A279" s="146">
        <v>43703</v>
      </c>
      <c r="B279" s="11" t="s">
        <v>16</v>
      </c>
      <c r="C279" s="11" t="s">
        <v>92</v>
      </c>
      <c r="D279" s="11" t="s">
        <v>105</v>
      </c>
      <c r="E279" s="11" t="s">
        <v>9</v>
      </c>
      <c r="F279" s="11" t="s">
        <v>88</v>
      </c>
      <c r="G279" s="11" t="s">
        <v>89</v>
      </c>
      <c r="H279" s="108">
        <v>13</v>
      </c>
      <c r="I279" s="22"/>
      <c r="J279" s="108">
        <v>1</v>
      </c>
      <c r="K279" s="110">
        <v>3</v>
      </c>
      <c r="L279" s="259">
        <v>3</v>
      </c>
      <c r="M279" s="260" t="s">
        <v>378</v>
      </c>
    </row>
    <row r="280" spans="1:13" x14ac:dyDescent="0.25">
      <c r="A280" s="146">
        <v>43704</v>
      </c>
      <c r="B280" s="11" t="s">
        <v>16</v>
      </c>
      <c r="C280" s="11" t="s">
        <v>92</v>
      </c>
      <c r="D280" s="11" t="s">
        <v>105</v>
      </c>
      <c r="E280" s="11" t="s">
        <v>9</v>
      </c>
      <c r="F280" s="11" t="s">
        <v>88</v>
      </c>
      <c r="G280" s="11" t="s">
        <v>89</v>
      </c>
      <c r="H280" s="108">
        <v>12</v>
      </c>
      <c r="I280" s="22"/>
      <c r="J280" s="108">
        <v>1</v>
      </c>
      <c r="K280" s="110">
        <v>3</v>
      </c>
      <c r="L280" s="259">
        <v>3</v>
      </c>
      <c r="M280" s="260" t="s">
        <v>379</v>
      </c>
    </row>
    <row r="281" spans="1:13" x14ac:dyDescent="0.25">
      <c r="A281" s="146">
        <v>43705</v>
      </c>
      <c r="B281" s="11" t="s">
        <v>16</v>
      </c>
      <c r="C281" s="11" t="s">
        <v>92</v>
      </c>
      <c r="D281" s="11" t="s">
        <v>105</v>
      </c>
      <c r="E281" s="11" t="s">
        <v>9</v>
      </c>
      <c r="F281" s="11" t="s">
        <v>88</v>
      </c>
      <c r="G281" s="11" t="s">
        <v>89</v>
      </c>
      <c r="H281" s="108">
        <v>13</v>
      </c>
      <c r="I281" s="22"/>
      <c r="J281" s="108">
        <v>1</v>
      </c>
      <c r="K281" s="110">
        <v>3</v>
      </c>
      <c r="L281" s="259">
        <v>3</v>
      </c>
      <c r="M281" s="260" t="s">
        <v>380</v>
      </c>
    </row>
    <row r="282" spans="1:13" x14ac:dyDescent="0.25">
      <c r="A282" s="146">
        <v>43706</v>
      </c>
      <c r="B282" s="11" t="s">
        <v>16</v>
      </c>
      <c r="C282" s="11" t="s">
        <v>92</v>
      </c>
      <c r="D282" s="11" t="s">
        <v>105</v>
      </c>
      <c r="E282" s="11" t="s">
        <v>9</v>
      </c>
      <c r="F282" s="11" t="s">
        <v>88</v>
      </c>
      <c r="G282" s="11" t="s">
        <v>89</v>
      </c>
      <c r="H282" s="108">
        <v>13</v>
      </c>
      <c r="I282" s="22"/>
      <c r="J282" s="108">
        <v>1</v>
      </c>
      <c r="K282" s="110">
        <v>3</v>
      </c>
      <c r="L282" s="259">
        <v>3</v>
      </c>
      <c r="M282" s="260" t="s">
        <v>381</v>
      </c>
    </row>
    <row r="283" spans="1:13" x14ac:dyDescent="0.25">
      <c r="A283" s="146">
        <v>43707</v>
      </c>
      <c r="B283" s="11" t="s">
        <v>16</v>
      </c>
      <c r="C283" s="11" t="s">
        <v>92</v>
      </c>
      <c r="D283" s="11" t="s">
        <v>105</v>
      </c>
      <c r="E283" s="11" t="s">
        <v>9</v>
      </c>
      <c r="F283" s="11" t="s">
        <v>88</v>
      </c>
      <c r="G283" s="11" t="s">
        <v>89</v>
      </c>
      <c r="H283" s="108">
        <v>13</v>
      </c>
      <c r="I283" s="22"/>
      <c r="J283" s="108">
        <v>1</v>
      </c>
      <c r="K283" s="110">
        <v>3</v>
      </c>
      <c r="L283" s="259">
        <v>3</v>
      </c>
      <c r="M283" s="260" t="s">
        <v>382</v>
      </c>
    </row>
    <row r="284" spans="1:13" x14ac:dyDescent="0.25">
      <c r="A284" s="146">
        <v>43708</v>
      </c>
      <c r="B284" s="11" t="s">
        <v>16</v>
      </c>
      <c r="C284" s="11" t="s">
        <v>92</v>
      </c>
      <c r="D284" s="11" t="s">
        <v>105</v>
      </c>
      <c r="E284" s="11" t="s">
        <v>9</v>
      </c>
      <c r="F284" s="11" t="s">
        <v>88</v>
      </c>
      <c r="G284" s="11" t="s">
        <v>89</v>
      </c>
      <c r="H284" s="108">
        <v>12</v>
      </c>
      <c r="I284" s="22"/>
      <c r="J284" s="108">
        <v>1</v>
      </c>
      <c r="K284" s="110">
        <v>3</v>
      </c>
      <c r="L284" s="259">
        <v>3</v>
      </c>
      <c r="M284" s="260" t="s">
        <v>383</v>
      </c>
    </row>
    <row r="285" spans="1:13" x14ac:dyDescent="0.25">
      <c r="A285" s="146">
        <v>43674</v>
      </c>
      <c r="B285" s="11" t="s">
        <v>16</v>
      </c>
      <c r="C285" s="11" t="s">
        <v>92</v>
      </c>
      <c r="D285" s="11" t="s">
        <v>106</v>
      </c>
      <c r="E285" s="11" t="s">
        <v>11</v>
      </c>
      <c r="F285" s="11" t="s">
        <v>98</v>
      </c>
      <c r="G285" s="11" t="s">
        <v>68</v>
      </c>
      <c r="H285" s="108" t="s">
        <v>259</v>
      </c>
      <c r="I285" s="22"/>
      <c r="J285" s="108"/>
      <c r="K285" s="110">
        <v>1</v>
      </c>
      <c r="L285" s="259"/>
      <c r="M285" s="260" t="s">
        <v>384</v>
      </c>
    </row>
    <row r="286" spans="1:13" x14ac:dyDescent="0.25">
      <c r="A286" s="146">
        <v>43675</v>
      </c>
      <c r="B286" s="11" t="s">
        <v>16</v>
      </c>
      <c r="C286" s="11" t="s">
        <v>92</v>
      </c>
      <c r="D286" s="11" t="s">
        <v>106</v>
      </c>
      <c r="E286" s="11" t="s">
        <v>11</v>
      </c>
      <c r="F286" s="11" t="s">
        <v>98</v>
      </c>
      <c r="G286" s="11" t="s">
        <v>68</v>
      </c>
      <c r="H286" s="108" t="s">
        <v>259</v>
      </c>
      <c r="I286" s="22"/>
      <c r="J286" s="108"/>
      <c r="K286" s="110">
        <v>1</v>
      </c>
      <c r="L286" s="259"/>
      <c r="M286" s="260" t="s">
        <v>385</v>
      </c>
    </row>
    <row r="287" spans="1:13" x14ac:dyDescent="0.25">
      <c r="A287" s="146">
        <v>43676</v>
      </c>
      <c r="B287" s="11" t="s">
        <v>16</v>
      </c>
      <c r="C287" s="11" t="s">
        <v>92</v>
      </c>
      <c r="D287" s="11" t="s">
        <v>106</v>
      </c>
      <c r="E287" s="11" t="s">
        <v>11</v>
      </c>
      <c r="F287" s="11" t="s">
        <v>98</v>
      </c>
      <c r="G287" s="11" t="s">
        <v>68</v>
      </c>
      <c r="H287" s="108" t="s">
        <v>259</v>
      </c>
      <c r="I287" s="22"/>
      <c r="J287" s="108"/>
      <c r="K287" s="110">
        <v>1</v>
      </c>
      <c r="L287" s="259"/>
      <c r="M287" s="260" t="s">
        <v>386</v>
      </c>
    </row>
    <row r="288" spans="1:13" x14ac:dyDescent="0.25">
      <c r="A288" s="146">
        <v>43677</v>
      </c>
      <c r="B288" s="11" t="s">
        <v>16</v>
      </c>
      <c r="C288" s="11" t="s">
        <v>92</v>
      </c>
      <c r="D288" s="11" t="s">
        <v>106</v>
      </c>
      <c r="E288" s="11" t="s">
        <v>11</v>
      </c>
      <c r="F288" s="11" t="s">
        <v>98</v>
      </c>
      <c r="G288" s="11" t="s">
        <v>68</v>
      </c>
      <c r="H288" s="108" t="s">
        <v>259</v>
      </c>
      <c r="I288" s="22"/>
      <c r="J288" s="108"/>
      <c r="K288" s="110">
        <v>1</v>
      </c>
      <c r="L288" s="259"/>
      <c r="M288" s="260" t="s">
        <v>387</v>
      </c>
    </row>
    <row r="289" spans="1:13" x14ac:dyDescent="0.25">
      <c r="A289" s="146">
        <v>43678</v>
      </c>
      <c r="B289" s="11" t="s">
        <v>16</v>
      </c>
      <c r="C289" s="11" t="s">
        <v>92</v>
      </c>
      <c r="D289" s="11" t="s">
        <v>106</v>
      </c>
      <c r="E289" s="11" t="s">
        <v>11</v>
      </c>
      <c r="F289" s="11" t="s">
        <v>98</v>
      </c>
      <c r="G289" s="11" t="s">
        <v>68</v>
      </c>
      <c r="H289" s="108" t="s">
        <v>259</v>
      </c>
      <c r="I289" s="22"/>
      <c r="J289" s="108"/>
      <c r="K289" s="110">
        <v>1</v>
      </c>
      <c r="L289" s="259"/>
      <c r="M289" s="260" t="s">
        <v>388</v>
      </c>
    </row>
    <row r="290" spans="1:13" x14ac:dyDescent="0.25">
      <c r="A290" s="146">
        <v>43679</v>
      </c>
      <c r="B290" s="11" t="s">
        <v>16</v>
      </c>
      <c r="C290" s="11" t="s">
        <v>92</v>
      </c>
      <c r="D290" s="11" t="s">
        <v>106</v>
      </c>
      <c r="E290" s="11" t="s">
        <v>11</v>
      </c>
      <c r="F290" s="11" t="s">
        <v>98</v>
      </c>
      <c r="G290" s="11" t="s">
        <v>68</v>
      </c>
      <c r="H290" s="108" t="s">
        <v>259</v>
      </c>
      <c r="I290" s="22"/>
      <c r="J290" s="108"/>
      <c r="K290" s="110">
        <v>1</v>
      </c>
      <c r="L290" s="259"/>
      <c r="M290" s="260" t="s">
        <v>389</v>
      </c>
    </row>
    <row r="291" spans="1:13" x14ac:dyDescent="0.25">
      <c r="A291" s="146">
        <v>43680</v>
      </c>
      <c r="B291" s="11" t="s">
        <v>16</v>
      </c>
      <c r="C291" s="11" t="s">
        <v>92</v>
      </c>
      <c r="D291" s="11" t="s">
        <v>106</v>
      </c>
      <c r="E291" s="11" t="s">
        <v>11</v>
      </c>
      <c r="F291" s="11" t="s">
        <v>98</v>
      </c>
      <c r="G291" s="11" t="s">
        <v>68</v>
      </c>
      <c r="H291" s="108" t="s">
        <v>259</v>
      </c>
      <c r="I291" s="22"/>
      <c r="J291" s="108"/>
      <c r="K291" s="110">
        <v>1</v>
      </c>
      <c r="L291" s="259"/>
      <c r="M291" s="260" t="s">
        <v>390</v>
      </c>
    </row>
    <row r="292" spans="1:13" x14ac:dyDescent="0.25">
      <c r="A292" s="146">
        <v>43681</v>
      </c>
      <c r="B292" s="11" t="s">
        <v>16</v>
      </c>
      <c r="C292" s="11" t="s">
        <v>92</v>
      </c>
      <c r="D292" s="11" t="s">
        <v>106</v>
      </c>
      <c r="E292" s="11" t="s">
        <v>11</v>
      </c>
      <c r="F292" s="11" t="s">
        <v>98</v>
      </c>
      <c r="G292" s="11" t="s">
        <v>68</v>
      </c>
      <c r="H292" s="108" t="s">
        <v>259</v>
      </c>
      <c r="I292" s="22"/>
      <c r="J292" s="108"/>
      <c r="K292" s="110">
        <v>1</v>
      </c>
      <c r="L292" s="259"/>
      <c r="M292" s="260" t="s">
        <v>391</v>
      </c>
    </row>
    <row r="293" spans="1:13" x14ac:dyDescent="0.25">
      <c r="A293" s="146">
        <v>43682</v>
      </c>
      <c r="B293" s="11" t="s">
        <v>16</v>
      </c>
      <c r="C293" s="11" t="s">
        <v>92</v>
      </c>
      <c r="D293" s="11" t="s">
        <v>106</v>
      </c>
      <c r="E293" s="11" t="s">
        <v>11</v>
      </c>
      <c r="F293" s="11" t="s">
        <v>98</v>
      </c>
      <c r="G293" s="11" t="s">
        <v>68</v>
      </c>
      <c r="H293" s="108" t="s">
        <v>259</v>
      </c>
      <c r="I293" s="22"/>
      <c r="J293" s="108"/>
      <c r="K293" s="110">
        <v>1</v>
      </c>
      <c r="L293" s="259"/>
      <c r="M293" s="260" t="s">
        <v>392</v>
      </c>
    </row>
    <row r="294" spans="1:13" x14ac:dyDescent="0.25">
      <c r="A294" s="146">
        <v>43683</v>
      </c>
      <c r="B294" s="11" t="s">
        <v>16</v>
      </c>
      <c r="C294" s="11" t="s">
        <v>92</v>
      </c>
      <c r="D294" s="11" t="s">
        <v>106</v>
      </c>
      <c r="E294" s="11" t="s">
        <v>11</v>
      </c>
      <c r="F294" s="11" t="s">
        <v>98</v>
      </c>
      <c r="G294" s="11" t="s">
        <v>68</v>
      </c>
      <c r="H294" s="108" t="s">
        <v>259</v>
      </c>
      <c r="I294" s="22"/>
      <c r="J294" s="108"/>
      <c r="K294" s="110">
        <v>1</v>
      </c>
      <c r="L294" s="259"/>
      <c r="M294" s="260" t="s">
        <v>393</v>
      </c>
    </row>
    <row r="295" spans="1:13" x14ac:dyDescent="0.25">
      <c r="A295" s="146">
        <v>43684</v>
      </c>
      <c r="B295" s="11" t="s">
        <v>16</v>
      </c>
      <c r="C295" s="11" t="s">
        <v>92</v>
      </c>
      <c r="D295" s="11" t="s">
        <v>106</v>
      </c>
      <c r="E295" s="11" t="s">
        <v>11</v>
      </c>
      <c r="F295" s="11" t="s">
        <v>98</v>
      </c>
      <c r="G295" s="11" t="s">
        <v>68</v>
      </c>
      <c r="H295" s="108" t="s">
        <v>259</v>
      </c>
      <c r="I295" s="22"/>
      <c r="J295" s="108"/>
      <c r="K295" s="110">
        <v>1</v>
      </c>
      <c r="L295" s="259"/>
      <c r="M295" s="260" t="s">
        <v>394</v>
      </c>
    </row>
    <row r="296" spans="1:13" x14ac:dyDescent="0.25">
      <c r="A296" s="146">
        <v>43685</v>
      </c>
      <c r="B296" s="11" t="s">
        <v>16</v>
      </c>
      <c r="C296" s="11" t="s">
        <v>92</v>
      </c>
      <c r="D296" s="11" t="s">
        <v>106</v>
      </c>
      <c r="E296" s="11" t="s">
        <v>11</v>
      </c>
      <c r="F296" s="11" t="s">
        <v>98</v>
      </c>
      <c r="G296" s="11" t="s">
        <v>68</v>
      </c>
      <c r="H296" s="108" t="s">
        <v>259</v>
      </c>
      <c r="I296" s="22"/>
      <c r="J296" s="108"/>
      <c r="K296" s="110">
        <v>1</v>
      </c>
      <c r="L296" s="259"/>
      <c r="M296" s="260" t="s">
        <v>395</v>
      </c>
    </row>
    <row r="297" spans="1:13" x14ac:dyDescent="0.25">
      <c r="A297" s="146">
        <v>43686</v>
      </c>
      <c r="B297" s="11" t="s">
        <v>16</v>
      </c>
      <c r="C297" s="11" t="s">
        <v>92</v>
      </c>
      <c r="D297" s="11" t="s">
        <v>106</v>
      </c>
      <c r="E297" s="11" t="s">
        <v>11</v>
      </c>
      <c r="F297" s="11" t="s">
        <v>98</v>
      </c>
      <c r="G297" s="11" t="s">
        <v>68</v>
      </c>
      <c r="H297" s="108" t="s">
        <v>259</v>
      </c>
      <c r="I297" s="22"/>
      <c r="J297" s="108"/>
      <c r="K297" s="110">
        <v>1</v>
      </c>
      <c r="L297" s="259"/>
      <c r="M297" s="260" t="s">
        <v>396</v>
      </c>
    </row>
    <row r="298" spans="1:13" x14ac:dyDescent="0.25">
      <c r="A298" s="146">
        <v>43687</v>
      </c>
      <c r="B298" s="11" t="s">
        <v>16</v>
      </c>
      <c r="C298" s="11" t="s">
        <v>92</v>
      </c>
      <c r="D298" s="11" t="s">
        <v>106</v>
      </c>
      <c r="E298" s="11" t="s">
        <v>11</v>
      </c>
      <c r="F298" s="11" t="s">
        <v>98</v>
      </c>
      <c r="G298" s="11" t="s">
        <v>68</v>
      </c>
      <c r="H298" s="108" t="s">
        <v>259</v>
      </c>
      <c r="I298" s="22"/>
      <c r="J298" s="108"/>
      <c r="K298" s="110">
        <v>1</v>
      </c>
      <c r="L298" s="259"/>
      <c r="M298" s="260" t="s">
        <v>397</v>
      </c>
    </row>
    <row r="299" spans="1:13" x14ac:dyDescent="0.25">
      <c r="A299" s="146">
        <v>43688</v>
      </c>
      <c r="B299" s="11" t="s">
        <v>16</v>
      </c>
      <c r="C299" s="11" t="s">
        <v>92</v>
      </c>
      <c r="D299" s="11" t="s">
        <v>106</v>
      </c>
      <c r="E299" s="11" t="s">
        <v>11</v>
      </c>
      <c r="F299" s="11" t="s">
        <v>98</v>
      </c>
      <c r="G299" s="11" t="s">
        <v>68</v>
      </c>
      <c r="H299" s="108" t="s">
        <v>259</v>
      </c>
      <c r="I299" s="22"/>
      <c r="J299" s="108"/>
      <c r="K299" s="110">
        <v>1</v>
      </c>
      <c r="L299" s="259"/>
      <c r="M299" s="260" t="s">
        <v>398</v>
      </c>
    </row>
    <row r="300" spans="1:13" x14ac:dyDescent="0.25">
      <c r="A300" s="146">
        <v>43689</v>
      </c>
      <c r="B300" s="11" t="s">
        <v>16</v>
      </c>
      <c r="C300" s="11" t="s">
        <v>92</v>
      </c>
      <c r="D300" s="11" t="s">
        <v>106</v>
      </c>
      <c r="E300" s="11" t="s">
        <v>11</v>
      </c>
      <c r="F300" s="11" t="s">
        <v>98</v>
      </c>
      <c r="G300" s="11" t="s">
        <v>68</v>
      </c>
      <c r="H300" s="108" t="s">
        <v>259</v>
      </c>
      <c r="I300" s="22"/>
      <c r="J300" s="108"/>
      <c r="K300" s="110">
        <v>1</v>
      </c>
      <c r="L300" s="259"/>
      <c r="M300" s="260" t="s">
        <v>399</v>
      </c>
    </row>
    <row r="301" spans="1:13" x14ac:dyDescent="0.25">
      <c r="A301" s="146">
        <v>43690</v>
      </c>
      <c r="B301" s="11" t="s">
        <v>16</v>
      </c>
      <c r="C301" s="11" t="s">
        <v>92</v>
      </c>
      <c r="D301" s="11" t="s">
        <v>106</v>
      </c>
      <c r="E301" s="11" t="s">
        <v>11</v>
      </c>
      <c r="F301" s="11" t="s">
        <v>98</v>
      </c>
      <c r="G301" s="11" t="s">
        <v>68</v>
      </c>
      <c r="H301" s="108" t="s">
        <v>259</v>
      </c>
      <c r="I301" s="22"/>
      <c r="J301" s="108"/>
      <c r="K301" s="110">
        <v>1</v>
      </c>
      <c r="L301" s="259"/>
      <c r="M301" s="260" t="s">
        <v>400</v>
      </c>
    </row>
    <row r="302" spans="1:13" x14ac:dyDescent="0.25">
      <c r="A302" s="146">
        <v>43691</v>
      </c>
      <c r="B302" s="11" t="s">
        <v>16</v>
      </c>
      <c r="C302" s="11" t="s">
        <v>92</v>
      </c>
      <c r="D302" s="11" t="s">
        <v>106</v>
      </c>
      <c r="E302" s="11" t="s">
        <v>11</v>
      </c>
      <c r="F302" s="11" t="s">
        <v>98</v>
      </c>
      <c r="G302" s="11" t="s">
        <v>68</v>
      </c>
      <c r="H302" s="108" t="s">
        <v>259</v>
      </c>
      <c r="I302" s="22"/>
      <c r="J302" s="108"/>
      <c r="K302" s="110">
        <v>1</v>
      </c>
      <c r="L302" s="259"/>
      <c r="M302" s="260" t="s">
        <v>401</v>
      </c>
    </row>
    <row r="303" spans="1:13" x14ac:dyDescent="0.25">
      <c r="A303" s="146">
        <v>43692</v>
      </c>
      <c r="B303" s="11" t="s">
        <v>16</v>
      </c>
      <c r="C303" s="11" t="s">
        <v>92</v>
      </c>
      <c r="D303" s="11" t="s">
        <v>106</v>
      </c>
      <c r="E303" s="11" t="s">
        <v>11</v>
      </c>
      <c r="F303" s="11" t="s">
        <v>98</v>
      </c>
      <c r="G303" s="11" t="s">
        <v>68</v>
      </c>
      <c r="H303" s="108" t="s">
        <v>259</v>
      </c>
      <c r="I303" s="22"/>
      <c r="J303" s="108"/>
      <c r="K303" s="110">
        <v>1</v>
      </c>
      <c r="L303" s="259"/>
      <c r="M303" s="260" t="s">
        <v>403</v>
      </c>
    </row>
    <row r="304" spans="1:13" x14ac:dyDescent="0.25">
      <c r="A304" s="146">
        <v>43693</v>
      </c>
      <c r="B304" s="11" t="s">
        <v>16</v>
      </c>
      <c r="C304" s="11" t="s">
        <v>92</v>
      </c>
      <c r="D304" s="11" t="s">
        <v>106</v>
      </c>
      <c r="E304" s="11" t="s">
        <v>11</v>
      </c>
      <c r="F304" s="11" t="s">
        <v>98</v>
      </c>
      <c r="G304" s="11" t="s">
        <v>68</v>
      </c>
      <c r="H304" s="108" t="s">
        <v>259</v>
      </c>
      <c r="I304" s="22"/>
      <c r="J304" s="108"/>
      <c r="K304" s="110">
        <v>1</v>
      </c>
      <c r="L304" s="259"/>
      <c r="M304" s="260" t="s">
        <v>404</v>
      </c>
    </row>
    <row r="305" spans="1:13" x14ac:dyDescent="0.25">
      <c r="A305" s="146">
        <v>43694</v>
      </c>
      <c r="B305" s="11" t="s">
        <v>16</v>
      </c>
      <c r="C305" s="11" t="s">
        <v>92</v>
      </c>
      <c r="D305" s="11" t="s">
        <v>106</v>
      </c>
      <c r="E305" s="11" t="s">
        <v>11</v>
      </c>
      <c r="F305" s="11" t="s">
        <v>98</v>
      </c>
      <c r="G305" s="11" t="s">
        <v>68</v>
      </c>
      <c r="H305" s="108" t="s">
        <v>259</v>
      </c>
      <c r="I305" s="22"/>
      <c r="J305" s="108"/>
      <c r="K305" s="110">
        <v>1</v>
      </c>
      <c r="L305" s="259"/>
      <c r="M305" s="260" t="s">
        <v>405</v>
      </c>
    </row>
    <row r="306" spans="1:13" x14ac:dyDescent="0.25">
      <c r="A306" s="146">
        <v>43695</v>
      </c>
      <c r="B306" s="11" t="s">
        <v>16</v>
      </c>
      <c r="C306" s="11" t="s">
        <v>92</v>
      </c>
      <c r="D306" s="11" t="s">
        <v>106</v>
      </c>
      <c r="E306" s="11" t="s">
        <v>11</v>
      </c>
      <c r="F306" s="11" t="s">
        <v>98</v>
      </c>
      <c r="G306" s="11" t="s">
        <v>68</v>
      </c>
      <c r="H306" s="108" t="s">
        <v>259</v>
      </c>
      <c r="I306" s="22"/>
      <c r="J306" s="108"/>
      <c r="K306" s="110">
        <v>1</v>
      </c>
      <c r="L306" s="259"/>
      <c r="M306" s="260" t="s">
        <v>406</v>
      </c>
    </row>
    <row r="307" spans="1:13" x14ac:dyDescent="0.25">
      <c r="A307" s="146">
        <v>43696</v>
      </c>
      <c r="B307" s="11" t="s">
        <v>16</v>
      </c>
      <c r="C307" s="11" t="s">
        <v>92</v>
      </c>
      <c r="D307" s="11" t="s">
        <v>106</v>
      </c>
      <c r="E307" s="11" t="s">
        <v>11</v>
      </c>
      <c r="F307" s="11" t="s">
        <v>98</v>
      </c>
      <c r="G307" s="11" t="s">
        <v>68</v>
      </c>
      <c r="H307" s="108" t="s">
        <v>259</v>
      </c>
      <c r="I307" s="22"/>
      <c r="J307" s="108"/>
      <c r="K307" s="110">
        <v>1</v>
      </c>
      <c r="L307" s="259"/>
      <c r="M307" s="260" t="s">
        <v>407</v>
      </c>
    </row>
    <row r="308" spans="1:13" x14ac:dyDescent="0.25">
      <c r="A308" s="146">
        <v>43697</v>
      </c>
      <c r="B308" s="11" t="s">
        <v>16</v>
      </c>
      <c r="C308" s="11" t="s">
        <v>92</v>
      </c>
      <c r="D308" s="11" t="s">
        <v>106</v>
      </c>
      <c r="E308" s="11" t="s">
        <v>11</v>
      </c>
      <c r="F308" s="11" t="s">
        <v>98</v>
      </c>
      <c r="G308" s="11" t="s">
        <v>68</v>
      </c>
      <c r="H308" s="108" t="s">
        <v>259</v>
      </c>
      <c r="I308" s="22"/>
      <c r="J308" s="108"/>
      <c r="K308" s="110">
        <v>1</v>
      </c>
      <c r="L308" s="259"/>
      <c r="M308" s="260" t="s">
        <v>408</v>
      </c>
    </row>
    <row r="309" spans="1:13" x14ac:dyDescent="0.25">
      <c r="A309" s="146">
        <v>43698</v>
      </c>
      <c r="B309" s="11" t="s">
        <v>16</v>
      </c>
      <c r="C309" s="11" t="s">
        <v>92</v>
      </c>
      <c r="D309" s="11" t="s">
        <v>106</v>
      </c>
      <c r="E309" s="11" t="s">
        <v>11</v>
      </c>
      <c r="F309" s="11" t="s">
        <v>98</v>
      </c>
      <c r="G309" s="11" t="s">
        <v>68</v>
      </c>
      <c r="H309" s="108" t="s">
        <v>259</v>
      </c>
      <c r="I309" s="22"/>
      <c r="J309" s="108"/>
      <c r="K309" s="110">
        <v>1</v>
      </c>
      <c r="L309" s="259"/>
      <c r="M309" s="260" t="s">
        <v>409</v>
      </c>
    </row>
    <row r="310" spans="1:13" x14ac:dyDescent="0.25">
      <c r="A310" s="146">
        <v>43699</v>
      </c>
      <c r="B310" s="11" t="s">
        <v>16</v>
      </c>
      <c r="C310" s="11" t="s">
        <v>92</v>
      </c>
      <c r="D310" s="11" t="s">
        <v>106</v>
      </c>
      <c r="E310" s="11" t="s">
        <v>11</v>
      </c>
      <c r="F310" s="11" t="s">
        <v>98</v>
      </c>
      <c r="G310" s="11" t="s">
        <v>68</v>
      </c>
      <c r="H310" s="108" t="s">
        <v>259</v>
      </c>
      <c r="I310" s="22"/>
      <c r="J310" s="108"/>
      <c r="K310" s="110">
        <v>1</v>
      </c>
      <c r="L310" s="259"/>
      <c r="M310" s="260" t="s">
        <v>410</v>
      </c>
    </row>
    <row r="311" spans="1:13" x14ac:dyDescent="0.25">
      <c r="A311" s="146">
        <v>43700</v>
      </c>
      <c r="B311" s="11" t="s">
        <v>16</v>
      </c>
      <c r="C311" s="11" t="s">
        <v>92</v>
      </c>
      <c r="D311" s="11" t="s">
        <v>106</v>
      </c>
      <c r="E311" s="11" t="s">
        <v>11</v>
      </c>
      <c r="F311" s="11" t="s">
        <v>98</v>
      </c>
      <c r="G311" s="11" t="s">
        <v>68</v>
      </c>
      <c r="H311" s="108" t="s">
        <v>259</v>
      </c>
      <c r="I311" s="22"/>
      <c r="J311" s="108"/>
      <c r="K311" s="110">
        <v>1</v>
      </c>
      <c r="L311" s="259"/>
      <c r="M311" s="260" t="s">
        <v>411</v>
      </c>
    </row>
    <row r="312" spans="1:13" x14ac:dyDescent="0.25">
      <c r="A312" s="146">
        <v>43701</v>
      </c>
      <c r="B312" s="11" t="s">
        <v>16</v>
      </c>
      <c r="C312" s="11" t="s">
        <v>92</v>
      </c>
      <c r="D312" s="11" t="s">
        <v>106</v>
      </c>
      <c r="E312" s="11" t="s">
        <v>11</v>
      </c>
      <c r="F312" s="11" t="s">
        <v>98</v>
      </c>
      <c r="G312" s="11" t="s">
        <v>68</v>
      </c>
      <c r="H312" s="108" t="s">
        <v>259</v>
      </c>
      <c r="I312" s="22"/>
      <c r="J312" s="108"/>
      <c r="K312" s="110">
        <v>1</v>
      </c>
      <c r="L312" s="259"/>
      <c r="M312" s="260" t="s">
        <v>412</v>
      </c>
    </row>
    <row r="313" spans="1:13" x14ac:dyDescent="0.25">
      <c r="A313" s="146">
        <v>43702</v>
      </c>
      <c r="B313" s="11" t="s">
        <v>16</v>
      </c>
      <c r="C313" s="11" t="s">
        <v>92</v>
      </c>
      <c r="D313" s="11" t="s">
        <v>106</v>
      </c>
      <c r="E313" s="11" t="s">
        <v>11</v>
      </c>
      <c r="F313" s="11" t="s">
        <v>98</v>
      </c>
      <c r="G313" s="11" t="s">
        <v>68</v>
      </c>
      <c r="H313" s="108" t="s">
        <v>259</v>
      </c>
      <c r="I313" s="22"/>
      <c r="J313" s="108"/>
      <c r="K313" s="110">
        <v>1</v>
      </c>
      <c r="L313" s="259"/>
      <c r="M313" s="260" t="s">
        <v>413</v>
      </c>
    </row>
    <row r="314" spans="1:13" x14ac:dyDescent="0.25">
      <c r="A314" s="146">
        <v>43703</v>
      </c>
      <c r="B314" s="11" t="s">
        <v>16</v>
      </c>
      <c r="C314" s="11" t="s">
        <v>92</v>
      </c>
      <c r="D314" s="11" t="s">
        <v>106</v>
      </c>
      <c r="E314" s="11" t="s">
        <v>11</v>
      </c>
      <c r="F314" s="11" t="s">
        <v>98</v>
      </c>
      <c r="G314" s="11" t="s">
        <v>68</v>
      </c>
      <c r="H314" s="108" t="s">
        <v>259</v>
      </c>
      <c r="I314" s="22"/>
      <c r="J314" s="108"/>
      <c r="K314" s="110">
        <v>1</v>
      </c>
      <c r="L314" s="259"/>
      <c r="M314" s="260" t="s">
        <v>414</v>
      </c>
    </row>
    <row r="315" spans="1:13" x14ac:dyDescent="0.25">
      <c r="A315" s="146">
        <v>43704</v>
      </c>
      <c r="B315" s="11" t="s">
        <v>16</v>
      </c>
      <c r="C315" s="11" t="s">
        <v>92</v>
      </c>
      <c r="D315" s="11" t="s">
        <v>106</v>
      </c>
      <c r="E315" s="11" t="s">
        <v>11</v>
      </c>
      <c r="F315" s="11" t="s">
        <v>98</v>
      </c>
      <c r="G315" s="11" t="s">
        <v>68</v>
      </c>
      <c r="H315" s="108" t="s">
        <v>259</v>
      </c>
      <c r="I315" s="22"/>
      <c r="J315" s="108"/>
      <c r="K315" s="110">
        <v>1</v>
      </c>
      <c r="L315" s="259"/>
      <c r="M315" s="260" t="s">
        <v>415</v>
      </c>
    </row>
    <row r="316" spans="1:13" x14ac:dyDescent="0.25">
      <c r="A316" s="146">
        <v>43705</v>
      </c>
      <c r="B316" s="11" t="s">
        <v>16</v>
      </c>
      <c r="C316" s="11" t="s">
        <v>92</v>
      </c>
      <c r="D316" s="11" t="s">
        <v>106</v>
      </c>
      <c r="E316" s="11" t="s">
        <v>11</v>
      </c>
      <c r="F316" s="11" t="s">
        <v>98</v>
      </c>
      <c r="G316" s="11" t="s">
        <v>68</v>
      </c>
      <c r="H316" s="108" t="s">
        <v>259</v>
      </c>
      <c r="I316" s="22"/>
      <c r="J316" s="108"/>
      <c r="K316" s="110">
        <v>1</v>
      </c>
      <c r="L316" s="259"/>
      <c r="M316" s="260" t="s">
        <v>416</v>
      </c>
    </row>
    <row r="317" spans="1:13" x14ac:dyDescent="0.25">
      <c r="A317" s="146">
        <v>43706</v>
      </c>
      <c r="B317" s="11" t="s">
        <v>16</v>
      </c>
      <c r="C317" s="11" t="s">
        <v>92</v>
      </c>
      <c r="D317" s="11" t="s">
        <v>106</v>
      </c>
      <c r="E317" s="11" t="s">
        <v>11</v>
      </c>
      <c r="F317" s="11" t="s">
        <v>98</v>
      </c>
      <c r="G317" s="11" t="s">
        <v>68</v>
      </c>
      <c r="H317" s="108" t="s">
        <v>259</v>
      </c>
      <c r="I317" s="22"/>
      <c r="J317" s="108"/>
      <c r="K317" s="110">
        <v>1</v>
      </c>
      <c r="L317" s="259"/>
      <c r="M317" s="260" t="s">
        <v>417</v>
      </c>
    </row>
    <row r="318" spans="1:13" x14ac:dyDescent="0.25">
      <c r="A318" s="146">
        <v>43707</v>
      </c>
      <c r="B318" s="11" t="s">
        <v>16</v>
      </c>
      <c r="C318" s="11" t="s">
        <v>92</v>
      </c>
      <c r="D318" s="11" t="s">
        <v>106</v>
      </c>
      <c r="E318" s="11" t="s">
        <v>11</v>
      </c>
      <c r="F318" s="11" t="s">
        <v>98</v>
      </c>
      <c r="G318" s="11" t="s">
        <v>68</v>
      </c>
      <c r="H318" s="108" t="s">
        <v>259</v>
      </c>
      <c r="I318" s="22"/>
      <c r="J318" s="108"/>
      <c r="K318" s="110">
        <v>1</v>
      </c>
      <c r="L318" s="259"/>
      <c r="M318" s="260" t="s">
        <v>418</v>
      </c>
    </row>
    <row r="319" spans="1:13" x14ac:dyDescent="0.25">
      <c r="A319" s="146">
        <v>43708</v>
      </c>
      <c r="B319" s="11" t="s">
        <v>16</v>
      </c>
      <c r="C319" s="11" t="s">
        <v>92</v>
      </c>
      <c r="D319" s="11" t="s">
        <v>106</v>
      </c>
      <c r="E319" s="11" t="s">
        <v>11</v>
      </c>
      <c r="F319" s="11" t="s">
        <v>98</v>
      </c>
      <c r="G319" s="11" t="s">
        <v>68</v>
      </c>
      <c r="H319" s="108" t="s">
        <v>259</v>
      </c>
      <c r="I319" s="22"/>
      <c r="J319" s="108"/>
      <c r="K319" s="110">
        <v>1</v>
      </c>
      <c r="L319" s="259"/>
      <c r="M319" s="260" t="s">
        <v>419</v>
      </c>
    </row>
    <row r="320" spans="1:13" x14ac:dyDescent="0.25">
      <c r="A320" s="146">
        <v>43684</v>
      </c>
      <c r="B320" s="11" t="s">
        <v>235</v>
      </c>
      <c r="C320" s="11" t="s">
        <v>289</v>
      </c>
      <c r="D320" s="11" t="s">
        <v>125</v>
      </c>
      <c r="E320" s="11" t="s">
        <v>126</v>
      </c>
      <c r="F320" s="11" t="s">
        <v>98</v>
      </c>
      <c r="G320" s="11" t="s">
        <v>76</v>
      </c>
      <c r="H320" s="108">
        <v>60.95</v>
      </c>
      <c r="I320" s="22"/>
      <c r="J320" s="108"/>
      <c r="K320" s="110">
        <v>1</v>
      </c>
      <c r="L320" s="259"/>
      <c r="M320" s="260" t="s">
        <v>455</v>
      </c>
    </row>
    <row r="321" spans="1:13" x14ac:dyDescent="0.25">
      <c r="A321" s="146">
        <v>43684</v>
      </c>
      <c r="B321" s="11" t="s">
        <v>235</v>
      </c>
      <c r="C321" s="11" t="s">
        <v>290</v>
      </c>
      <c r="D321" s="11" t="s">
        <v>125</v>
      </c>
      <c r="E321" s="11" t="s">
        <v>126</v>
      </c>
      <c r="F321" s="11" t="s">
        <v>98</v>
      </c>
      <c r="G321" s="11" t="s">
        <v>76</v>
      </c>
      <c r="H321" s="108">
        <v>78.459999999999994</v>
      </c>
      <c r="I321" s="22"/>
      <c r="J321" s="108"/>
      <c r="K321" s="110">
        <v>1</v>
      </c>
      <c r="L321" s="259"/>
      <c r="M321" s="260" t="s">
        <v>456</v>
      </c>
    </row>
    <row r="322" spans="1:13" x14ac:dyDescent="0.25">
      <c r="A322" s="146">
        <v>43684</v>
      </c>
      <c r="B322" s="11" t="s">
        <v>235</v>
      </c>
      <c r="C322" s="11" t="s">
        <v>300</v>
      </c>
      <c r="D322" s="11" t="s">
        <v>125</v>
      </c>
      <c r="E322" s="11" t="s">
        <v>126</v>
      </c>
      <c r="F322" s="11" t="s">
        <v>98</v>
      </c>
      <c r="G322" s="11" t="s">
        <v>76</v>
      </c>
      <c r="H322" s="108">
        <v>61.67</v>
      </c>
      <c r="I322" s="22"/>
      <c r="J322" s="108"/>
      <c r="K322" s="110">
        <v>1</v>
      </c>
      <c r="L322" s="259"/>
      <c r="M322" s="260" t="s">
        <v>457</v>
      </c>
    </row>
    <row r="323" spans="1:13" x14ac:dyDescent="0.25">
      <c r="A323" s="146">
        <v>43684</v>
      </c>
      <c r="B323" s="11" t="s">
        <v>235</v>
      </c>
      <c r="C323" s="11" t="s">
        <v>303</v>
      </c>
      <c r="D323" s="11" t="s">
        <v>125</v>
      </c>
      <c r="E323" s="11" t="s">
        <v>126</v>
      </c>
      <c r="F323" s="11" t="s">
        <v>98</v>
      </c>
      <c r="G323" s="11" t="s">
        <v>76</v>
      </c>
      <c r="H323" s="108">
        <v>62.04</v>
      </c>
      <c r="I323" s="22"/>
      <c r="J323" s="108"/>
      <c r="K323" s="110">
        <v>1</v>
      </c>
      <c r="L323" s="259"/>
      <c r="M323" s="260" t="s">
        <v>458</v>
      </c>
    </row>
    <row r="324" spans="1:13" x14ac:dyDescent="0.25">
      <c r="A324" s="146">
        <v>43684</v>
      </c>
      <c r="B324" s="11" t="s">
        <v>235</v>
      </c>
      <c r="C324" s="11" t="s">
        <v>302</v>
      </c>
      <c r="D324" s="11" t="s">
        <v>125</v>
      </c>
      <c r="E324" s="11" t="s">
        <v>126</v>
      </c>
      <c r="F324" s="11" t="s">
        <v>98</v>
      </c>
      <c r="G324" s="11" t="s">
        <v>76</v>
      </c>
      <c r="H324" s="108">
        <v>78.7</v>
      </c>
      <c r="I324" s="22"/>
      <c r="J324" s="108"/>
      <c r="K324" s="110">
        <v>1</v>
      </c>
      <c r="L324" s="259"/>
      <c r="M324" s="260" t="s">
        <v>459</v>
      </c>
    </row>
    <row r="325" spans="1:13" x14ac:dyDescent="0.25">
      <c r="A325" s="146">
        <v>43684</v>
      </c>
      <c r="B325" s="11" t="s">
        <v>235</v>
      </c>
      <c r="C325" s="11" t="s">
        <v>286</v>
      </c>
      <c r="D325" s="11" t="s">
        <v>125</v>
      </c>
      <c r="E325" s="11" t="s">
        <v>126</v>
      </c>
      <c r="F325" s="11" t="s">
        <v>98</v>
      </c>
      <c r="G325" s="11" t="s">
        <v>76</v>
      </c>
      <c r="H325" s="108">
        <v>57.63</v>
      </c>
      <c r="I325" s="22"/>
      <c r="J325" s="108"/>
      <c r="K325" s="110">
        <v>1</v>
      </c>
      <c r="L325" s="259"/>
      <c r="M325" s="260" t="s">
        <v>460</v>
      </c>
    </row>
    <row r="326" spans="1:13" x14ac:dyDescent="0.25">
      <c r="A326" s="146">
        <v>43685</v>
      </c>
      <c r="B326" s="11" t="s">
        <v>235</v>
      </c>
      <c r="C326" s="11" t="s">
        <v>304</v>
      </c>
      <c r="D326" s="11" t="s">
        <v>125</v>
      </c>
      <c r="E326" s="11" t="s">
        <v>126</v>
      </c>
      <c r="F326" s="11" t="s">
        <v>98</v>
      </c>
      <c r="G326" s="11" t="s">
        <v>76</v>
      </c>
      <c r="H326" s="108">
        <v>36.200000000000003</v>
      </c>
      <c r="I326" s="22"/>
      <c r="J326" s="108"/>
      <c r="K326" s="110">
        <v>1</v>
      </c>
      <c r="L326" s="259"/>
      <c r="M326" s="260" t="s">
        <v>461</v>
      </c>
    </row>
    <row r="327" spans="1:13" x14ac:dyDescent="0.25">
      <c r="A327" s="146">
        <v>43685</v>
      </c>
      <c r="B327" s="11" t="s">
        <v>235</v>
      </c>
      <c r="C327" s="11" t="s">
        <v>291</v>
      </c>
      <c r="D327" s="11" t="s">
        <v>125</v>
      </c>
      <c r="E327" s="11" t="s">
        <v>126</v>
      </c>
      <c r="F327" s="11" t="s">
        <v>98</v>
      </c>
      <c r="G327" s="11" t="s">
        <v>76</v>
      </c>
      <c r="H327" s="108">
        <v>39.67</v>
      </c>
      <c r="I327" s="22"/>
      <c r="J327" s="108"/>
      <c r="K327" s="110">
        <v>1</v>
      </c>
      <c r="L327" s="259"/>
      <c r="M327" s="260" t="s">
        <v>462</v>
      </c>
    </row>
    <row r="328" spans="1:13" x14ac:dyDescent="0.25">
      <c r="A328" s="146">
        <v>43684</v>
      </c>
      <c r="B328" s="11" t="s">
        <v>235</v>
      </c>
      <c r="C328" s="11" t="s">
        <v>289</v>
      </c>
      <c r="D328" s="11" t="s">
        <v>287</v>
      </c>
      <c r="E328" s="11" t="s">
        <v>288</v>
      </c>
      <c r="F328" s="11" t="s">
        <v>98</v>
      </c>
      <c r="G328" s="11" t="s">
        <v>89</v>
      </c>
      <c r="H328" s="108">
        <v>0</v>
      </c>
      <c r="I328" s="22"/>
      <c r="J328" s="108">
        <v>5.4</v>
      </c>
      <c r="K328" s="110">
        <v>1</v>
      </c>
      <c r="L328" s="259">
        <v>5.4</v>
      </c>
      <c r="M328" s="260" t="s">
        <v>455</v>
      </c>
    </row>
    <row r="329" spans="1:13" x14ac:dyDescent="0.25">
      <c r="A329" s="146">
        <v>43684</v>
      </c>
      <c r="B329" s="11" t="s">
        <v>235</v>
      </c>
      <c r="C329" s="11" t="s">
        <v>286</v>
      </c>
      <c r="D329" s="11" t="s">
        <v>287</v>
      </c>
      <c r="E329" s="11" t="s">
        <v>288</v>
      </c>
      <c r="F329" s="11" t="s">
        <v>98</v>
      </c>
      <c r="G329" s="11" t="s">
        <v>89</v>
      </c>
      <c r="H329" s="108">
        <v>1.7</v>
      </c>
      <c r="I329" s="22"/>
      <c r="J329" s="108">
        <v>5</v>
      </c>
      <c r="K329" s="110">
        <v>1</v>
      </c>
      <c r="L329" s="259">
        <v>5</v>
      </c>
      <c r="M329" s="260" t="s">
        <v>460</v>
      </c>
    </row>
    <row r="330" spans="1:13" x14ac:dyDescent="0.25">
      <c r="A330" s="146">
        <v>43684</v>
      </c>
      <c r="B330" s="11" t="s">
        <v>235</v>
      </c>
      <c r="C330" s="11" t="s">
        <v>290</v>
      </c>
      <c r="D330" s="11" t="s">
        <v>287</v>
      </c>
      <c r="E330" s="11" t="s">
        <v>288</v>
      </c>
      <c r="F330" s="11" t="s">
        <v>98</v>
      </c>
      <c r="G330" s="11" t="s">
        <v>89</v>
      </c>
      <c r="H330" s="108">
        <v>1.7</v>
      </c>
      <c r="I330" s="22"/>
      <c r="J330" s="108">
        <v>5.2</v>
      </c>
      <c r="K330" s="110">
        <v>1</v>
      </c>
      <c r="L330" s="259">
        <v>5.2</v>
      </c>
      <c r="M330" s="260" t="s">
        <v>456</v>
      </c>
    </row>
    <row r="331" spans="1:13" x14ac:dyDescent="0.25">
      <c r="A331" s="146">
        <v>43685</v>
      </c>
      <c r="B331" s="11" t="s">
        <v>235</v>
      </c>
      <c r="C331" s="11" t="s">
        <v>291</v>
      </c>
      <c r="D331" s="11" t="s">
        <v>287</v>
      </c>
      <c r="E331" s="11" t="s">
        <v>288</v>
      </c>
      <c r="F331" s="11" t="s">
        <v>98</v>
      </c>
      <c r="G331" s="11" t="s">
        <v>89</v>
      </c>
      <c r="H331" s="108">
        <v>0</v>
      </c>
      <c r="I331" s="22"/>
      <c r="J331" s="108">
        <v>4.9000000000000004</v>
      </c>
      <c r="K331" s="110">
        <v>1</v>
      </c>
      <c r="L331" s="259">
        <v>4.9000000000000004</v>
      </c>
      <c r="M331" s="260" t="s">
        <v>462</v>
      </c>
    </row>
    <row r="332" spans="1:13" x14ac:dyDescent="0.25">
      <c r="A332" s="146">
        <v>43684</v>
      </c>
      <c r="B332" s="11" t="s">
        <v>235</v>
      </c>
      <c r="C332" s="11" t="s">
        <v>286</v>
      </c>
      <c r="D332" s="11" t="s">
        <v>292</v>
      </c>
      <c r="E332" s="11" t="s">
        <v>293</v>
      </c>
      <c r="F332" s="11" t="s">
        <v>98</v>
      </c>
      <c r="G332" s="11" t="s">
        <v>89</v>
      </c>
      <c r="H332" s="108">
        <v>0</v>
      </c>
      <c r="I332" s="22"/>
      <c r="J332" s="108">
        <v>5</v>
      </c>
      <c r="K332" s="110">
        <v>1</v>
      </c>
      <c r="L332" s="259">
        <v>5</v>
      </c>
      <c r="M332" s="260" t="s">
        <v>460</v>
      </c>
    </row>
    <row r="333" spans="1:13" x14ac:dyDescent="0.25">
      <c r="A333" s="146">
        <v>43684</v>
      </c>
      <c r="B333" s="11" t="s">
        <v>235</v>
      </c>
      <c r="C333" s="11" t="s">
        <v>289</v>
      </c>
      <c r="D333" s="11" t="s">
        <v>292</v>
      </c>
      <c r="E333" s="11" t="s">
        <v>293</v>
      </c>
      <c r="F333" s="11" t="s">
        <v>98</v>
      </c>
      <c r="G333" s="11" t="s">
        <v>89</v>
      </c>
      <c r="H333" s="108">
        <v>0</v>
      </c>
      <c r="I333" s="22"/>
      <c r="J333" s="108">
        <v>5.4</v>
      </c>
      <c r="K333" s="110">
        <v>1</v>
      </c>
      <c r="L333" s="259">
        <v>5.4</v>
      </c>
      <c r="M333" s="260" t="s">
        <v>455</v>
      </c>
    </row>
    <row r="334" spans="1:13" x14ac:dyDescent="0.25">
      <c r="A334" s="146">
        <v>43684</v>
      </c>
      <c r="B334" s="11" t="s">
        <v>235</v>
      </c>
      <c r="C334" s="11" t="s">
        <v>290</v>
      </c>
      <c r="D334" s="11" t="s">
        <v>292</v>
      </c>
      <c r="E334" s="11" t="s">
        <v>293</v>
      </c>
      <c r="F334" s="11" t="s">
        <v>98</v>
      </c>
      <c r="G334" s="11" t="s">
        <v>89</v>
      </c>
      <c r="H334" s="108">
        <v>0</v>
      </c>
      <c r="I334" s="22"/>
      <c r="J334" s="108">
        <v>5.2</v>
      </c>
      <c r="K334" s="110">
        <v>1</v>
      </c>
      <c r="L334" s="259">
        <v>5.2</v>
      </c>
      <c r="M334" s="260" t="s">
        <v>456</v>
      </c>
    </row>
    <row r="335" spans="1:13" x14ac:dyDescent="0.25">
      <c r="A335" s="146">
        <v>43685</v>
      </c>
      <c r="B335" s="11" t="s">
        <v>235</v>
      </c>
      <c r="C335" s="11" t="s">
        <v>291</v>
      </c>
      <c r="D335" s="11" t="s">
        <v>292</v>
      </c>
      <c r="E335" s="11" t="s">
        <v>293</v>
      </c>
      <c r="F335" s="11" t="s">
        <v>98</v>
      </c>
      <c r="G335" s="11" t="s">
        <v>89</v>
      </c>
      <c r="H335" s="108">
        <v>0</v>
      </c>
      <c r="I335" s="22"/>
      <c r="J335" s="108">
        <v>4.9000000000000004</v>
      </c>
      <c r="K335" s="110">
        <v>1</v>
      </c>
      <c r="L335" s="259">
        <v>4.9000000000000004</v>
      </c>
      <c r="M335" s="260" t="s">
        <v>462</v>
      </c>
    </row>
    <row r="336" spans="1:13" x14ac:dyDescent="0.25">
      <c r="A336" s="146">
        <v>43684</v>
      </c>
      <c r="B336" s="11" t="s">
        <v>235</v>
      </c>
      <c r="C336" s="11" t="s">
        <v>302</v>
      </c>
      <c r="D336" s="11" t="s">
        <v>301</v>
      </c>
      <c r="E336" s="11" t="s">
        <v>279</v>
      </c>
      <c r="F336" s="11" t="s">
        <v>98</v>
      </c>
      <c r="G336" s="11" t="s">
        <v>99</v>
      </c>
      <c r="H336" s="108">
        <v>0</v>
      </c>
      <c r="I336" s="22"/>
      <c r="J336" s="108">
        <v>0.1</v>
      </c>
      <c r="K336" s="110">
        <v>3</v>
      </c>
      <c r="L336" s="259">
        <v>0.3</v>
      </c>
      <c r="M336" s="260" t="s">
        <v>459</v>
      </c>
    </row>
    <row r="337" spans="1:13" x14ac:dyDescent="0.25">
      <c r="A337" s="146">
        <v>43684</v>
      </c>
      <c r="B337" s="11" t="s">
        <v>235</v>
      </c>
      <c r="C337" s="11" t="s">
        <v>300</v>
      </c>
      <c r="D337" s="11" t="s">
        <v>301</v>
      </c>
      <c r="E337" s="11" t="s">
        <v>279</v>
      </c>
      <c r="F337" s="11" t="s">
        <v>98</v>
      </c>
      <c r="G337" s="11" t="s">
        <v>99</v>
      </c>
      <c r="H337" s="108">
        <v>0</v>
      </c>
      <c r="I337" s="22"/>
      <c r="J337" s="108">
        <v>0.1</v>
      </c>
      <c r="K337" s="110">
        <v>3</v>
      </c>
      <c r="L337" s="259">
        <v>0.3</v>
      </c>
      <c r="M337" s="260" t="s">
        <v>457</v>
      </c>
    </row>
    <row r="338" spans="1:13" x14ac:dyDescent="0.25">
      <c r="A338" s="146">
        <v>43684</v>
      </c>
      <c r="B338" s="11" t="s">
        <v>235</v>
      </c>
      <c r="C338" s="11" t="s">
        <v>303</v>
      </c>
      <c r="D338" s="11" t="s">
        <v>301</v>
      </c>
      <c r="E338" s="11" t="s">
        <v>279</v>
      </c>
      <c r="F338" s="11" t="s">
        <v>98</v>
      </c>
      <c r="G338" s="11" t="s">
        <v>99</v>
      </c>
      <c r="H338" s="108">
        <v>0</v>
      </c>
      <c r="I338" s="22"/>
      <c r="J338" s="108">
        <v>0.1</v>
      </c>
      <c r="K338" s="110">
        <v>3</v>
      </c>
      <c r="L338" s="259">
        <v>0.3</v>
      </c>
      <c r="M338" s="260" t="s">
        <v>458</v>
      </c>
    </row>
    <row r="339" spans="1:13" x14ac:dyDescent="0.25">
      <c r="A339" s="146">
        <v>43685</v>
      </c>
      <c r="B339" s="11" t="s">
        <v>235</v>
      </c>
      <c r="C339" s="11" t="s">
        <v>304</v>
      </c>
      <c r="D339" s="11" t="s">
        <v>301</v>
      </c>
      <c r="E339" s="11" t="s">
        <v>279</v>
      </c>
      <c r="F339" s="11" t="s">
        <v>98</v>
      </c>
      <c r="G339" s="11" t="s">
        <v>99</v>
      </c>
      <c r="H339" s="108">
        <v>0</v>
      </c>
      <c r="I339" s="22"/>
      <c r="J339" s="108">
        <v>0.1</v>
      </c>
      <c r="K339" s="110">
        <v>3</v>
      </c>
      <c r="L339" s="259">
        <v>0.3</v>
      </c>
      <c r="M339" s="260" t="s">
        <v>461</v>
      </c>
    </row>
    <row r="340" spans="1:13" x14ac:dyDescent="0.25">
      <c r="A340" s="146">
        <v>43674</v>
      </c>
      <c r="B340" s="11" t="s">
        <v>17</v>
      </c>
      <c r="C340" s="11" t="s">
        <v>107</v>
      </c>
      <c r="D340" s="11" t="s">
        <v>93</v>
      </c>
      <c r="E340" s="11" t="s">
        <v>7</v>
      </c>
      <c r="F340" s="11" t="s">
        <v>88</v>
      </c>
      <c r="G340" s="11" t="s">
        <v>89</v>
      </c>
      <c r="H340" s="108">
        <v>3</v>
      </c>
      <c r="I340" s="22"/>
      <c r="J340" s="108">
        <v>0</v>
      </c>
      <c r="K340" s="110">
        <v>1</v>
      </c>
      <c r="L340" s="259">
        <v>0</v>
      </c>
      <c r="M340" s="260" t="s">
        <v>463</v>
      </c>
    </row>
    <row r="341" spans="1:13" x14ac:dyDescent="0.25">
      <c r="A341" s="146">
        <v>43675</v>
      </c>
      <c r="B341" s="11" t="s">
        <v>17</v>
      </c>
      <c r="C341" s="11" t="s">
        <v>107</v>
      </c>
      <c r="D341" s="11" t="s">
        <v>93</v>
      </c>
      <c r="E341" s="11" t="s">
        <v>7</v>
      </c>
      <c r="F341" s="11" t="s">
        <v>88</v>
      </c>
      <c r="G341" s="11" t="s">
        <v>89</v>
      </c>
      <c r="H341" s="108">
        <v>3</v>
      </c>
      <c r="I341" s="22"/>
      <c r="J341" s="108">
        <v>0</v>
      </c>
      <c r="K341" s="110">
        <v>1</v>
      </c>
      <c r="L341" s="259">
        <v>0</v>
      </c>
      <c r="M341" s="260" t="s">
        <v>464</v>
      </c>
    </row>
    <row r="342" spans="1:13" x14ac:dyDescent="0.25">
      <c r="A342" s="146">
        <v>43676</v>
      </c>
      <c r="B342" s="11" t="s">
        <v>17</v>
      </c>
      <c r="C342" s="11" t="s">
        <v>107</v>
      </c>
      <c r="D342" s="11" t="s">
        <v>93</v>
      </c>
      <c r="E342" s="11" t="s">
        <v>7</v>
      </c>
      <c r="F342" s="11" t="s">
        <v>88</v>
      </c>
      <c r="G342" s="11" t="s">
        <v>89</v>
      </c>
      <c r="H342" s="108">
        <v>4</v>
      </c>
      <c r="I342" s="22"/>
      <c r="J342" s="108">
        <v>0</v>
      </c>
      <c r="K342" s="110">
        <v>1</v>
      </c>
      <c r="L342" s="259">
        <v>0</v>
      </c>
      <c r="M342" s="260" t="s">
        <v>465</v>
      </c>
    </row>
    <row r="343" spans="1:13" x14ac:dyDescent="0.25">
      <c r="A343" s="146">
        <v>43677</v>
      </c>
      <c r="B343" s="11" t="s">
        <v>17</v>
      </c>
      <c r="C343" s="11" t="s">
        <v>107</v>
      </c>
      <c r="D343" s="11" t="s">
        <v>93</v>
      </c>
      <c r="E343" s="11" t="s">
        <v>7</v>
      </c>
      <c r="F343" s="11" t="s">
        <v>88</v>
      </c>
      <c r="G343" s="11" t="s">
        <v>89</v>
      </c>
      <c r="H343" s="108">
        <v>4</v>
      </c>
      <c r="I343" s="22"/>
      <c r="J343" s="108">
        <v>0</v>
      </c>
      <c r="K343" s="110">
        <v>1</v>
      </c>
      <c r="L343" s="259">
        <v>0</v>
      </c>
      <c r="M343" s="260" t="s">
        <v>466</v>
      </c>
    </row>
    <row r="344" spans="1:13" x14ac:dyDescent="0.25">
      <c r="A344" s="146">
        <v>43678</v>
      </c>
      <c r="B344" s="11" t="s">
        <v>17</v>
      </c>
      <c r="C344" s="11" t="s">
        <v>107</v>
      </c>
      <c r="D344" s="11" t="s">
        <v>93</v>
      </c>
      <c r="E344" s="11" t="s">
        <v>7</v>
      </c>
      <c r="F344" s="11" t="s">
        <v>88</v>
      </c>
      <c r="G344" s="11" t="s">
        <v>89</v>
      </c>
      <c r="H344" s="108">
        <v>4</v>
      </c>
      <c r="I344" s="22"/>
      <c r="J344" s="108">
        <v>0</v>
      </c>
      <c r="K344" s="110">
        <v>1</v>
      </c>
      <c r="L344" s="259">
        <v>0</v>
      </c>
      <c r="M344" s="260" t="s">
        <v>467</v>
      </c>
    </row>
    <row r="345" spans="1:13" x14ac:dyDescent="0.25">
      <c r="A345" s="146">
        <v>43679</v>
      </c>
      <c r="B345" s="11" t="s">
        <v>17</v>
      </c>
      <c r="C345" s="11" t="s">
        <v>107</v>
      </c>
      <c r="D345" s="11" t="s">
        <v>93</v>
      </c>
      <c r="E345" s="11" t="s">
        <v>7</v>
      </c>
      <c r="F345" s="11" t="s">
        <v>88</v>
      </c>
      <c r="G345" s="11" t="s">
        <v>89</v>
      </c>
      <c r="H345" s="108">
        <v>4</v>
      </c>
      <c r="I345" s="22"/>
      <c r="J345" s="108">
        <v>0</v>
      </c>
      <c r="K345" s="110">
        <v>1</v>
      </c>
      <c r="L345" s="259">
        <v>0</v>
      </c>
      <c r="M345" s="260" t="s">
        <v>468</v>
      </c>
    </row>
    <row r="346" spans="1:13" x14ac:dyDescent="0.25">
      <c r="A346" s="146">
        <v>43680</v>
      </c>
      <c r="B346" s="11" t="s">
        <v>17</v>
      </c>
      <c r="C346" s="11" t="s">
        <v>107</v>
      </c>
      <c r="D346" s="11" t="s">
        <v>93</v>
      </c>
      <c r="E346" s="11" t="s">
        <v>7</v>
      </c>
      <c r="F346" s="11" t="s">
        <v>88</v>
      </c>
      <c r="G346" s="11" t="s">
        <v>89</v>
      </c>
      <c r="H346" s="108" t="s">
        <v>258</v>
      </c>
      <c r="I346" s="22">
        <v>-19</v>
      </c>
      <c r="J346" s="108">
        <v>0</v>
      </c>
      <c r="K346" s="110">
        <v>1</v>
      </c>
      <c r="L346" s="259">
        <v>0</v>
      </c>
      <c r="M346" s="260" t="s">
        <v>469</v>
      </c>
    </row>
    <row r="347" spans="1:13" x14ac:dyDescent="0.25">
      <c r="A347" s="146">
        <v>43681</v>
      </c>
      <c r="B347" s="11" t="s">
        <v>17</v>
      </c>
      <c r="C347" s="11" t="s">
        <v>107</v>
      </c>
      <c r="D347" s="11" t="s">
        <v>93</v>
      </c>
      <c r="E347" s="11" t="s">
        <v>7</v>
      </c>
      <c r="F347" s="11" t="s">
        <v>88</v>
      </c>
      <c r="G347" s="11" t="s">
        <v>89</v>
      </c>
      <c r="H347" s="108">
        <v>5</v>
      </c>
      <c r="I347" s="22"/>
      <c r="J347" s="108">
        <v>0</v>
      </c>
      <c r="K347" s="110">
        <v>1</v>
      </c>
      <c r="L347" s="259">
        <v>0</v>
      </c>
      <c r="M347" s="260" t="s">
        <v>470</v>
      </c>
    </row>
    <row r="348" spans="1:13" x14ac:dyDescent="0.25">
      <c r="A348" s="146">
        <v>43682</v>
      </c>
      <c r="B348" s="11" t="s">
        <v>17</v>
      </c>
      <c r="C348" s="11" t="s">
        <v>107</v>
      </c>
      <c r="D348" s="11" t="s">
        <v>93</v>
      </c>
      <c r="E348" s="11" t="s">
        <v>7</v>
      </c>
      <c r="F348" s="11" t="s">
        <v>88</v>
      </c>
      <c r="G348" s="11" t="s">
        <v>89</v>
      </c>
      <c r="H348" s="108">
        <v>5</v>
      </c>
      <c r="I348" s="22" t="s">
        <v>94</v>
      </c>
      <c r="J348" s="108">
        <v>0</v>
      </c>
      <c r="K348" s="110">
        <v>1</v>
      </c>
      <c r="L348" s="259">
        <v>0</v>
      </c>
      <c r="M348" s="260" t="s">
        <v>471</v>
      </c>
    </row>
    <row r="349" spans="1:13" x14ac:dyDescent="0.25">
      <c r="A349" s="146">
        <v>43683</v>
      </c>
      <c r="B349" s="11" t="s">
        <v>17</v>
      </c>
      <c r="C349" s="11" t="s">
        <v>107</v>
      </c>
      <c r="D349" s="11" t="s">
        <v>93</v>
      </c>
      <c r="E349" s="11" t="s">
        <v>7</v>
      </c>
      <c r="F349" s="11" t="s">
        <v>88</v>
      </c>
      <c r="G349" s="11" t="s">
        <v>89</v>
      </c>
      <c r="H349" s="108">
        <v>3</v>
      </c>
      <c r="I349" s="22"/>
      <c r="J349" s="108">
        <v>0</v>
      </c>
      <c r="K349" s="110">
        <v>1</v>
      </c>
      <c r="L349" s="259">
        <v>0</v>
      </c>
      <c r="M349" s="260" t="s">
        <v>472</v>
      </c>
    </row>
    <row r="350" spans="1:13" x14ac:dyDescent="0.25">
      <c r="A350" s="146">
        <v>43684</v>
      </c>
      <c r="B350" s="11" t="s">
        <v>17</v>
      </c>
      <c r="C350" s="11" t="s">
        <v>107</v>
      </c>
      <c r="D350" s="11" t="s">
        <v>93</v>
      </c>
      <c r="E350" s="11" t="s">
        <v>7</v>
      </c>
      <c r="F350" s="11" t="s">
        <v>88</v>
      </c>
      <c r="G350" s="11" t="s">
        <v>89</v>
      </c>
      <c r="H350" s="108">
        <v>3</v>
      </c>
      <c r="I350" s="22"/>
      <c r="J350" s="108">
        <v>0</v>
      </c>
      <c r="K350" s="110">
        <v>1</v>
      </c>
      <c r="L350" s="259">
        <v>0</v>
      </c>
      <c r="M350" s="260" t="s">
        <v>473</v>
      </c>
    </row>
    <row r="351" spans="1:13" x14ac:dyDescent="0.25">
      <c r="A351" s="146">
        <v>43685</v>
      </c>
      <c r="B351" s="11" t="s">
        <v>17</v>
      </c>
      <c r="C351" s="11" t="s">
        <v>107</v>
      </c>
      <c r="D351" s="11" t="s">
        <v>93</v>
      </c>
      <c r="E351" s="11" t="s">
        <v>7</v>
      </c>
      <c r="F351" s="11" t="s">
        <v>88</v>
      </c>
      <c r="G351" s="11" t="s">
        <v>89</v>
      </c>
      <c r="H351" s="108">
        <v>3</v>
      </c>
      <c r="I351" s="22"/>
      <c r="J351" s="108">
        <v>0</v>
      </c>
      <c r="K351" s="110">
        <v>1</v>
      </c>
      <c r="L351" s="259">
        <v>0</v>
      </c>
      <c r="M351" s="260" t="s">
        <v>474</v>
      </c>
    </row>
    <row r="352" spans="1:13" x14ac:dyDescent="0.25">
      <c r="A352" s="146">
        <v>43686</v>
      </c>
      <c r="B352" s="11" t="s">
        <v>17</v>
      </c>
      <c r="C352" s="11" t="s">
        <v>107</v>
      </c>
      <c r="D352" s="11" t="s">
        <v>93</v>
      </c>
      <c r="E352" s="11" t="s">
        <v>7</v>
      </c>
      <c r="F352" s="11" t="s">
        <v>88</v>
      </c>
      <c r="G352" s="11" t="s">
        <v>89</v>
      </c>
      <c r="H352" s="108" t="s">
        <v>258</v>
      </c>
      <c r="I352" s="22">
        <v>-19</v>
      </c>
      <c r="J352" s="108">
        <v>0</v>
      </c>
      <c r="K352" s="110">
        <v>1</v>
      </c>
      <c r="L352" s="259">
        <v>0</v>
      </c>
      <c r="M352" s="260" t="s">
        <v>475</v>
      </c>
    </row>
    <row r="353" spans="1:13" x14ac:dyDescent="0.25">
      <c r="A353" s="146">
        <v>43687</v>
      </c>
      <c r="B353" s="11" t="s">
        <v>17</v>
      </c>
      <c r="C353" s="11" t="s">
        <v>107</v>
      </c>
      <c r="D353" s="11" t="s">
        <v>93</v>
      </c>
      <c r="E353" s="11" t="s">
        <v>7</v>
      </c>
      <c r="F353" s="11" t="s">
        <v>88</v>
      </c>
      <c r="G353" s="11" t="s">
        <v>89</v>
      </c>
      <c r="H353" s="108">
        <v>5</v>
      </c>
      <c r="I353" s="22"/>
      <c r="J353" s="108">
        <v>0</v>
      </c>
      <c r="K353" s="110">
        <v>1</v>
      </c>
      <c r="L353" s="259">
        <v>0</v>
      </c>
      <c r="M353" s="260" t="s">
        <v>476</v>
      </c>
    </row>
    <row r="354" spans="1:13" x14ac:dyDescent="0.25">
      <c r="A354" s="146">
        <v>43688</v>
      </c>
      <c r="B354" s="11" t="s">
        <v>17</v>
      </c>
      <c r="C354" s="11" t="s">
        <v>107</v>
      </c>
      <c r="D354" s="11" t="s">
        <v>93</v>
      </c>
      <c r="E354" s="11" t="s">
        <v>7</v>
      </c>
      <c r="F354" s="11" t="s">
        <v>88</v>
      </c>
      <c r="G354" s="11" t="s">
        <v>89</v>
      </c>
      <c r="H354" s="108">
        <v>6</v>
      </c>
      <c r="I354" s="22"/>
      <c r="J354" s="108">
        <v>0</v>
      </c>
      <c r="K354" s="110">
        <v>1</v>
      </c>
      <c r="L354" s="259">
        <v>0</v>
      </c>
      <c r="M354" s="260" t="s">
        <v>477</v>
      </c>
    </row>
    <row r="355" spans="1:13" x14ac:dyDescent="0.25">
      <c r="A355" s="146">
        <v>43689</v>
      </c>
      <c r="B355" s="11" t="s">
        <v>17</v>
      </c>
      <c r="C355" s="11" t="s">
        <v>107</v>
      </c>
      <c r="D355" s="11" t="s">
        <v>93</v>
      </c>
      <c r="E355" s="11" t="s">
        <v>7</v>
      </c>
      <c r="F355" s="11" t="s">
        <v>88</v>
      </c>
      <c r="G355" s="11" t="s">
        <v>89</v>
      </c>
      <c r="H355" s="108">
        <v>4</v>
      </c>
      <c r="I355" s="22" t="s">
        <v>94</v>
      </c>
      <c r="J355" s="108">
        <v>0</v>
      </c>
      <c r="K355" s="110">
        <v>1</v>
      </c>
      <c r="L355" s="259">
        <v>0</v>
      </c>
      <c r="M355" s="260" t="s">
        <v>478</v>
      </c>
    </row>
    <row r="356" spans="1:13" x14ac:dyDescent="0.25">
      <c r="A356" s="146">
        <v>43690</v>
      </c>
      <c r="B356" s="11" t="s">
        <v>17</v>
      </c>
      <c r="C356" s="11" t="s">
        <v>107</v>
      </c>
      <c r="D356" s="11" t="s">
        <v>93</v>
      </c>
      <c r="E356" s="11" t="s">
        <v>7</v>
      </c>
      <c r="F356" s="11" t="s">
        <v>88</v>
      </c>
      <c r="G356" s="11" t="s">
        <v>89</v>
      </c>
      <c r="H356" s="108">
        <v>4</v>
      </c>
      <c r="I356" s="22"/>
      <c r="J356" s="108">
        <v>0</v>
      </c>
      <c r="K356" s="110">
        <v>1</v>
      </c>
      <c r="L356" s="259">
        <v>0</v>
      </c>
      <c r="M356" s="260" t="s">
        <v>479</v>
      </c>
    </row>
    <row r="357" spans="1:13" x14ac:dyDescent="0.25">
      <c r="A357" s="146">
        <v>43691</v>
      </c>
      <c r="B357" s="11" t="s">
        <v>17</v>
      </c>
      <c r="C357" s="11" t="s">
        <v>107</v>
      </c>
      <c r="D357" s="11" t="s">
        <v>93</v>
      </c>
      <c r="E357" s="11" t="s">
        <v>7</v>
      </c>
      <c r="F357" s="11" t="s">
        <v>88</v>
      </c>
      <c r="G357" s="11" t="s">
        <v>89</v>
      </c>
      <c r="H357" s="108">
        <v>5</v>
      </c>
      <c r="I357" s="22" t="s">
        <v>94</v>
      </c>
      <c r="J357" s="108">
        <v>0</v>
      </c>
      <c r="K357" s="110">
        <v>1</v>
      </c>
      <c r="L357" s="259">
        <v>0</v>
      </c>
      <c r="M357" s="260" t="s">
        <v>480</v>
      </c>
    </row>
    <row r="358" spans="1:13" x14ac:dyDescent="0.25">
      <c r="A358" s="146">
        <v>43692</v>
      </c>
      <c r="B358" s="11" t="s">
        <v>17</v>
      </c>
      <c r="C358" s="11" t="s">
        <v>107</v>
      </c>
      <c r="D358" s="11" t="s">
        <v>93</v>
      </c>
      <c r="E358" s="11" t="s">
        <v>7</v>
      </c>
      <c r="F358" s="11" t="s">
        <v>88</v>
      </c>
      <c r="G358" s="11" t="s">
        <v>89</v>
      </c>
      <c r="H358" s="108">
        <v>4</v>
      </c>
      <c r="I358" s="22"/>
      <c r="J358" s="108">
        <v>0</v>
      </c>
      <c r="K358" s="110">
        <v>1</v>
      </c>
      <c r="L358" s="259">
        <v>0</v>
      </c>
      <c r="M358" s="260" t="s">
        <v>481</v>
      </c>
    </row>
    <row r="359" spans="1:13" x14ac:dyDescent="0.25">
      <c r="A359" s="146">
        <v>43693</v>
      </c>
      <c r="B359" s="11" t="s">
        <v>17</v>
      </c>
      <c r="C359" s="11" t="s">
        <v>107</v>
      </c>
      <c r="D359" s="11" t="s">
        <v>93</v>
      </c>
      <c r="E359" s="11" t="s">
        <v>7</v>
      </c>
      <c r="F359" s="11" t="s">
        <v>88</v>
      </c>
      <c r="G359" s="11" t="s">
        <v>89</v>
      </c>
      <c r="H359" s="108">
        <v>5</v>
      </c>
      <c r="I359" s="22" t="s">
        <v>94</v>
      </c>
      <c r="J359" s="108">
        <v>0</v>
      </c>
      <c r="K359" s="110">
        <v>1</v>
      </c>
      <c r="L359" s="259">
        <v>0</v>
      </c>
      <c r="M359" s="260" t="s">
        <v>482</v>
      </c>
    </row>
    <row r="360" spans="1:13" x14ac:dyDescent="0.25">
      <c r="A360" s="146">
        <v>43694</v>
      </c>
      <c r="B360" s="11" t="s">
        <v>17</v>
      </c>
      <c r="C360" s="11" t="s">
        <v>107</v>
      </c>
      <c r="D360" s="11" t="s">
        <v>93</v>
      </c>
      <c r="E360" s="11" t="s">
        <v>7</v>
      </c>
      <c r="F360" s="11" t="s">
        <v>88</v>
      </c>
      <c r="G360" s="11" t="s">
        <v>89</v>
      </c>
      <c r="H360" s="108">
        <v>5</v>
      </c>
      <c r="I360" s="22" t="s">
        <v>94</v>
      </c>
      <c r="J360" s="108">
        <v>0</v>
      </c>
      <c r="K360" s="110">
        <v>1</v>
      </c>
      <c r="L360" s="259">
        <v>0</v>
      </c>
      <c r="M360" s="260" t="s">
        <v>483</v>
      </c>
    </row>
    <row r="361" spans="1:13" x14ac:dyDescent="0.25">
      <c r="A361" s="146">
        <v>43695</v>
      </c>
      <c r="B361" s="11" t="s">
        <v>17</v>
      </c>
      <c r="C361" s="11" t="s">
        <v>107</v>
      </c>
      <c r="D361" s="11" t="s">
        <v>93</v>
      </c>
      <c r="E361" s="11" t="s">
        <v>7</v>
      </c>
      <c r="F361" s="11" t="s">
        <v>88</v>
      </c>
      <c r="G361" s="11" t="s">
        <v>89</v>
      </c>
      <c r="H361" s="108">
        <v>5</v>
      </c>
      <c r="I361" s="22" t="s">
        <v>94</v>
      </c>
      <c r="J361" s="108">
        <v>0</v>
      </c>
      <c r="K361" s="110">
        <v>1</v>
      </c>
      <c r="L361" s="259">
        <v>0</v>
      </c>
      <c r="M361" s="260" t="s">
        <v>484</v>
      </c>
    </row>
    <row r="362" spans="1:13" x14ac:dyDescent="0.25">
      <c r="A362" s="146">
        <v>43696</v>
      </c>
      <c r="B362" s="11" t="s">
        <v>17</v>
      </c>
      <c r="C362" s="11" t="s">
        <v>107</v>
      </c>
      <c r="D362" s="11" t="s">
        <v>93</v>
      </c>
      <c r="E362" s="11" t="s">
        <v>7</v>
      </c>
      <c r="F362" s="11" t="s">
        <v>88</v>
      </c>
      <c r="G362" s="11" t="s">
        <v>89</v>
      </c>
      <c r="H362" s="108">
        <v>6</v>
      </c>
      <c r="I362" s="22" t="s">
        <v>94</v>
      </c>
      <c r="J362" s="108">
        <v>0</v>
      </c>
      <c r="K362" s="110">
        <v>1</v>
      </c>
      <c r="L362" s="259">
        <v>0</v>
      </c>
      <c r="M362" s="260" t="s">
        <v>485</v>
      </c>
    </row>
    <row r="363" spans="1:13" x14ac:dyDescent="0.25">
      <c r="A363" s="146">
        <v>43697</v>
      </c>
      <c r="B363" s="11" t="s">
        <v>17</v>
      </c>
      <c r="C363" s="11" t="s">
        <v>107</v>
      </c>
      <c r="D363" s="11" t="s">
        <v>93</v>
      </c>
      <c r="E363" s="11" t="s">
        <v>7</v>
      </c>
      <c r="F363" s="11" t="s">
        <v>88</v>
      </c>
      <c r="G363" s="11" t="s">
        <v>89</v>
      </c>
      <c r="H363" s="108">
        <v>6</v>
      </c>
      <c r="I363" s="22"/>
      <c r="J363" s="108">
        <v>1</v>
      </c>
      <c r="K363" s="110">
        <v>1</v>
      </c>
      <c r="L363" s="259">
        <v>1</v>
      </c>
      <c r="M363" s="260" t="s">
        <v>486</v>
      </c>
    </row>
    <row r="364" spans="1:13" x14ac:dyDescent="0.25">
      <c r="A364" s="146">
        <v>43698</v>
      </c>
      <c r="B364" s="11" t="s">
        <v>17</v>
      </c>
      <c r="C364" s="11" t="s">
        <v>107</v>
      </c>
      <c r="D364" s="11" t="s">
        <v>93</v>
      </c>
      <c r="E364" s="11" t="s">
        <v>7</v>
      </c>
      <c r="F364" s="11" t="s">
        <v>88</v>
      </c>
      <c r="G364" s="11" t="s">
        <v>89</v>
      </c>
      <c r="H364" s="108">
        <v>5</v>
      </c>
      <c r="I364" s="22" t="s">
        <v>94</v>
      </c>
      <c r="J364" s="108">
        <v>0</v>
      </c>
      <c r="K364" s="110">
        <v>1</v>
      </c>
      <c r="L364" s="259">
        <v>0</v>
      </c>
      <c r="M364" s="260" t="s">
        <v>487</v>
      </c>
    </row>
    <row r="365" spans="1:13" x14ac:dyDescent="0.25">
      <c r="A365" s="146">
        <v>43699</v>
      </c>
      <c r="B365" s="11" t="s">
        <v>17</v>
      </c>
      <c r="C365" s="11" t="s">
        <v>107</v>
      </c>
      <c r="D365" s="11" t="s">
        <v>93</v>
      </c>
      <c r="E365" s="11" t="s">
        <v>7</v>
      </c>
      <c r="F365" s="11" t="s">
        <v>88</v>
      </c>
      <c r="G365" s="11" t="s">
        <v>89</v>
      </c>
      <c r="H365" s="108">
        <v>3</v>
      </c>
      <c r="I365" s="22"/>
      <c r="J365" s="108">
        <v>0</v>
      </c>
      <c r="K365" s="110">
        <v>1</v>
      </c>
      <c r="L365" s="259">
        <v>0</v>
      </c>
      <c r="M365" s="260" t="s">
        <v>488</v>
      </c>
    </row>
    <row r="366" spans="1:13" x14ac:dyDescent="0.25">
      <c r="A366" s="146">
        <v>43700</v>
      </c>
      <c r="B366" s="11" t="s">
        <v>17</v>
      </c>
      <c r="C366" s="11" t="s">
        <v>107</v>
      </c>
      <c r="D366" s="11" t="s">
        <v>93</v>
      </c>
      <c r="E366" s="11" t="s">
        <v>7</v>
      </c>
      <c r="F366" s="11" t="s">
        <v>88</v>
      </c>
      <c r="G366" s="11" t="s">
        <v>89</v>
      </c>
      <c r="H366" s="108">
        <v>4</v>
      </c>
      <c r="I366" s="22"/>
      <c r="J366" s="108">
        <v>0</v>
      </c>
      <c r="K366" s="110">
        <v>1</v>
      </c>
      <c r="L366" s="259">
        <v>0</v>
      </c>
      <c r="M366" s="260" t="s">
        <v>489</v>
      </c>
    </row>
    <row r="367" spans="1:13" x14ac:dyDescent="0.25">
      <c r="A367" s="146">
        <v>43701</v>
      </c>
      <c r="B367" s="11" t="s">
        <v>17</v>
      </c>
      <c r="C367" s="11" t="s">
        <v>107</v>
      </c>
      <c r="D367" s="11" t="s">
        <v>93</v>
      </c>
      <c r="E367" s="11" t="s">
        <v>7</v>
      </c>
      <c r="F367" s="11" t="s">
        <v>88</v>
      </c>
      <c r="G367" s="11" t="s">
        <v>89</v>
      </c>
      <c r="H367" s="108">
        <v>4</v>
      </c>
      <c r="I367" s="22" t="s">
        <v>94</v>
      </c>
      <c r="J367" s="108">
        <v>0</v>
      </c>
      <c r="K367" s="110">
        <v>1</v>
      </c>
      <c r="L367" s="259">
        <v>0</v>
      </c>
      <c r="M367" s="260" t="s">
        <v>490</v>
      </c>
    </row>
    <row r="368" spans="1:13" x14ac:dyDescent="0.25">
      <c r="A368" s="146">
        <v>43702</v>
      </c>
      <c r="B368" s="11" t="s">
        <v>17</v>
      </c>
      <c r="C368" s="11" t="s">
        <v>107</v>
      </c>
      <c r="D368" s="11" t="s">
        <v>93</v>
      </c>
      <c r="E368" s="11" t="s">
        <v>7</v>
      </c>
      <c r="F368" s="11" t="s">
        <v>88</v>
      </c>
      <c r="G368" s="11" t="s">
        <v>89</v>
      </c>
      <c r="H368" s="108">
        <v>5</v>
      </c>
      <c r="I368" s="22"/>
      <c r="J368" s="108">
        <v>0</v>
      </c>
      <c r="K368" s="110">
        <v>1</v>
      </c>
      <c r="L368" s="259">
        <v>0</v>
      </c>
      <c r="M368" s="260" t="s">
        <v>491</v>
      </c>
    </row>
    <row r="369" spans="1:13" x14ac:dyDescent="0.25">
      <c r="A369" s="146">
        <v>43703</v>
      </c>
      <c r="B369" s="11" t="s">
        <v>17</v>
      </c>
      <c r="C369" s="11" t="s">
        <v>107</v>
      </c>
      <c r="D369" s="11" t="s">
        <v>93</v>
      </c>
      <c r="E369" s="11" t="s">
        <v>7</v>
      </c>
      <c r="F369" s="11" t="s">
        <v>88</v>
      </c>
      <c r="G369" s="11" t="s">
        <v>89</v>
      </c>
      <c r="H369" s="108">
        <v>10</v>
      </c>
      <c r="I369" s="22"/>
      <c r="J369" s="108">
        <v>1</v>
      </c>
      <c r="K369" s="110">
        <v>1</v>
      </c>
      <c r="L369" s="259">
        <v>1</v>
      </c>
      <c r="M369" s="260" t="s">
        <v>492</v>
      </c>
    </row>
    <row r="370" spans="1:13" x14ac:dyDescent="0.25">
      <c r="A370" s="146">
        <v>43704</v>
      </c>
      <c r="B370" s="11" t="s">
        <v>17</v>
      </c>
      <c r="C370" s="11" t="s">
        <v>107</v>
      </c>
      <c r="D370" s="11" t="s">
        <v>93</v>
      </c>
      <c r="E370" s="11" t="s">
        <v>7</v>
      </c>
      <c r="F370" s="11" t="s">
        <v>88</v>
      </c>
      <c r="G370" s="11" t="s">
        <v>89</v>
      </c>
      <c r="H370" s="108">
        <v>4</v>
      </c>
      <c r="I370" s="22"/>
      <c r="J370" s="108">
        <v>0</v>
      </c>
      <c r="K370" s="110">
        <v>1</v>
      </c>
      <c r="L370" s="259">
        <v>0</v>
      </c>
      <c r="M370" s="260" t="s">
        <v>493</v>
      </c>
    </row>
    <row r="371" spans="1:13" x14ac:dyDescent="0.25">
      <c r="A371" s="146">
        <v>43705</v>
      </c>
      <c r="B371" s="11" t="s">
        <v>17</v>
      </c>
      <c r="C371" s="11" t="s">
        <v>107</v>
      </c>
      <c r="D371" s="11" t="s">
        <v>93</v>
      </c>
      <c r="E371" s="11" t="s">
        <v>7</v>
      </c>
      <c r="F371" s="11" t="s">
        <v>88</v>
      </c>
      <c r="G371" s="11" t="s">
        <v>89</v>
      </c>
      <c r="H371" s="108">
        <v>4</v>
      </c>
      <c r="I371" s="22"/>
      <c r="J371" s="108">
        <v>0</v>
      </c>
      <c r="K371" s="110">
        <v>1</v>
      </c>
      <c r="L371" s="259">
        <v>0</v>
      </c>
      <c r="M371" s="260" t="s">
        <v>494</v>
      </c>
    </row>
    <row r="372" spans="1:13" x14ac:dyDescent="0.25">
      <c r="A372" s="146">
        <v>43706</v>
      </c>
      <c r="B372" s="11" t="s">
        <v>17</v>
      </c>
      <c r="C372" s="11" t="s">
        <v>107</v>
      </c>
      <c r="D372" s="11" t="s">
        <v>93</v>
      </c>
      <c r="E372" s="11" t="s">
        <v>7</v>
      </c>
      <c r="F372" s="11" t="s">
        <v>88</v>
      </c>
      <c r="G372" s="11" t="s">
        <v>89</v>
      </c>
      <c r="H372" s="108">
        <v>5</v>
      </c>
      <c r="I372" s="22"/>
      <c r="J372" s="108">
        <v>0</v>
      </c>
      <c r="K372" s="110">
        <v>1</v>
      </c>
      <c r="L372" s="259">
        <v>0</v>
      </c>
      <c r="M372" s="260" t="s">
        <v>495</v>
      </c>
    </row>
    <row r="373" spans="1:13" x14ac:dyDescent="0.25">
      <c r="A373" s="146">
        <v>43707</v>
      </c>
      <c r="B373" s="11" t="s">
        <v>17</v>
      </c>
      <c r="C373" s="11" t="s">
        <v>107</v>
      </c>
      <c r="D373" s="11" t="s">
        <v>93</v>
      </c>
      <c r="E373" s="11" t="s">
        <v>7</v>
      </c>
      <c r="F373" s="11" t="s">
        <v>88</v>
      </c>
      <c r="G373" s="11" t="s">
        <v>89</v>
      </c>
      <c r="H373" s="108">
        <v>5</v>
      </c>
      <c r="I373" s="22"/>
      <c r="J373" s="108">
        <v>0</v>
      </c>
      <c r="K373" s="110">
        <v>1</v>
      </c>
      <c r="L373" s="259">
        <v>0</v>
      </c>
      <c r="M373" s="260" t="s">
        <v>496</v>
      </c>
    </row>
    <row r="374" spans="1:13" x14ac:dyDescent="0.25">
      <c r="A374" s="146">
        <v>43708</v>
      </c>
      <c r="B374" s="11" t="s">
        <v>17</v>
      </c>
      <c r="C374" s="11" t="s">
        <v>107</v>
      </c>
      <c r="D374" s="11" t="s">
        <v>93</v>
      </c>
      <c r="E374" s="11" t="s">
        <v>7</v>
      </c>
      <c r="F374" s="11" t="s">
        <v>88</v>
      </c>
      <c r="G374" s="11" t="s">
        <v>89</v>
      </c>
      <c r="H374" s="108">
        <v>4</v>
      </c>
      <c r="I374" s="22"/>
      <c r="J374" s="108">
        <v>0</v>
      </c>
      <c r="K374" s="110">
        <v>1</v>
      </c>
      <c r="L374" s="259">
        <v>0</v>
      </c>
      <c r="M374" s="260" t="s">
        <v>497</v>
      </c>
    </row>
    <row r="375" spans="1:13" x14ac:dyDescent="0.25">
      <c r="A375" s="146">
        <v>43679</v>
      </c>
      <c r="B375" s="11" t="s">
        <v>17</v>
      </c>
      <c r="C375" s="11" t="s">
        <v>107</v>
      </c>
      <c r="D375" s="11" t="s">
        <v>95</v>
      </c>
      <c r="E375" s="11" t="s">
        <v>14</v>
      </c>
      <c r="F375" s="11" t="s">
        <v>88</v>
      </c>
      <c r="G375" s="11" t="s">
        <v>89</v>
      </c>
      <c r="H375" s="108">
        <v>111</v>
      </c>
      <c r="I375" s="22"/>
      <c r="J375" s="108">
        <v>0.2</v>
      </c>
      <c r="K375" s="110">
        <v>3</v>
      </c>
      <c r="L375" s="259">
        <v>0.6</v>
      </c>
      <c r="M375" s="260" t="s">
        <v>468</v>
      </c>
    </row>
    <row r="376" spans="1:13" x14ac:dyDescent="0.25">
      <c r="A376" s="146">
        <v>43686</v>
      </c>
      <c r="B376" s="11" t="s">
        <v>17</v>
      </c>
      <c r="C376" s="11" t="s">
        <v>107</v>
      </c>
      <c r="D376" s="11" t="s">
        <v>95</v>
      </c>
      <c r="E376" s="11" t="s">
        <v>14</v>
      </c>
      <c r="F376" s="11" t="s">
        <v>88</v>
      </c>
      <c r="G376" s="11" t="s">
        <v>89</v>
      </c>
      <c r="H376" s="108">
        <v>105</v>
      </c>
      <c r="I376" s="22"/>
      <c r="J376" s="108">
        <v>0.2</v>
      </c>
      <c r="K376" s="110">
        <v>3</v>
      </c>
      <c r="L376" s="259">
        <v>0.6</v>
      </c>
      <c r="M376" s="260" t="s">
        <v>475</v>
      </c>
    </row>
    <row r="377" spans="1:13" x14ac:dyDescent="0.25">
      <c r="A377" s="146">
        <v>43690</v>
      </c>
      <c r="B377" s="11" t="s">
        <v>17</v>
      </c>
      <c r="C377" s="11" t="s">
        <v>107</v>
      </c>
      <c r="D377" s="11" t="s">
        <v>95</v>
      </c>
      <c r="E377" s="11" t="s">
        <v>14</v>
      </c>
      <c r="F377" s="11" t="s">
        <v>88</v>
      </c>
      <c r="G377" s="11" t="s">
        <v>89</v>
      </c>
      <c r="H377" s="108">
        <v>105</v>
      </c>
      <c r="I377" s="22"/>
      <c r="J377" s="108">
        <v>0.2</v>
      </c>
      <c r="K377" s="110">
        <v>3</v>
      </c>
      <c r="L377" s="259">
        <v>0.6</v>
      </c>
      <c r="M377" s="260" t="s">
        <v>479</v>
      </c>
    </row>
    <row r="378" spans="1:13" x14ac:dyDescent="0.25">
      <c r="A378" s="146">
        <v>43697</v>
      </c>
      <c r="B378" s="11" t="s">
        <v>17</v>
      </c>
      <c r="C378" s="11" t="s">
        <v>107</v>
      </c>
      <c r="D378" s="11" t="s">
        <v>95</v>
      </c>
      <c r="E378" s="11" t="s">
        <v>14</v>
      </c>
      <c r="F378" s="11" t="s">
        <v>88</v>
      </c>
      <c r="G378" s="11" t="s">
        <v>89</v>
      </c>
      <c r="H378" s="108">
        <v>104</v>
      </c>
      <c r="I378" s="22"/>
      <c r="J378" s="108">
        <v>0.2</v>
      </c>
      <c r="K378" s="110">
        <v>3</v>
      </c>
      <c r="L378" s="259">
        <v>0.6</v>
      </c>
      <c r="M378" s="260" t="s">
        <v>486</v>
      </c>
    </row>
    <row r="379" spans="1:13" x14ac:dyDescent="0.25">
      <c r="A379" s="146">
        <v>43704</v>
      </c>
      <c r="B379" s="11" t="s">
        <v>17</v>
      </c>
      <c r="C379" s="11" t="s">
        <v>107</v>
      </c>
      <c r="D379" s="11" t="s">
        <v>95</v>
      </c>
      <c r="E379" s="11" t="s">
        <v>14</v>
      </c>
      <c r="F379" s="11" t="s">
        <v>88</v>
      </c>
      <c r="G379" s="11" t="s">
        <v>89</v>
      </c>
      <c r="H379" s="108">
        <v>101</v>
      </c>
      <c r="I379" s="22"/>
      <c r="J379" s="108">
        <v>0.2</v>
      </c>
      <c r="K379" s="110">
        <v>3</v>
      </c>
      <c r="L379" s="259">
        <v>0.6</v>
      </c>
      <c r="M379" s="260" t="s">
        <v>493</v>
      </c>
    </row>
    <row r="380" spans="1:13" x14ac:dyDescent="0.25">
      <c r="A380" s="146">
        <v>43674</v>
      </c>
      <c r="B380" s="11" t="s">
        <v>17</v>
      </c>
      <c r="C380" s="11" t="s">
        <v>107</v>
      </c>
      <c r="D380" s="11" t="s">
        <v>100</v>
      </c>
      <c r="E380" s="11" t="s">
        <v>1</v>
      </c>
      <c r="F380" s="11" t="s">
        <v>98</v>
      </c>
      <c r="G380" s="11" t="s">
        <v>89</v>
      </c>
      <c r="H380" s="108">
        <v>6.7</v>
      </c>
      <c r="I380" s="22"/>
      <c r="J380" s="108">
        <v>0.1</v>
      </c>
      <c r="K380" s="110">
        <v>3</v>
      </c>
      <c r="L380" s="259">
        <v>0.3</v>
      </c>
      <c r="M380" s="260" t="s">
        <v>498</v>
      </c>
    </row>
    <row r="381" spans="1:13" x14ac:dyDescent="0.25">
      <c r="A381" s="146">
        <v>43675</v>
      </c>
      <c r="B381" s="11" t="s">
        <v>17</v>
      </c>
      <c r="C381" s="11" t="s">
        <v>107</v>
      </c>
      <c r="D381" s="11" t="s">
        <v>100</v>
      </c>
      <c r="E381" s="11" t="s">
        <v>1</v>
      </c>
      <c r="F381" s="11" t="s">
        <v>98</v>
      </c>
      <c r="G381" s="11" t="s">
        <v>89</v>
      </c>
      <c r="H381" s="108">
        <v>6.6</v>
      </c>
      <c r="I381" s="22"/>
      <c r="J381" s="108">
        <v>0.1</v>
      </c>
      <c r="K381" s="110">
        <v>3</v>
      </c>
      <c r="L381" s="259">
        <v>0.3</v>
      </c>
      <c r="M381" s="260" t="s">
        <v>499</v>
      </c>
    </row>
    <row r="382" spans="1:13" x14ac:dyDescent="0.25">
      <c r="A382" s="146">
        <v>43676</v>
      </c>
      <c r="B382" s="11" t="s">
        <v>17</v>
      </c>
      <c r="C382" s="11" t="s">
        <v>107</v>
      </c>
      <c r="D382" s="11" t="s">
        <v>100</v>
      </c>
      <c r="E382" s="11" t="s">
        <v>1</v>
      </c>
      <c r="F382" s="11" t="s">
        <v>98</v>
      </c>
      <c r="G382" s="11" t="s">
        <v>89</v>
      </c>
      <c r="H382" s="108">
        <v>6.6</v>
      </c>
      <c r="I382" s="22"/>
      <c r="J382" s="108">
        <v>0.1</v>
      </c>
      <c r="K382" s="110">
        <v>3</v>
      </c>
      <c r="L382" s="259">
        <v>0.3</v>
      </c>
      <c r="M382" s="260" t="s">
        <v>500</v>
      </c>
    </row>
    <row r="383" spans="1:13" x14ac:dyDescent="0.25">
      <c r="A383" s="146">
        <v>43677</v>
      </c>
      <c r="B383" s="11" t="s">
        <v>17</v>
      </c>
      <c r="C383" s="11" t="s">
        <v>107</v>
      </c>
      <c r="D383" s="11" t="s">
        <v>100</v>
      </c>
      <c r="E383" s="11" t="s">
        <v>1</v>
      </c>
      <c r="F383" s="11" t="s">
        <v>98</v>
      </c>
      <c r="G383" s="11" t="s">
        <v>89</v>
      </c>
      <c r="H383" s="108">
        <v>6.4</v>
      </c>
      <c r="I383" s="22"/>
      <c r="J383" s="108">
        <v>0.1</v>
      </c>
      <c r="K383" s="110">
        <v>3</v>
      </c>
      <c r="L383" s="259">
        <v>0.3</v>
      </c>
      <c r="M383" s="260" t="s">
        <v>501</v>
      </c>
    </row>
    <row r="384" spans="1:13" x14ac:dyDescent="0.25">
      <c r="A384" s="146">
        <v>43678</v>
      </c>
      <c r="B384" s="11" t="s">
        <v>17</v>
      </c>
      <c r="C384" s="11" t="s">
        <v>107</v>
      </c>
      <c r="D384" s="11" t="s">
        <v>100</v>
      </c>
      <c r="E384" s="11" t="s">
        <v>1</v>
      </c>
      <c r="F384" s="11" t="s">
        <v>98</v>
      </c>
      <c r="G384" s="11" t="s">
        <v>89</v>
      </c>
      <c r="H384" s="108">
        <v>6.7</v>
      </c>
      <c r="I384" s="22"/>
      <c r="J384" s="108">
        <v>0.1</v>
      </c>
      <c r="K384" s="110">
        <v>3</v>
      </c>
      <c r="L384" s="259">
        <v>0.3</v>
      </c>
      <c r="M384" s="260" t="s">
        <v>502</v>
      </c>
    </row>
    <row r="385" spans="1:13" x14ac:dyDescent="0.25">
      <c r="A385" s="146">
        <v>43679</v>
      </c>
      <c r="B385" s="11" t="s">
        <v>17</v>
      </c>
      <c r="C385" s="11" t="s">
        <v>107</v>
      </c>
      <c r="D385" s="11" t="s">
        <v>100</v>
      </c>
      <c r="E385" s="11" t="s">
        <v>1</v>
      </c>
      <c r="F385" s="11" t="s">
        <v>98</v>
      </c>
      <c r="G385" s="11" t="s">
        <v>89</v>
      </c>
      <c r="H385" s="108">
        <v>6.5</v>
      </c>
      <c r="I385" s="22"/>
      <c r="J385" s="108">
        <v>0.1</v>
      </c>
      <c r="K385" s="110">
        <v>3</v>
      </c>
      <c r="L385" s="259">
        <v>0.3</v>
      </c>
      <c r="M385" s="260" t="s">
        <v>503</v>
      </c>
    </row>
    <row r="386" spans="1:13" x14ac:dyDescent="0.25">
      <c r="A386" s="146">
        <v>43680</v>
      </c>
      <c r="B386" s="11" t="s">
        <v>17</v>
      </c>
      <c r="C386" s="11" t="s">
        <v>107</v>
      </c>
      <c r="D386" s="11" t="s">
        <v>100</v>
      </c>
      <c r="E386" s="11" t="s">
        <v>1</v>
      </c>
      <c r="F386" s="11" t="s">
        <v>98</v>
      </c>
      <c r="G386" s="11" t="s">
        <v>89</v>
      </c>
      <c r="H386" s="108">
        <v>6.6</v>
      </c>
      <c r="I386" s="22"/>
      <c r="J386" s="108">
        <v>0.1</v>
      </c>
      <c r="K386" s="110">
        <v>3</v>
      </c>
      <c r="L386" s="259">
        <v>0.3</v>
      </c>
      <c r="M386" s="260" t="s">
        <v>504</v>
      </c>
    </row>
    <row r="387" spans="1:13" x14ac:dyDescent="0.25">
      <c r="A387" s="146">
        <v>43681</v>
      </c>
      <c r="B387" s="11" t="s">
        <v>17</v>
      </c>
      <c r="C387" s="11" t="s">
        <v>107</v>
      </c>
      <c r="D387" s="11" t="s">
        <v>100</v>
      </c>
      <c r="E387" s="11" t="s">
        <v>1</v>
      </c>
      <c r="F387" s="11" t="s">
        <v>98</v>
      </c>
      <c r="G387" s="11" t="s">
        <v>89</v>
      </c>
      <c r="H387" s="108">
        <v>6.6</v>
      </c>
      <c r="I387" s="22"/>
      <c r="J387" s="108">
        <v>0.1</v>
      </c>
      <c r="K387" s="110">
        <v>3</v>
      </c>
      <c r="L387" s="259">
        <v>0.3</v>
      </c>
      <c r="M387" s="260" t="s">
        <v>505</v>
      </c>
    </row>
    <row r="388" spans="1:13" x14ac:dyDescent="0.25">
      <c r="A388" s="146">
        <v>43682</v>
      </c>
      <c r="B388" s="11" t="s">
        <v>17</v>
      </c>
      <c r="C388" s="11" t="s">
        <v>107</v>
      </c>
      <c r="D388" s="11" t="s">
        <v>100</v>
      </c>
      <c r="E388" s="11" t="s">
        <v>1</v>
      </c>
      <c r="F388" s="11" t="s">
        <v>98</v>
      </c>
      <c r="G388" s="11" t="s">
        <v>89</v>
      </c>
      <c r="H388" s="108">
        <v>6.7</v>
      </c>
      <c r="I388" s="22"/>
      <c r="J388" s="108">
        <v>0.1</v>
      </c>
      <c r="K388" s="110">
        <v>3</v>
      </c>
      <c r="L388" s="259">
        <v>0.3</v>
      </c>
      <c r="M388" s="260" t="s">
        <v>506</v>
      </c>
    </row>
    <row r="389" spans="1:13" x14ac:dyDescent="0.25">
      <c r="A389" s="146">
        <v>43683</v>
      </c>
      <c r="B389" s="11" t="s">
        <v>17</v>
      </c>
      <c r="C389" s="11" t="s">
        <v>107</v>
      </c>
      <c r="D389" s="11" t="s">
        <v>100</v>
      </c>
      <c r="E389" s="11" t="s">
        <v>1</v>
      </c>
      <c r="F389" s="11" t="s">
        <v>98</v>
      </c>
      <c r="G389" s="11" t="s">
        <v>89</v>
      </c>
      <c r="H389" s="108">
        <v>6.3</v>
      </c>
      <c r="I389" s="22"/>
      <c r="J389" s="108">
        <v>0.1</v>
      </c>
      <c r="K389" s="110">
        <v>3</v>
      </c>
      <c r="L389" s="259">
        <v>0.3</v>
      </c>
      <c r="M389" s="260" t="s">
        <v>507</v>
      </c>
    </row>
    <row r="390" spans="1:13" x14ac:dyDescent="0.25">
      <c r="A390" s="146">
        <v>43684</v>
      </c>
      <c r="B390" s="11" t="s">
        <v>17</v>
      </c>
      <c r="C390" s="11" t="s">
        <v>107</v>
      </c>
      <c r="D390" s="11" t="s">
        <v>100</v>
      </c>
      <c r="E390" s="11" t="s">
        <v>1</v>
      </c>
      <c r="F390" s="11" t="s">
        <v>98</v>
      </c>
      <c r="G390" s="11" t="s">
        <v>89</v>
      </c>
      <c r="H390" s="108">
        <v>6.7</v>
      </c>
      <c r="I390" s="22"/>
      <c r="J390" s="108">
        <v>0.1</v>
      </c>
      <c r="K390" s="110">
        <v>3</v>
      </c>
      <c r="L390" s="259">
        <v>0.3</v>
      </c>
      <c r="M390" s="260" t="s">
        <v>508</v>
      </c>
    </row>
    <row r="391" spans="1:13" x14ac:dyDescent="0.25">
      <c r="A391" s="146">
        <v>43685</v>
      </c>
      <c r="B391" s="11" t="s">
        <v>17</v>
      </c>
      <c r="C391" s="11" t="s">
        <v>107</v>
      </c>
      <c r="D391" s="11" t="s">
        <v>100</v>
      </c>
      <c r="E391" s="11" t="s">
        <v>1</v>
      </c>
      <c r="F391" s="11" t="s">
        <v>98</v>
      </c>
      <c r="G391" s="11" t="s">
        <v>89</v>
      </c>
      <c r="H391" s="108">
        <v>6.5</v>
      </c>
      <c r="I391" s="22"/>
      <c r="J391" s="108">
        <v>0.1</v>
      </c>
      <c r="K391" s="110">
        <v>3</v>
      </c>
      <c r="L391" s="259">
        <v>0.3</v>
      </c>
      <c r="M391" s="260" t="s">
        <v>509</v>
      </c>
    </row>
    <row r="392" spans="1:13" x14ac:dyDescent="0.25">
      <c r="A392" s="146">
        <v>43686</v>
      </c>
      <c r="B392" s="11" t="s">
        <v>17</v>
      </c>
      <c r="C392" s="11" t="s">
        <v>107</v>
      </c>
      <c r="D392" s="11" t="s">
        <v>100</v>
      </c>
      <c r="E392" s="11" t="s">
        <v>1</v>
      </c>
      <c r="F392" s="11" t="s">
        <v>98</v>
      </c>
      <c r="G392" s="11" t="s">
        <v>89</v>
      </c>
      <c r="H392" s="108">
        <v>6.6</v>
      </c>
      <c r="I392" s="22"/>
      <c r="J392" s="108">
        <v>0.1</v>
      </c>
      <c r="K392" s="110">
        <v>3</v>
      </c>
      <c r="L392" s="259">
        <v>0.3</v>
      </c>
      <c r="M392" s="260" t="s">
        <v>510</v>
      </c>
    </row>
    <row r="393" spans="1:13" x14ac:dyDescent="0.25">
      <c r="A393" s="146">
        <v>43687</v>
      </c>
      <c r="B393" s="11" t="s">
        <v>17</v>
      </c>
      <c r="C393" s="11" t="s">
        <v>107</v>
      </c>
      <c r="D393" s="11" t="s">
        <v>100</v>
      </c>
      <c r="E393" s="11" t="s">
        <v>1</v>
      </c>
      <c r="F393" s="11" t="s">
        <v>98</v>
      </c>
      <c r="G393" s="11" t="s">
        <v>89</v>
      </c>
      <c r="H393" s="108">
        <v>6.5</v>
      </c>
      <c r="I393" s="22"/>
      <c r="J393" s="108">
        <v>0.1</v>
      </c>
      <c r="K393" s="110">
        <v>3</v>
      </c>
      <c r="L393" s="259">
        <v>0.3</v>
      </c>
      <c r="M393" s="260" t="s">
        <v>511</v>
      </c>
    </row>
    <row r="394" spans="1:13" x14ac:dyDescent="0.25">
      <c r="A394" s="146">
        <v>43688</v>
      </c>
      <c r="B394" s="11" t="s">
        <v>17</v>
      </c>
      <c r="C394" s="11" t="s">
        <v>107</v>
      </c>
      <c r="D394" s="11" t="s">
        <v>100</v>
      </c>
      <c r="E394" s="11" t="s">
        <v>1</v>
      </c>
      <c r="F394" s="11" t="s">
        <v>98</v>
      </c>
      <c r="G394" s="11" t="s">
        <v>89</v>
      </c>
      <c r="H394" s="108">
        <v>6.6</v>
      </c>
      <c r="I394" s="22"/>
      <c r="J394" s="108">
        <v>0.1</v>
      </c>
      <c r="K394" s="110">
        <v>3</v>
      </c>
      <c r="L394" s="259">
        <v>0.3</v>
      </c>
      <c r="M394" s="260" t="s">
        <v>512</v>
      </c>
    </row>
    <row r="395" spans="1:13" x14ac:dyDescent="0.25">
      <c r="A395" s="146">
        <v>43689</v>
      </c>
      <c r="B395" s="11" t="s">
        <v>17</v>
      </c>
      <c r="C395" s="11" t="s">
        <v>107</v>
      </c>
      <c r="D395" s="11" t="s">
        <v>100</v>
      </c>
      <c r="E395" s="11" t="s">
        <v>1</v>
      </c>
      <c r="F395" s="11" t="s">
        <v>98</v>
      </c>
      <c r="G395" s="11" t="s">
        <v>89</v>
      </c>
      <c r="H395" s="108">
        <v>6.5</v>
      </c>
      <c r="I395" s="22"/>
      <c r="J395" s="108">
        <v>0.1</v>
      </c>
      <c r="K395" s="110">
        <v>3</v>
      </c>
      <c r="L395" s="259">
        <v>0.3</v>
      </c>
      <c r="M395" s="260" t="s">
        <v>513</v>
      </c>
    </row>
    <row r="396" spans="1:13" x14ac:dyDescent="0.25">
      <c r="A396" s="146">
        <v>43690</v>
      </c>
      <c r="B396" s="11" t="s">
        <v>17</v>
      </c>
      <c r="C396" s="11" t="s">
        <v>107</v>
      </c>
      <c r="D396" s="11" t="s">
        <v>100</v>
      </c>
      <c r="E396" s="11" t="s">
        <v>1</v>
      </c>
      <c r="F396" s="11" t="s">
        <v>98</v>
      </c>
      <c r="G396" s="11" t="s">
        <v>89</v>
      </c>
      <c r="H396" s="108">
        <v>6.5</v>
      </c>
      <c r="I396" s="22"/>
      <c r="J396" s="108">
        <v>0.1</v>
      </c>
      <c r="K396" s="110">
        <v>3</v>
      </c>
      <c r="L396" s="259">
        <v>0.3</v>
      </c>
      <c r="M396" s="260" t="s">
        <v>514</v>
      </c>
    </row>
    <row r="397" spans="1:13" x14ac:dyDescent="0.25">
      <c r="A397" s="146">
        <v>43691</v>
      </c>
      <c r="B397" s="11" t="s">
        <v>17</v>
      </c>
      <c r="C397" s="11" t="s">
        <v>107</v>
      </c>
      <c r="D397" s="11" t="s">
        <v>100</v>
      </c>
      <c r="E397" s="11" t="s">
        <v>1</v>
      </c>
      <c r="F397" s="11" t="s">
        <v>98</v>
      </c>
      <c r="G397" s="11" t="s">
        <v>89</v>
      </c>
      <c r="H397" s="108">
        <v>6.5</v>
      </c>
      <c r="I397" s="22"/>
      <c r="J397" s="108">
        <v>0.1</v>
      </c>
      <c r="K397" s="110">
        <v>3</v>
      </c>
      <c r="L397" s="259">
        <v>0.3</v>
      </c>
      <c r="M397" s="260" t="s">
        <v>515</v>
      </c>
    </row>
    <row r="398" spans="1:13" x14ac:dyDescent="0.25">
      <c r="A398" s="146">
        <v>43692</v>
      </c>
      <c r="B398" s="11" t="s">
        <v>17</v>
      </c>
      <c r="C398" s="11" t="s">
        <v>107</v>
      </c>
      <c r="D398" s="11" t="s">
        <v>100</v>
      </c>
      <c r="E398" s="11" t="s">
        <v>1</v>
      </c>
      <c r="F398" s="11" t="s">
        <v>98</v>
      </c>
      <c r="G398" s="11" t="s">
        <v>89</v>
      </c>
      <c r="H398" s="108">
        <v>6.5</v>
      </c>
      <c r="I398" s="22"/>
      <c r="J398" s="108">
        <v>0.1</v>
      </c>
      <c r="K398" s="110">
        <v>3</v>
      </c>
      <c r="L398" s="259">
        <v>0.3</v>
      </c>
      <c r="M398" s="260" t="s">
        <v>516</v>
      </c>
    </row>
    <row r="399" spans="1:13" x14ac:dyDescent="0.25">
      <c r="A399" s="146">
        <v>43692</v>
      </c>
      <c r="B399" s="11" t="s">
        <v>17</v>
      </c>
      <c r="C399" s="11" t="s">
        <v>107</v>
      </c>
      <c r="D399" s="11" t="s">
        <v>100</v>
      </c>
      <c r="E399" s="11" t="s">
        <v>1</v>
      </c>
      <c r="F399" s="11" t="s">
        <v>98</v>
      </c>
      <c r="G399" s="11" t="s">
        <v>89</v>
      </c>
      <c r="H399" s="108" t="s">
        <v>258</v>
      </c>
      <c r="I399" s="22">
        <v>-19</v>
      </c>
      <c r="J399" s="108">
        <v>0.1</v>
      </c>
      <c r="K399" s="110">
        <v>3</v>
      </c>
      <c r="L399" s="259">
        <v>0.3</v>
      </c>
      <c r="M399" s="260" t="s">
        <v>517</v>
      </c>
    </row>
    <row r="400" spans="1:13" x14ac:dyDescent="0.25">
      <c r="A400" s="146">
        <v>43693</v>
      </c>
      <c r="B400" s="11" t="s">
        <v>17</v>
      </c>
      <c r="C400" s="11" t="s">
        <v>107</v>
      </c>
      <c r="D400" s="11" t="s">
        <v>100</v>
      </c>
      <c r="E400" s="11" t="s">
        <v>1</v>
      </c>
      <c r="F400" s="11" t="s">
        <v>98</v>
      </c>
      <c r="G400" s="11" t="s">
        <v>89</v>
      </c>
      <c r="H400" s="108">
        <v>6.3</v>
      </c>
      <c r="I400" s="22"/>
      <c r="J400" s="108">
        <v>0.1</v>
      </c>
      <c r="K400" s="110">
        <v>3</v>
      </c>
      <c r="L400" s="259">
        <v>0.3</v>
      </c>
      <c r="M400" s="260" t="s">
        <v>518</v>
      </c>
    </row>
    <row r="401" spans="1:13" x14ac:dyDescent="0.25">
      <c r="A401" s="146">
        <v>43694</v>
      </c>
      <c r="B401" s="11" t="s">
        <v>17</v>
      </c>
      <c r="C401" s="11" t="s">
        <v>107</v>
      </c>
      <c r="D401" s="11" t="s">
        <v>100</v>
      </c>
      <c r="E401" s="11" t="s">
        <v>1</v>
      </c>
      <c r="F401" s="11" t="s">
        <v>98</v>
      </c>
      <c r="G401" s="11" t="s">
        <v>89</v>
      </c>
      <c r="H401" s="108">
        <v>6.6</v>
      </c>
      <c r="I401" s="22"/>
      <c r="J401" s="108">
        <v>0.1</v>
      </c>
      <c r="K401" s="110">
        <v>3</v>
      </c>
      <c r="L401" s="259">
        <v>0.3</v>
      </c>
      <c r="M401" s="260" t="s">
        <v>519</v>
      </c>
    </row>
    <row r="402" spans="1:13" x14ac:dyDescent="0.25">
      <c r="A402" s="146">
        <v>43695</v>
      </c>
      <c r="B402" s="11" t="s">
        <v>17</v>
      </c>
      <c r="C402" s="11" t="s">
        <v>107</v>
      </c>
      <c r="D402" s="11" t="s">
        <v>100</v>
      </c>
      <c r="E402" s="11" t="s">
        <v>1</v>
      </c>
      <c r="F402" s="11" t="s">
        <v>98</v>
      </c>
      <c r="G402" s="11" t="s">
        <v>89</v>
      </c>
      <c r="H402" s="108">
        <v>6.5</v>
      </c>
      <c r="I402" s="22"/>
      <c r="J402" s="108">
        <v>0.1</v>
      </c>
      <c r="K402" s="110">
        <v>3</v>
      </c>
      <c r="L402" s="259">
        <v>0.3</v>
      </c>
      <c r="M402" s="260" t="s">
        <v>520</v>
      </c>
    </row>
    <row r="403" spans="1:13" x14ac:dyDescent="0.25">
      <c r="A403" s="146">
        <v>43696</v>
      </c>
      <c r="B403" s="11" t="s">
        <v>17</v>
      </c>
      <c r="C403" s="11" t="s">
        <v>107</v>
      </c>
      <c r="D403" s="11" t="s">
        <v>100</v>
      </c>
      <c r="E403" s="11" t="s">
        <v>1</v>
      </c>
      <c r="F403" s="11" t="s">
        <v>98</v>
      </c>
      <c r="G403" s="11" t="s">
        <v>89</v>
      </c>
      <c r="H403" s="108">
        <v>6.5</v>
      </c>
      <c r="I403" s="22"/>
      <c r="J403" s="108">
        <v>0.1</v>
      </c>
      <c r="K403" s="110">
        <v>3</v>
      </c>
      <c r="L403" s="259">
        <v>0.3</v>
      </c>
      <c r="M403" s="260" t="s">
        <v>521</v>
      </c>
    </row>
    <row r="404" spans="1:13" x14ac:dyDescent="0.25">
      <c r="A404" s="146">
        <v>43697</v>
      </c>
      <c r="B404" s="11" t="s">
        <v>17</v>
      </c>
      <c r="C404" s="11" t="s">
        <v>107</v>
      </c>
      <c r="D404" s="11" t="s">
        <v>100</v>
      </c>
      <c r="E404" s="11" t="s">
        <v>1</v>
      </c>
      <c r="F404" s="11" t="s">
        <v>98</v>
      </c>
      <c r="G404" s="11" t="s">
        <v>89</v>
      </c>
      <c r="H404" s="108">
        <v>6.4</v>
      </c>
      <c r="I404" s="22"/>
      <c r="J404" s="108">
        <v>0.1</v>
      </c>
      <c r="K404" s="110">
        <v>3</v>
      </c>
      <c r="L404" s="259">
        <v>0.3</v>
      </c>
      <c r="M404" s="260" t="s">
        <v>522</v>
      </c>
    </row>
    <row r="405" spans="1:13" x14ac:dyDescent="0.25">
      <c r="A405" s="146">
        <v>43698</v>
      </c>
      <c r="B405" s="11" t="s">
        <v>17</v>
      </c>
      <c r="C405" s="11" t="s">
        <v>107</v>
      </c>
      <c r="D405" s="11" t="s">
        <v>100</v>
      </c>
      <c r="E405" s="11" t="s">
        <v>1</v>
      </c>
      <c r="F405" s="11" t="s">
        <v>98</v>
      </c>
      <c r="G405" s="11" t="s">
        <v>89</v>
      </c>
      <c r="H405" s="108">
        <v>6.5</v>
      </c>
      <c r="I405" s="22"/>
      <c r="J405" s="108">
        <v>0.1</v>
      </c>
      <c r="K405" s="110">
        <v>3</v>
      </c>
      <c r="L405" s="259">
        <v>0.3</v>
      </c>
      <c r="M405" s="260" t="s">
        <v>523</v>
      </c>
    </row>
    <row r="406" spans="1:13" x14ac:dyDescent="0.25">
      <c r="A406" s="146">
        <v>43699</v>
      </c>
      <c r="B406" s="11" t="s">
        <v>17</v>
      </c>
      <c r="C406" s="11" t="s">
        <v>107</v>
      </c>
      <c r="D406" s="11" t="s">
        <v>100</v>
      </c>
      <c r="E406" s="11" t="s">
        <v>1</v>
      </c>
      <c r="F406" s="11" t="s">
        <v>98</v>
      </c>
      <c r="G406" s="11" t="s">
        <v>89</v>
      </c>
      <c r="H406" s="108">
        <v>6.5</v>
      </c>
      <c r="I406" s="22"/>
      <c r="J406" s="108">
        <v>0.1</v>
      </c>
      <c r="K406" s="110">
        <v>3</v>
      </c>
      <c r="L406" s="259">
        <v>0.3</v>
      </c>
      <c r="M406" s="260" t="s">
        <v>524</v>
      </c>
    </row>
    <row r="407" spans="1:13" x14ac:dyDescent="0.25">
      <c r="A407" s="146">
        <v>43700</v>
      </c>
      <c r="B407" s="11" t="s">
        <v>17</v>
      </c>
      <c r="C407" s="11" t="s">
        <v>107</v>
      </c>
      <c r="D407" s="11" t="s">
        <v>100</v>
      </c>
      <c r="E407" s="11" t="s">
        <v>1</v>
      </c>
      <c r="F407" s="11" t="s">
        <v>98</v>
      </c>
      <c r="G407" s="11" t="s">
        <v>89</v>
      </c>
      <c r="H407" s="108">
        <v>6.4</v>
      </c>
      <c r="I407" s="22"/>
      <c r="J407" s="108">
        <v>0.1</v>
      </c>
      <c r="K407" s="110">
        <v>3</v>
      </c>
      <c r="L407" s="259">
        <v>0.3</v>
      </c>
      <c r="M407" s="260" t="s">
        <v>525</v>
      </c>
    </row>
    <row r="408" spans="1:13" x14ac:dyDescent="0.25">
      <c r="A408" s="146">
        <v>43701</v>
      </c>
      <c r="B408" s="11" t="s">
        <v>17</v>
      </c>
      <c r="C408" s="11" t="s">
        <v>107</v>
      </c>
      <c r="D408" s="11" t="s">
        <v>100</v>
      </c>
      <c r="E408" s="11" t="s">
        <v>1</v>
      </c>
      <c r="F408" s="11" t="s">
        <v>98</v>
      </c>
      <c r="G408" s="11" t="s">
        <v>89</v>
      </c>
      <c r="H408" s="108">
        <v>6.5</v>
      </c>
      <c r="I408" s="22"/>
      <c r="J408" s="108">
        <v>0.1</v>
      </c>
      <c r="K408" s="110">
        <v>3</v>
      </c>
      <c r="L408" s="259">
        <v>0.3</v>
      </c>
      <c r="M408" s="260" t="s">
        <v>526</v>
      </c>
    </row>
    <row r="409" spans="1:13" x14ac:dyDescent="0.25">
      <c r="A409" s="146">
        <v>43702</v>
      </c>
      <c r="B409" s="11" t="s">
        <v>17</v>
      </c>
      <c r="C409" s="11" t="s">
        <v>107</v>
      </c>
      <c r="D409" s="11" t="s">
        <v>100</v>
      </c>
      <c r="E409" s="11" t="s">
        <v>1</v>
      </c>
      <c r="F409" s="11" t="s">
        <v>98</v>
      </c>
      <c r="G409" s="11" t="s">
        <v>89</v>
      </c>
      <c r="H409" s="108">
        <v>6.6</v>
      </c>
      <c r="I409" s="22"/>
      <c r="J409" s="108">
        <v>0.1</v>
      </c>
      <c r="K409" s="110">
        <v>3</v>
      </c>
      <c r="L409" s="259">
        <v>0.3</v>
      </c>
      <c r="M409" s="260" t="s">
        <v>527</v>
      </c>
    </row>
    <row r="410" spans="1:13" x14ac:dyDescent="0.25">
      <c r="A410" s="146">
        <v>43703</v>
      </c>
      <c r="B410" s="11" t="s">
        <v>17</v>
      </c>
      <c r="C410" s="11" t="s">
        <v>107</v>
      </c>
      <c r="D410" s="11" t="s">
        <v>100</v>
      </c>
      <c r="E410" s="11" t="s">
        <v>1</v>
      </c>
      <c r="F410" s="11" t="s">
        <v>98</v>
      </c>
      <c r="G410" s="11" t="s">
        <v>89</v>
      </c>
      <c r="H410" s="108">
        <v>6.4</v>
      </c>
      <c r="I410" s="22"/>
      <c r="J410" s="108">
        <v>0.1</v>
      </c>
      <c r="K410" s="110">
        <v>3</v>
      </c>
      <c r="L410" s="259">
        <v>0.3</v>
      </c>
      <c r="M410" s="260" t="s">
        <v>528</v>
      </c>
    </row>
    <row r="411" spans="1:13" x14ac:dyDescent="0.25">
      <c r="A411" s="146">
        <v>43704</v>
      </c>
      <c r="B411" s="11" t="s">
        <v>17</v>
      </c>
      <c r="C411" s="11" t="s">
        <v>107</v>
      </c>
      <c r="D411" s="11" t="s">
        <v>100</v>
      </c>
      <c r="E411" s="11" t="s">
        <v>1</v>
      </c>
      <c r="F411" s="11" t="s">
        <v>98</v>
      </c>
      <c r="G411" s="11" t="s">
        <v>89</v>
      </c>
      <c r="H411" s="108">
        <v>6.5</v>
      </c>
      <c r="I411" s="22"/>
      <c r="J411" s="108">
        <v>0.1</v>
      </c>
      <c r="K411" s="110">
        <v>3</v>
      </c>
      <c r="L411" s="259">
        <v>0.3</v>
      </c>
      <c r="M411" s="260" t="s">
        <v>529</v>
      </c>
    </row>
    <row r="412" spans="1:13" x14ac:dyDescent="0.25">
      <c r="A412" s="146">
        <v>43705</v>
      </c>
      <c r="B412" s="11" t="s">
        <v>17</v>
      </c>
      <c r="C412" s="11" t="s">
        <v>107</v>
      </c>
      <c r="D412" s="11" t="s">
        <v>100</v>
      </c>
      <c r="E412" s="11" t="s">
        <v>1</v>
      </c>
      <c r="F412" s="11" t="s">
        <v>98</v>
      </c>
      <c r="G412" s="11" t="s">
        <v>89</v>
      </c>
      <c r="H412" s="108">
        <v>6.6</v>
      </c>
      <c r="I412" s="22"/>
      <c r="J412" s="108">
        <v>0.1</v>
      </c>
      <c r="K412" s="110">
        <v>3</v>
      </c>
      <c r="L412" s="259">
        <v>0.3</v>
      </c>
      <c r="M412" s="260" t="s">
        <v>530</v>
      </c>
    </row>
    <row r="413" spans="1:13" x14ac:dyDescent="0.25">
      <c r="A413" s="146">
        <v>43706</v>
      </c>
      <c r="B413" s="11" t="s">
        <v>17</v>
      </c>
      <c r="C413" s="11" t="s">
        <v>107</v>
      </c>
      <c r="D413" s="11" t="s">
        <v>100</v>
      </c>
      <c r="E413" s="11" t="s">
        <v>1</v>
      </c>
      <c r="F413" s="11" t="s">
        <v>98</v>
      </c>
      <c r="G413" s="11" t="s">
        <v>89</v>
      </c>
      <c r="H413" s="108">
        <v>6.4</v>
      </c>
      <c r="I413" s="22"/>
      <c r="J413" s="108">
        <v>0.1</v>
      </c>
      <c r="K413" s="110">
        <v>3</v>
      </c>
      <c r="L413" s="259">
        <v>0.3</v>
      </c>
      <c r="M413" s="260" t="s">
        <v>531</v>
      </c>
    </row>
    <row r="414" spans="1:13" x14ac:dyDescent="0.25">
      <c r="A414" s="146">
        <v>43707</v>
      </c>
      <c r="B414" s="11" t="s">
        <v>17</v>
      </c>
      <c r="C414" s="11" t="s">
        <v>107</v>
      </c>
      <c r="D414" s="11" t="s">
        <v>100</v>
      </c>
      <c r="E414" s="11" t="s">
        <v>1</v>
      </c>
      <c r="F414" s="11" t="s">
        <v>98</v>
      </c>
      <c r="G414" s="11" t="s">
        <v>89</v>
      </c>
      <c r="H414" s="108">
        <v>6.5</v>
      </c>
      <c r="I414" s="22"/>
      <c r="J414" s="108">
        <v>0.1</v>
      </c>
      <c r="K414" s="110">
        <v>3</v>
      </c>
      <c r="L414" s="259">
        <v>0.3</v>
      </c>
      <c r="M414" s="260" t="s">
        <v>532</v>
      </c>
    </row>
    <row r="415" spans="1:13" x14ac:dyDescent="0.25">
      <c r="A415" s="146">
        <v>43708</v>
      </c>
      <c r="B415" s="11" t="s">
        <v>17</v>
      </c>
      <c r="C415" s="11" t="s">
        <v>107</v>
      </c>
      <c r="D415" s="11" t="s">
        <v>100</v>
      </c>
      <c r="E415" s="11" t="s">
        <v>1</v>
      </c>
      <c r="F415" s="11" t="s">
        <v>98</v>
      </c>
      <c r="G415" s="11" t="s">
        <v>89</v>
      </c>
      <c r="H415" s="108">
        <v>6.7</v>
      </c>
      <c r="I415" s="22"/>
      <c r="J415" s="108">
        <v>0.1</v>
      </c>
      <c r="K415" s="110">
        <v>3</v>
      </c>
      <c r="L415" s="259">
        <v>0.3</v>
      </c>
      <c r="M415" s="260" t="s">
        <v>533</v>
      </c>
    </row>
    <row r="416" spans="1:13" x14ac:dyDescent="0.25">
      <c r="A416" s="146">
        <v>43674</v>
      </c>
      <c r="B416" s="11" t="s">
        <v>17</v>
      </c>
      <c r="C416" s="11" t="s">
        <v>107</v>
      </c>
      <c r="D416" s="11" t="s">
        <v>101</v>
      </c>
      <c r="E416" s="11" t="s">
        <v>3</v>
      </c>
      <c r="F416" s="11" t="s">
        <v>98</v>
      </c>
      <c r="G416" s="11" t="s">
        <v>102</v>
      </c>
      <c r="H416" s="108">
        <v>78</v>
      </c>
      <c r="I416" s="22"/>
      <c r="J416" s="108">
        <v>1</v>
      </c>
      <c r="K416" s="110">
        <v>1</v>
      </c>
      <c r="L416" s="259">
        <v>1</v>
      </c>
      <c r="M416" s="260" t="s">
        <v>534</v>
      </c>
    </row>
    <row r="417" spans="1:13" x14ac:dyDescent="0.25">
      <c r="A417" s="146">
        <v>43675</v>
      </c>
      <c r="B417" s="11" t="s">
        <v>17</v>
      </c>
      <c r="C417" s="11" t="s">
        <v>107</v>
      </c>
      <c r="D417" s="11" t="s">
        <v>101</v>
      </c>
      <c r="E417" s="11" t="s">
        <v>3</v>
      </c>
      <c r="F417" s="11" t="s">
        <v>98</v>
      </c>
      <c r="G417" s="11" t="s">
        <v>102</v>
      </c>
      <c r="H417" s="108">
        <v>81</v>
      </c>
      <c r="I417" s="22"/>
      <c r="J417" s="108">
        <v>1</v>
      </c>
      <c r="K417" s="110">
        <v>1</v>
      </c>
      <c r="L417" s="259">
        <v>1</v>
      </c>
      <c r="M417" s="260" t="s">
        <v>535</v>
      </c>
    </row>
    <row r="418" spans="1:13" x14ac:dyDescent="0.25">
      <c r="A418" s="146">
        <v>43676</v>
      </c>
      <c r="B418" s="11" t="s">
        <v>17</v>
      </c>
      <c r="C418" s="11" t="s">
        <v>107</v>
      </c>
      <c r="D418" s="11" t="s">
        <v>101</v>
      </c>
      <c r="E418" s="11" t="s">
        <v>3</v>
      </c>
      <c r="F418" s="11" t="s">
        <v>98</v>
      </c>
      <c r="G418" s="11" t="s">
        <v>102</v>
      </c>
      <c r="H418" s="108">
        <v>62</v>
      </c>
      <c r="I418" s="22"/>
      <c r="J418" s="108">
        <v>1</v>
      </c>
      <c r="K418" s="110">
        <v>1</v>
      </c>
      <c r="L418" s="259">
        <v>1</v>
      </c>
      <c r="M418" s="260" t="s">
        <v>536</v>
      </c>
    </row>
    <row r="419" spans="1:13" x14ac:dyDescent="0.25">
      <c r="A419" s="146">
        <v>43677</v>
      </c>
      <c r="B419" s="11" t="s">
        <v>17</v>
      </c>
      <c r="C419" s="11" t="s">
        <v>107</v>
      </c>
      <c r="D419" s="11" t="s">
        <v>101</v>
      </c>
      <c r="E419" s="11" t="s">
        <v>3</v>
      </c>
      <c r="F419" s="11" t="s">
        <v>98</v>
      </c>
      <c r="G419" s="11" t="s">
        <v>102</v>
      </c>
      <c r="H419" s="108">
        <v>155</v>
      </c>
      <c r="I419" s="22"/>
      <c r="J419" s="108">
        <v>1</v>
      </c>
      <c r="K419" s="110">
        <v>1</v>
      </c>
      <c r="L419" s="259">
        <v>1</v>
      </c>
      <c r="M419" s="260" t="s">
        <v>537</v>
      </c>
    </row>
    <row r="420" spans="1:13" x14ac:dyDescent="0.25">
      <c r="A420" s="146">
        <v>43678</v>
      </c>
      <c r="B420" s="11" t="s">
        <v>17</v>
      </c>
      <c r="C420" s="11" t="s">
        <v>107</v>
      </c>
      <c r="D420" s="11" t="s">
        <v>101</v>
      </c>
      <c r="E420" s="11" t="s">
        <v>3</v>
      </c>
      <c r="F420" s="11" t="s">
        <v>98</v>
      </c>
      <c r="G420" s="11" t="s">
        <v>102</v>
      </c>
      <c r="H420" s="108">
        <v>411</v>
      </c>
      <c r="I420" s="22"/>
      <c r="J420" s="108">
        <v>1</v>
      </c>
      <c r="K420" s="110">
        <v>1</v>
      </c>
      <c r="L420" s="259">
        <v>1</v>
      </c>
      <c r="M420" s="260" t="s">
        <v>538</v>
      </c>
    </row>
    <row r="421" spans="1:13" x14ac:dyDescent="0.25">
      <c r="A421" s="146">
        <v>43679</v>
      </c>
      <c r="B421" s="11" t="s">
        <v>17</v>
      </c>
      <c r="C421" s="11" t="s">
        <v>107</v>
      </c>
      <c r="D421" s="11" t="s">
        <v>101</v>
      </c>
      <c r="E421" s="11" t="s">
        <v>3</v>
      </c>
      <c r="F421" s="11" t="s">
        <v>98</v>
      </c>
      <c r="G421" s="11" t="s">
        <v>102</v>
      </c>
      <c r="H421" s="108">
        <v>162</v>
      </c>
      <c r="I421" s="22"/>
      <c r="J421" s="108">
        <v>1</v>
      </c>
      <c r="K421" s="110">
        <v>1</v>
      </c>
      <c r="L421" s="259">
        <v>1</v>
      </c>
      <c r="M421" s="260" t="s">
        <v>539</v>
      </c>
    </row>
    <row r="422" spans="1:13" x14ac:dyDescent="0.25">
      <c r="A422" s="146">
        <v>43680</v>
      </c>
      <c r="B422" s="11" t="s">
        <v>17</v>
      </c>
      <c r="C422" s="11" t="s">
        <v>107</v>
      </c>
      <c r="D422" s="11" t="s">
        <v>101</v>
      </c>
      <c r="E422" s="11" t="s">
        <v>3</v>
      </c>
      <c r="F422" s="11" t="s">
        <v>98</v>
      </c>
      <c r="G422" s="11" t="s">
        <v>102</v>
      </c>
      <c r="H422" s="108">
        <v>59</v>
      </c>
      <c r="I422" s="22"/>
      <c r="J422" s="108">
        <v>1</v>
      </c>
      <c r="K422" s="110">
        <v>1</v>
      </c>
      <c r="L422" s="259">
        <v>1</v>
      </c>
      <c r="M422" s="260" t="s">
        <v>540</v>
      </c>
    </row>
    <row r="423" spans="1:13" x14ac:dyDescent="0.25">
      <c r="A423" s="146">
        <v>43681</v>
      </c>
      <c r="B423" s="11" t="s">
        <v>17</v>
      </c>
      <c r="C423" s="11" t="s">
        <v>107</v>
      </c>
      <c r="D423" s="11" t="s">
        <v>101</v>
      </c>
      <c r="E423" s="11" t="s">
        <v>3</v>
      </c>
      <c r="F423" s="11" t="s">
        <v>98</v>
      </c>
      <c r="G423" s="11" t="s">
        <v>102</v>
      </c>
      <c r="H423" s="108">
        <v>53</v>
      </c>
      <c r="I423" s="22"/>
      <c r="J423" s="108">
        <v>1</v>
      </c>
      <c r="K423" s="110">
        <v>1</v>
      </c>
      <c r="L423" s="259">
        <v>1</v>
      </c>
      <c r="M423" s="260" t="s">
        <v>541</v>
      </c>
    </row>
    <row r="424" spans="1:13" x14ac:dyDescent="0.25">
      <c r="A424" s="146">
        <v>43682</v>
      </c>
      <c r="B424" s="11" t="s">
        <v>17</v>
      </c>
      <c r="C424" s="11" t="s">
        <v>107</v>
      </c>
      <c r="D424" s="11" t="s">
        <v>101</v>
      </c>
      <c r="E424" s="11" t="s">
        <v>3</v>
      </c>
      <c r="F424" s="11" t="s">
        <v>98</v>
      </c>
      <c r="G424" s="11" t="s">
        <v>102</v>
      </c>
      <c r="H424" s="108">
        <v>60</v>
      </c>
      <c r="I424" s="22"/>
      <c r="J424" s="108">
        <v>1</v>
      </c>
      <c r="K424" s="110">
        <v>1</v>
      </c>
      <c r="L424" s="259">
        <v>1</v>
      </c>
      <c r="M424" s="260" t="s">
        <v>542</v>
      </c>
    </row>
    <row r="425" spans="1:13" x14ac:dyDescent="0.25">
      <c r="A425" s="146">
        <v>43683</v>
      </c>
      <c r="B425" s="11" t="s">
        <v>17</v>
      </c>
      <c r="C425" s="11" t="s">
        <v>107</v>
      </c>
      <c r="D425" s="11" t="s">
        <v>101</v>
      </c>
      <c r="E425" s="11" t="s">
        <v>3</v>
      </c>
      <c r="F425" s="11" t="s">
        <v>98</v>
      </c>
      <c r="G425" s="11" t="s">
        <v>102</v>
      </c>
      <c r="H425" s="108">
        <v>78</v>
      </c>
      <c r="I425" s="22"/>
      <c r="J425" s="108">
        <v>1</v>
      </c>
      <c r="K425" s="110">
        <v>1</v>
      </c>
      <c r="L425" s="259">
        <v>1</v>
      </c>
      <c r="M425" s="260" t="s">
        <v>543</v>
      </c>
    </row>
    <row r="426" spans="1:13" x14ac:dyDescent="0.25">
      <c r="A426" s="146">
        <v>43684</v>
      </c>
      <c r="B426" s="11" t="s">
        <v>17</v>
      </c>
      <c r="C426" s="11" t="s">
        <v>107</v>
      </c>
      <c r="D426" s="11" t="s">
        <v>101</v>
      </c>
      <c r="E426" s="11" t="s">
        <v>3</v>
      </c>
      <c r="F426" s="11" t="s">
        <v>98</v>
      </c>
      <c r="G426" s="11" t="s">
        <v>102</v>
      </c>
      <c r="H426" s="108">
        <v>46</v>
      </c>
      <c r="I426" s="22"/>
      <c r="J426" s="108">
        <v>1</v>
      </c>
      <c r="K426" s="110">
        <v>1</v>
      </c>
      <c r="L426" s="259">
        <v>1</v>
      </c>
      <c r="M426" s="260" t="s">
        <v>544</v>
      </c>
    </row>
    <row r="427" spans="1:13" x14ac:dyDescent="0.25">
      <c r="A427" s="146">
        <v>43685</v>
      </c>
      <c r="B427" s="11" t="s">
        <v>17</v>
      </c>
      <c r="C427" s="11" t="s">
        <v>107</v>
      </c>
      <c r="D427" s="11" t="s">
        <v>101</v>
      </c>
      <c r="E427" s="11" t="s">
        <v>3</v>
      </c>
      <c r="F427" s="11" t="s">
        <v>98</v>
      </c>
      <c r="G427" s="11" t="s">
        <v>102</v>
      </c>
      <c r="H427" s="108">
        <v>361</v>
      </c>
      <c r="I427" s="22"/>
      <c r="J427" s="108">
        <v>1</v>
      </c>
      <c r="K427" s="110">
        <v>1</v>
      </c>
      <c r="L427" s="259">
        <v>1</v>
      </c>
      <c r="M427" s="260" t="s">
        <v>545</v>
      </c>
    </row>
    <row r="428" spans="1:13" x14ac:dyDescent="0.25">
      <c r="A428" s="146">
        <v>43686</v>
      </c>
      <c r="B428" s="11" t="s">
        <v>17</v>
      </c>
      <c r="C428" s="11" t="s">
        <v>107</v>
      </c>
      <c r="D428" s="11" t="s">
        <v>101</v>
      </c>
      <c r="E428" s="11" t="s">
        <v>3</v>
      </c>
      <c r="F428" s="11" t="s">
        <v>98</v>
      </c>
      <c r="G428" s="11" t="s">
        <v>102</v>
      </c>
      <c r="H428" s="108">
        <v>345</v>
      </c>
      <c r="I428" s="22"/>
      <c r="J428" s="108">
        <v>1</v>
      </c>
      <c r="K428" s="110">
        <v>1</v>
      </c>
      <c r="L428" s="259">
        <v>1</v>
      </c>
      <c r="M428" s="260" t="s">
        <v>546</v>
      </c>
    </row>
    <row r="429" spans="1:13" x14ac:dyDescent="0.25">
      <c r="A429" s="146">
        <v>43687</v>
      </c>
      <c r="B429" s="11" t="s">
        <v>17</v>
      </c>
      <c r="C429" s="11" t="s">
        <v>107</v>
      </c>
      <c r="D429" s="11" t="s">
        <v>101</v>
      </c>
      <c r="E429" s="11" t="s">
        <v>3</v>
      </c>
      <c r="F429" s="11" t="s">
        <v>98</v>
      </c>
      <c r="G429" s="11" t="s">
        <v>102</v>
      </c>
      <c r="H429" s="108">
        <v>195</v>
      </c>
      <c r="I429" s="22"/>
      <c r="J429" s="108">
        <v>1</v>
      </c>
      <c r="K429" s="110">
        <v>1</v>
      </c>
      <c r="L429" s="259">
        <v>1</v>
      </c>
      <c r="M429" s="260" t="s">
        <v>547</v>
      </c>
    </row>
    <row r="430" spans="1:13" x14ac:dyDescent="0.25">
      <c r="A430" s="146">
        <v>43688</v>
      </c>
      <c r="B430" s="11" t="s">
        <v>17</v>
      </c>
      <c r="C430" s="11" t="s">
        <v>107</v>
      </c>
      <c r="D430" s="11" t="s">
        <v>101</v>
      </c>
      <c r="E430" s="11" t="s">
        <v>3</v>
      </c>
      <c r="F430" s="11" t="s">
        <v>98</v>
      </c>
      <c r="G430" s="11" t="s">
        <v>102</v>
      </c>
      <c r="H430" s="108">
        <v>73</v>
      </c>
      <c r="I430" s="22"/>
      <c r="J430" s="108">
        <v>1</v>
      </c>
      <c r="K430" s="110">
        <v>1</v>
      </c>
      <c r="L430" s="259">
        <v>1</v>
      </c>
      <c r="M430" s="260" t="s">
        <v>548</v>
      </c>
    </row>
    <row r="431" spans="1:13" x14ac:dyDescent="0.25">
      <c r="A431" s="146">
        <v>43689</v>
      </c>
      <c r="B431" s="11" t="s">
        <v>17</v>
      </c>
      <c r="C431" s="11" t="s">
        <v>107</v>
      </c>
      <c r="D431" s="11" t="s">
        <v>101</v>
      </c>
      <c r="E431" s="11" t="s">
        <v>3</v>
      </c>
      <c r="F431" s="11" t="s">
        <v>98</v>
      </c>
      <c r="G431" s="11" t="s">
        <v>102</v>
      </c>
      <c r="H431" s="108">
        <v>86</v>
      </c>
      <c r="I431" s="22"/>
      <c r="J431" s="108">
        <v>1</v>
      </c>
      <c r="K431" s="110">
        <v>1</v>
      </c>
      <c r="L431" s="259">
        <v>1</v>
      </c>
      <c r="M431" s="260" t="s">
        <v>549</v>
      </c>
    </row>
    <row r="432" spans="1:13" x14ac:dyDescent="0.25">
      <c r="A432" s="146">
        <v>43690</v>
      </c>
      <c r="B432" s="11" t="s">
        <v>17</v>
      </c>
      <c r="C432" s="11" t="s">
        <v>107</v>
      </c>
      <c r="D432" s="11" t="s">
        <v>101</v>
      </c>
      <c r="E432" s="11" t="s">
        <v>3</v>
      </c>
      <c r="F432" s="11" t="s">
        <v>98</v>
      </c>
      <c r="G432" s="11" t="s">
        <v>102</v>
      </c>
      <c r="H432" s="108">
        <v>134</v>
      </c>
      <c r="I432" s="22"/>
      <c r="J432" s="108">
        <v>1</v>
      </c>
      <c r="K432" s="110">
        <v>1</v>
      </c>
      <c r="L432" s="259">
        <v>1</v>
      </c>
      <c r="M432" s="260" t="s">
        <v>550</v>
      </c>
    </row>
    <row r="433" spans="1:13" x14ac:dyDescent="0.25">
      <c r="A433" s="146">
        <v>43691</v>
      </c>
      <c r="B433" s="11" t="s">
        <v>17</v>
      </c>
      <c r="C433" s="11" t="s">
        <v>107</v>
      </c>
      <c r="D433" s="11" t="s">
        <v>101</v>
      </c>
      <c r="E433" s="11" t="s">
        <v>3</v>
      </c>
      <c r="F433" s="11" t="s">
        <v>98</v>
      </c>
      <c r="G433" s="11" t="s">
        <v>102</v>
      </c>
      <c r="H433" s="108">
        <v>68</v>
      </c>
      <c r="I433" s="22"/>
      <c r="J433" s="108">
        <v>1</v>
      </c>
      <c r="K433" s="110">
        <v>1</v>
      </c>
      <c r="L433" s="259">
        <v>1</v>
      </c>
      <c r="M433" s="260" t="s">
        <v>551</v>
      </c>
    </row>
    <row r="434" spans="1:13" x14ac:dyDescent="0.25">
      <c r="A434" s="146">
        <v>43692</v>
      </c>
      <c r="B434" s="11" t="s">
        <v>17</v>
      </c>
      <c r="C434" s="11" t="s">
        <v>107</v>
      </c>
      <c r="D434" s="11" t="s">
        <v>101</v>
      </c>
      <c r="E434" s="11" t="s">
        <v>3</v>
      </c>
      <c r="F434" s="11" t="s">
        <v>98</v>
      </c>
      <c r="G434" s="11" t="s">
        <v>102</v>
      </c>
      <c r="H434" s="108">
        <v>55</v>
      </c>
      <c r="I434" s="22"/>
      <c r="J434" s="108">
        <v>1</v>
      </c>
      <c r="K434" s="110">
        <v>1</v>
      </c>
      <c r="L434" s="259">
        <v>1</v>
      </c>
      <c r="M434" s="260" t="s">
        <v>552</v>
      </c>
    </row>
    <row r="435" spans="1:13" x14ac:dyDescent="0.25">
      <c r="A435" s="146">
        <v>43693</v>
      </c>
      <c r="B435" s="11" t="s">
        <v>17</v>
      </c>
      <c r="C435" s="11" t="s">
        <v>107</v>
      </c>
      <c r="D435" s="11" t="s">
        <v>101</v>
      </c>
      <c r="E435" s="11" t="s">
        <v>3</v>
      </c>
      <c r="F435" s="11" t="s">
        <v>98</v>
      </c>
      <c r="G435" s="11" t="s">
        <v>102</v>
      </c>
      <c r="H435" s="108">
        <v>101</v>
      </c>
      <c r="I435" s="22"/>
      <c r="J435" s="108">
        <v>1</v>
      </c>
      <c r="K435" s="110">
        <v>1</v>
      </c>
      <c r="L435" s="259">
        <v>1</v>
      </c>
      <c r="M435" s="260" t="s">
        <v>553</v>
      </c>
    </row>
    <row r="436" spans="1:13" x14ac:dyDescent="0.25">
      <c r="A436" s="146">
        <v>43694</v>
      </c>
      <c r="B436" s="11" t="s">
        <v>17</v>
      </c>
      <c r="C436" s="11" t="s">
        <v>107</v>
      </c>
      <c r="D436" s="11" t="s">
        <v>101</v>
      </c>
      <c r="E436" s="11" t="s">
        <v>3</v>
      </c>
      <c r="F436" s="11" t="s">
        <v>98</v>
      </c>
      <c r="G436" s="11" t="s">
        <v>102</v>
      </c>
      <c r="H436" s="108">
        <v>60</v>
      </c>
      <c r="I436" s="22"/>
      <c r="J436" s="108">
        <v>1</v>
      </c>
      <c r="K436" s="110">
        <v>1</v>
      </c>
      <c r="L436" s="259">
        <v>1</v>
      </c>
      <c r="M436" s="260" t="s">
        <v>554</v>
      </c>
    </row>
    <row r="437" spans="1:13" x14ac:dyDescent="0.25">
      <c r="A437" s="146">
        <v>43695</v>
      </c>
      <c r="B437" s="11" t="s">
        <v>17</v>
      </c>
      <c r="C437" s="11" t="s">
        <v>107</v>
      </c>
      <c r="D437" s="11" t="s">
        <v>101</v>
      </c>
      <c r="E437" s="11" t="s">
        <v>3</v>
      </c>
      <c r="F437" s="11" t="s">
        <v>98</v>
      </c>
      <c r="G437" s="11" t="s">
        <v>102</v>
      </c>
      <c r="H437" s="108">
        <v>37</v>
      </c>
      <c r="I437" s="22"/>
      <c r="J437" s="108">
        <v>1</v>
      </c>
      <c r="K437" s="110">
        <v>1</v>
      </c>
      <c r="L437" s="259">
        <v>1</v>
      </c>
      <c r="M437" s="260" t="s">
        <v>555</v>
      </c>
    </row>
    <row r="438" spans="1:13" x14ac:dyDescent="0.25">
      <c r="A438" s="146">
        <v>43696</v>
      </c>
      <c r="B438" s="11" t="s">
        <v>17</v>
      </c>
      <c r="C438" s="11" t="s">
        <v>107</v>
      </c>
      <c r="D438" s="11" t="s">
        <v>101</v>
      </c>
      <c r="E438" s="11" t="s">
        <v>3</v>
      </c>
      <c r="F438" s="11" t="s">
        <v>98</v>
      </c>
      <c r="G438" s="11" t="s">
        <v>102</v>
      </c>
      <c r="H438" s="108">
        <v>51</v>
      </c>
      <c r="I438" s="22"/>
      <c r="J438" s="108">
        <v>1</v>
      </c>
      <c r="K438" s="110">
        <v>1</v>
      </c>
      <c r="L438" s="259">
        <v>1</v>
      </c>
      <c r="M438" s="260" t="s">
        <v>556</v>
      </c>
    </row>
    <row r="439" spans="1:13" x14ac:dyDescent="0.25">
      <c r="A439" s="146">
        <v>43697</v>
      </c>
      <c r="B439" s="11" t="s">
        <v>17</v>
      </c>
      <c r="C439" s="11" t="s">
        <v>107</v>
      </c>
      <c r="D439" s="11" t="s">
        <v>101</v>
      </c>
      <c r="E439" s="11" t="s">
        <v>3</v>
      </c>
      <c r="F439" s="11" t="s">
        <v>98</v>
      </c>
      <c r="G439" s="11" t="s">
        <v>102</v>
      </c>
      <c r="H439" s="108">
        <v>84</v>
      </c>
      <c r="I439" s="22"/>
      <c r="J439" s="108">
        <v>1</v>
      </c>
      <c r="K439" s="110">
        <v>1</v>
      </c>
      <c r="L439" s="259">
        <v>1</v>
      </c>
      <c r="M439" s="260" t="s">
        <v>557</v>
      </c>
    </row>
    <row r="440" spans="1:13" x14ac:dyDescent="0.25">
      <c r="A440" s="146">
        <v>43698</v>
      </c>
      <c r="B440" s="11" t="s">
        <v>17</v>
      </c>
      <c r="C440" s="11" t="s">
        <v>107</v>
      </c>
      <c r="D440" s="11" t="s">
        <v>101</v>
      </c>
      <c r="E440" s="11" t="s">
        <v>3</v>
      </c>
      <c r="F440" s="11" t="s">
        <v>98</v>
      </c>
      <c r="G440" s="11" t="s">
        <v>102</v>
      </c>
      <c r="H440" s="108">
        <v>91</v>
      </c>
      <c r="I440" s="22"/>
      <c r="J440" s="108">
        <v>1</v>
      </c>
      <c r="K440" s="110">
        <v>1</v>
      </c>
      <c r="L440" s="259">
        <v>1</v>
      </c>
      <c r="M440" s="260" t="s">
        <v>558</v>
      </c>
    </row>
    <row r="441" spans="1:13" x14ac:dyDescent="0.25">
      <c r="A441" s="146">
        <v>43699</v>
      </c>
      <c r="B441" s="11" t="s">
        <v>17</v>
      </c>
      <c r="C441" s="11" t="s">
        <v>107</v>
      </c>
      <c r="D441" s="11" t="s">
        <v>101</v>
      </c>
      <c r="E441" s="11" t="s">
        <v>3</v>
      </c>
      <c r="F441" s="11" t="s">
        <v>98</v>
      </c>
      <c r="G441" s="11" t="s">
        <v>102</v>
      </c>
      <c r="H441" s="108">
        <v>184</v>
      </c>
      <c r="I441" s="22"/>
      <c r="J441" s="108">
        <v>1</v>
      </c>
      <c r="K441" s="110">
        <v>1</v>
      </c>
      <c r="L441" s="259">
        <v>1</v>
      </c>
      <c r="M441" s="260" t="s">
        <v>559</v>
      </c>
    </row>
    <row r="442" spans="1:13" x14ac:dyDescent="0.25">
      <c r="A442" s="146">
        <v>43700</v>
      </c>
      <c r="B442" s="11" t="s">
        <v>17</v>
      </c>
      <c r="C442" s="11" t="s">
        <v>107</v>
      </c>
      <c r="D442" s="11" t="s">
        <v>101</v>
      </c>
      <c r="E442" s="11" t="s">
        <v>3</v>
      </c>
      <c r="F442" s="11" t="s">
        <v>98</v>
      </c>
      <c r="G442" s="11" t="s">
        <v>102</v>
      </c>
      <c r="H442" s="108">
        <v>36</v>
      </c>
      <c r="I442" s="22"/>
      <c r="J442" s="108">
        <v>1</v>
      </c>
      <c r="K442" s="110">
        <v>1</v>
      </c>
      <c r="L442" s="259">
        <v>1</v>
      </c>
      <c r="M442" s="260" t="s">
        <v>560</v>
      </c>
    </row>
    <row r="443" spans="1:13" x14ac:dyDescent="0.25">
      <c r="A443" s="146">
        <v>43701</v>
      </c>
      <c r="B443" s="11" t="s">
        <v>17</v>
      </c>
      <c r="C443" s="11" t="s">
        <v>107</v>
      </c>
      <c r="D443" s="11" t="s">
        <v>101</v>
      </c>
      <c r="E443" s="11" t="s">
        <v>3</v>
      </c>
      <c r="F443" s="11" t="s">
        <v>98</v>
      </c>
      <c r="G443" s="11" t="s">
        <v>102</v>
      </c>
      <c r="H443" s="108">
        <v>51</v>
      </c>
      <c r="I443" s="22"/>
      <c r="J443" s="108">
        <v>1</v>
      </c>
      <c r="K443" s="110">
        <v>1</v>
      </c>
      <c r="L443" s="259">
        <v>1</v>
      </c>
      <c r="M443" s="260" t="s">
        <v>561</v>
      </c>
    </row>
    <row r="444" spans="1:13" x14ac:dyDescent="0.25">
      <c r="A444" s="146">
        <v>43702</v>
      </c>
      <c r="B444" s="11" t="s">
        <v>17</v>
      </c>
      <c r="C444" s="11" t="s">
        <v>107</v>
      </c>
      <c r="D444" s="11" t="s">
        <v>101</v>
      </c>
      <c r="E444" s="11" t="s">
        <v>3</v>
      </c>
      <c r="F444" s="11" t="s">
        <v>98</v>
      </c>
      <c r="G444" s="11" t="s">
        <v>102</v>
      </c>
      <c r="H444" s="108">
        <v>144</v>
      </c>
      <c r="I444" s="22"/>
      <c r="J444" s="108">
        <v>1</v>
      </c>
      <c r="K444" s="110">
        <v>1</v>
      </c>
      <c r="L444" s="259">
        <v>1</v>
      </c>
      <c r="M444" s="260" t="s">
        <v>562</v>
      </c>
    </row>
    <row r="445" spans="1:13" x14ac:dyDescent="0.25">
      <c r="A445" s="146">
        <v>43703</v>
      </c>
      <c r="B445" s="11" t="s">
        <v>17</v>
      </c>
      <c r="C445" s="11" t="s">
        <v>107</v>
      </c>
      <c r="D445" s="11" t="s">
        <v>101</v>
      </c>
      <c r="E445" s="11" t="s">
        <v>3</v>
      </c>
      <c r="F445" s="11" t="s">
        <v>98</v>
      </c>
      <c r="G445" s="11" t="s">
        <v>102</v>
      </c>
      <c r="H445" s="108">
        <v>155</v>
      </c>
      <c r="I445" s="22"/>
      <c r="J445" s="108">
        <v>1</v>
      </c>
      <c r="K445" s="110">
        <v>1</v>
      </c>
      <c r="L445" s="259">
        <v>1</v>
      </c>
      <c r="M445" s="260" t="s">
        <v>563</v>
      </c>
    </row>
    <row r="446" spans="1:13" x14ac:dyDescent="0.25">
      <c r="A446" s="146">
        <v>43704</v>
      </c>
      <c r="B446" s="11" t="s">
        <v>17</v>
      </c>
      <c r="C446" s="11" t="s">
        <v>107</v>
      </c>
      <c r="D446" s="11" t="s">
        <v>101</v>
      </c>
      <c r="E446" s="11" t="s">
        <v>3</v>
      </c>
      <c r="F446" s="11" t="s">
        <v>98</v>
      </c>
      <c r="G446" s="11" t="s">
        <v>102</v>
      </c>
      <c r="H446" s="108">
        <v>134</v>
      </c>
      <c r="I446" s="22"/>
      <c r="J446" s="108">
        <v>1</v>
      </c>
      <c r="K446" s="110">
        <v>1</v>
      </c>
      <c r="L446" s="259">
        <v>1</v>
      </c>
      <c r="M446" s="260" t="s">
        <v>564</v>
      </c>
    </row>
    <row r="447" spans="1:13" x14ac:dyDescent="0.25">
      <c r="A447" s="146">
        <v>43705</v>
      </c>
      <c r="B447" s="11" t="s">
        <v>17</v>
      </c>
      <c r="C447" s="11" t="s">
        <v>107</v>
      </c>
      <c r="D447" s="11" t="s">
        <v>101</v>
      </c>
      <c r="E447" s="11" t="s">
        <v>3</v>
      </c>
      <c r="F447" s="11" t="s">
        <v>98</v>
      </c>
      <c r="G447" s="11" t="s">
        <v>102</v>
      </c>
      <c r="H447" s="108">
        <v>248</v>
      </c>
      <c r="I447" s="22"/>
      <c r="J447" s="108">
        <v>1</v>
      </c>
      <c r="K447" s="110">
        <v>1</v>
      </c>
      <c r="L447" s="259">
        <v>1</v>
      </c>
      <c r="M447" s="260" t="s">
        <v>565</v>
      </c>
    </row>
    <row r="448" spans="1:13" x14ac:dyDescent="0.25">
      <c r="A448" s="146">
        <v>43706</v>
      </c>
      <c r="B448" s="11" t="s">
        <v>17</v>
      </c>
      <c r="C448" s="11" t="s">
        <v>107</v>
      </c>
      <c r="D448" s="11" t="s">
        <v>101</v>
      </c>
      <c r="E448" s="11" t="s">
        <v>3</v>
      </c>
      <c r="F448" s="11" t="s">
        <v>98</v>
      </c>
      <c r="G448" s="11" t="s">
        <v>102</v>
      </c>
      <c r="H448" s="108">
        <v>411</v>
      </c>
      <c r="I448" s="22"/>
      <c r="J448" s="108">
        <v>1</v>
      </c>
      <c r="K448" s="110">
        <v>1</v>
      </c>
      <c r="L448" s="259">
        <v>1</v>
      </c>
      <c r="M448" s="260" t="s">
        <v>566</v>
      </c>
    </row>
    <row r="449" spans="1:13" x14ac:dyDescent="0.25">
      <c r="A449" s="146">
        <v>43707</v>
      </c>
      <c r="B449" s="11" t="s">
        <v>17</v>
      </c>
      <c r="C449" s="11" t="s">
        <v>107</v>
      </c>
      <c r="D449" s="11" t="s">
        <v>101</v>
      </c>
      <c r="E449" s="11" t="s">
        <v>3</v>
      </c>
      <c r="F449" s="11" t="s">
        <v>98</v>
      </c>
      <c r="G449" s="11" t="s">
        <v>102</v>
      </c>
      <c r="H449" s="108">
        <v>119</v>
      </c>
      <c r="I449" s="22"/>
      <c r="J449" s="108">
        <v>1</v>
      </c>
      <c r="K449" s="110">
        <v>1</v>
      </c>
      <c r="L449" s="259">
        <v>1</v>
      </c>
      <c r="M449" s="260" t="s">
        <v>567</v>
      </c>
    </row>
    <row r="450" spans="1:13" x14ac:dyDescent="0.25">
      <c r="A450" s="146">
        <v>43708</v>
      </c>
      <c r="B450" s="11" t="s">
        <v>17</v>
      </c>
      <c r="C450" s="11" t="s">
        <v>107</v>
      </c>
      <c r="D450" s="11" t="s">
        <v>101</v>
      </c>
      <c r="E450" s="11" t="s">
        <v>3</v>
      </c>
      <c r="F450" s="11" t="s">
        <v>98</v>
      </c>
      <c r="G450" s="11" t="s">
        <v>102</v>
      </c>
      <c r="H450" s="108">
        <v>55</v>
      </c>
      <c r="I450" s="22"/>
      <c r="J450" s="108">
        <v>1</v>
      </c>
      <c r="K450" s="110">
        <v>1</v>
      </c>
      <c r="L450" s="259">
        <v>1</v>
      </c>
      <c r="M450" s="260" t="s">
        <v>568</v>
      </c>
    </row>
    <row r="451" spans="1:13" x14ac:dyDescent="0.25">
      <c r="A451" s="146">
        <v>43674</v>
      </c>
      <c r="B451" s="11" t="s">
        <v>17</v>
      </c>
      <c r="C451" s="11" t="s">
        <v>107</v>
      </c>
      <c r="D451" s="11" t="s">
        <v>125</v>
      </c>
      <c r="E451" s="11" t="s">
        <v>126</v>
      </c>
      <c r="F451" s="11" t="s">
        <v>98</v>
      </c>
      <c r="G451" s="11" t="s">
        <v>76</v>
      </c>
      <c r="H451" s="108">
        <v>42.49</v>
      </c>
      <c r="I451" s="22"/>
      <c r="J451" s="108"/>
      <c r="K451" s="110">
        <v>1</v>
      </c>
      <c r="L451" s="259"/>
      <c r="M451" s="260" t="s">
        <v>534</v>
      </c>
    </row>
    <row r="452" spans="1:13" x14ac:dyDescent="0.25">
      <c r="A452" s="146">
        <v>43674</v>
      </c>
      <c r="B452" s="11" t="s">
        <v>17</v>
      </c>
      <c r="C452" s="11" t="s">
        <v>107</v>
      </c>
      <c r="D452" s="11" t="s">
        <v>125</v>
      </c>
      <c r="E452" s="11" t="s">
        <v>126</v>
      </c>
      <c r="F452" s="11" t="s">
        <v>98</v>
      </c>
      <c r="G452" s="11" t="s">
        <v>76</v>
      </c>
      <c r="H452" s="108">
        <v>53.26</v>
      </c>
      <c r="I452" s="22"/>
      <c r="J452" s="108"/>
      <c r="K452" s="110">
        <v>1</v>
      </c>
      <c r="L452" s="259"/>
      <c r="M452" s="260" t="s">
        <v>498</v>
      </c>
    </row>
    <row r="453" spans="1:13" x14ac:dyDescent="0.25">
      <c r="A453" s="146">
        <v>43675</v>
      </c>
      <c r="B453" s="11" t="s">
        <v>17</v>
      </c>
      <c r="C453" s="11" t="s">
        <v>107</v>
      </c>
      <c r="D453" s="11" t="s">
        <v>125</v>
      </c>
      <c r="E453" s="11" t="s">
        <v>126</v>
      </c>
      <c r="F453" s="11" t="s">
        <v>98</v>
      </c>
      <c r="G453" s="11" t="s">
        <v>76</v>
      </c>
      <c r="H453" s="108">
        <v>63.69</v>
      </c>
      <c r="I453" s="22"/>
      <c r="J453" s="108"/>
      <c r="K453" s="110">
        <v>1</v>
      </c>
      <c r="L453" s="259"/>
      <c r="M453" s="260" t="s">
        <v>499</v>
      </c>
    </row>
    <row r="454" spans="1:13" x14ac:dyDescent="0.25">
      <c r="A454" s="146">
        <v>43675</v>
      </c>
      <c r="B454" s="11" t="s">
        <v>17</v>
      </c>
      <c r="C454" s="11" t="s">
        <v>107</v>
      </c>
      <c r="D454" s="11" t="s">
        <v>125</v>
      </c>
      <c r="E454" s="11" t="s">
        <v>126</v>
      </c>
      <c r="F454" s="11" t="s">
        <v>98</v>
      </c>
      <c r="G454" s="11" t="s">
        <v>76</v>
      </c>
      <c r="H454" s="108">
        <v>48.32</v>
      </c>
      <c r="I454" s="22"/>
      <c r="J454" s="108"/>
      <c r="K454" s="110">
        <v>1</v>
      </c>
      <c r="L454" s="259"/>
      <c r="M454" s="260" t="s">
        <v>535</v>
      </c>
    </row>
    <row r="455" spans="1:13" x14ac:dyDescent="0.25">
      <c r="A455" s="146">
        <v>43676</v>
      </c>
      <c r="B455" s="11" t="s">
        <v>17</v>
      </c>
      <c r="C455" s="11" t="s">
        <v>107</v>
      </c>
      <c r="D455" s="11" t="s">
        <v>125</v>
      </c>
      <c r="E455" s="11" t="s">
        <v>126</v>
      </c>
      <c r="F455" s="11" t="s">
        <v>98</v>
      </c>
      <c r="G455" s="11" t="s">
        <v>76</v>
      </c>
      <c r="H455" s="108">
        <v>79.91</v>
      </c>
      <c r="I455" s="22"/>
      <c r="J455" s="108"/>
      <c r="K455" s="110">
        <v>1</v>
      </c>
      <c r="L455" s="259"/>
      <c r="M455" s="260" t="s">
        <v>536</v>
      </c>
    </row>
    <row r="456" spans="1:13" x14ac:dyDescent="0.25">
      <c r="A456" s="146">
        <v>43676</v>
      </c>
      <c r="B456" s="11" t="s">
        <v>17</v>
      </c>
      <c r="C456" s="11" t="s">
        <v>107</v>
      </c>
      <c r="D456" s="11" t="s">
        <v>125</v>
      </c>
      <c r="E456" s="11" t="s">
        <v>126</v>
      </c>
      <c r="F456" s="11" t="s">
        <v>98</v>
      </c>
      <c r="G456" s="11" t="s">
        <v>76</v>
      </c>
      <c r="H456" s="108">
        <v>65.16</v>
      </c>
      <c r="I456" s="22"/>
      <c r="J456" s="108"/>
      <c r="K456" s="110">
        <v>1</v>
      </c>
      <c r="L456" s="259"/>
      <c r="M456" s="260" t="s">
        <v>500</v>
      </c>
    </row>
    <row r="457" spans="1:13" x14ac:dyDescent="0.25">
      <c r="A457" s="146">
        <v>43677</v>
      </c>
      <c r="B457" s="11" t="s">
        <v>17</v>
      </c>
      <c r="C457" s="11" t="s">
        <v>107</v>
      </c>
      <c r="D457" s="11" t="s">
        <v>125</v>
      </c>
      <c r="E457" s="11" t="s">
        <v>126</v>
      </c>
      <c r="F457" s="11" t="s">
        <v>98</v>
      </c>
      <c r="G457" s="11" t="s">
        <v>76</v>
      </c>
      <c r="H457" s="108">
        <v>82.32</v>
      </c>
      <c r="I457" s="22"/>
      <c r="J457" s="108"/>
      <c r="K457" s="110">
        <v>1</v>
      </c>
      <c r="L457" s="259"/>
      <c r="M457" s="260" t="s">
        <v>501</v>
      </c>
    </row>
    <row r="458" spans="1:13" x14ac:dyDescent="0.25">
      <c r="A458" s="146">
        <v>43677</v>
      </c>
      <c r="B458" s="11" t="s">
        <v>17</v>
      </c>
      <c r="C458" s="11" t="s">
        <v>107</v>
      </c>
      <c r="D458" s="11" t="s">
        <v>125</v>
      </c>
      <c r="E458" s="11" t="s">
        <v>126</v>
      </c>
      <c r="F458" s="11" t="s">
        <v>98</v>
      </c>
      <c r="G458" s="11" t="s">
        <v>76</v>
      </c>
      <c r="H458" s="108">
        <v>35.81</v>
      </c>
      <c r="I458" s="22"/>
      <c r="J458" s="108"/>
      <c r="K458" s="110">
        <v>1</v>
      </c>
      <c r="L458" s="259"/>
      <c r="M458" s="260" t="s">
        <v>537</v>
      </c>
    </row>
    <row r="459" spans="1:13" x14ac:dyDescent="0.25">
      <c r="A459" s="146">
        <v>43678</v>
      </c>
      <c r="B459" s="11" t="s">
        <v>17</v>
      </c>
      <c r="C459" s="11" t="s">
        <v>107</v>
      </c>
      <c r="D459" s="11" t="s">
        <v>125</v>
      </c>
      <c r="E459" s="11" t="s">
        <v>126</v>
      </c>
      <c r="F459" s="11" t="s">
        <v>98</v>
      </c>
      <c r="G459" s="11" t="s">
        <v>76</v>
      </c>
      <c r="H459" s="108">
        <v>50.79</v>
      </c>
      <c r="I459" s="22"/>
      <c r="J459" s="108"/>
      <c r="K459" s="110">
        <v>1</v>
      </c>
      <c r="L459" s="259"/>
      <c r="M459" s="260" t="s">
        <v>538</v>
      </c>
    </row>
    <row r="460" spans="1:13" x14ac:dyDescent="0.25">
      <c r="A460" s="146">
        <v>43678</v>
      </c>
      <c r="B460" s="11" t="s">
        <v>17</v>
      </c>
      <c r="C460" s="11" t="s">
        <v>107</v>
      </c>
      <c r="D460" s="11" t="s">
        <v>125</v>
      </c>
      <c r="E460" s="11" t="s">
        <v>126</v>
      </c>
      <c r="F460" s="11" t="s">
        <v>98</v>
      </c>
      <c r="G460" s="11" t="s">
        <v>76</v>
      </c>
      <c r="H460" s="108">
        <v>65.69</v>
      </c>
      <c r="I460" s="22"/>
      <c r="J460" s="108"/>
      <c r="K460" s="110">
        <v>1</v>
      </c>
      <c r="L460" s="259"/>
      <c r="M460" s="260" t="s">
        <v>502</v>
      </c>
    </row>
    <row r="461" spans="1:13" x14ac:dyDescent="0.25">
      <c r="A461" s="146">
        <v>43679</v>
      </c>
      <c r="B461" s="11" t="s">
        <v>17</v>
      </c>
      <c r="C461" s="11" t="s">
        <v>107</v>
      </c>
      <c r="D461" s="11" t="s">
        <v>125</v>
      </c>
      <c r="E461" s="11" t="s">
        <v>126</v>
      </c>
      <c r="F461" s="11" t="s">
        <v>98</v>
      </c>
      <c r="G461" s="11" t="s">
        <v>76</v>
      </c>
      <c r="H461" s="108">
        <v>71.36</v>
      </c>
      <c r="I461" s="22"/>
      <c r="J461" s="108"/>
      <c r="K461" s="110">
        <v>1</v>
      </c>
      <c r="L461" s="259"/>
      <c r="M461" s="260" t="s">
        <v>539</v>
      </c>
    </row>
    <row r="462" spans="1:13" x14ac:dyDescent="0.25">
      <c r="A462" s="146">
        <v>43679</v>
      </c>
      <c r="B462" s="11" t="s">
        <v>17</v>
      </c>
      <c r="C462" s="11" t="s">
        <v>107</v>
      </c>
      <c r="D462" s="11" t="s">
        <v>125</v>
      </c>
      <c r="E462" s="11" t="s">
        <v>126</v>
      </c>
      <c r="F462" s="11" t="s">
        <v>98</v>
      </c>
      <c r="G462" s="11" t="s">
        <v>76</v>
      </c>
      <c r="H462" s="108">
        <v>73.72</v>
      </c>
      <c r="I462" s="22"/>
      <c r="J462" s="108"/>
      <c r="K462" s="110">
        <v>1</v>
      </c>
      <c r="L462" s="259"/>
      <c r="M462" s="260" t="s">
        <v>503</v>
      </c>
    </row>
    <row r="463" spans="1:13" x14ac:dyDescent="0.25">
      <c r="A463" s="146">
        <v>43680</v>
      </c>
      <c r="B463" s="11" t="s">
        <v>17</v>
      </c>
      <c r="C463" s="11" t="s">
        <v>107</v>
      </c>
      <c r="D463" s="11" t="s">
        <v>125</v>
      </c>
      <c r="E463" s="11" t="s">
        <v>126</v>
      </c>
      <c r="F463" s="11" t="s">
        <v>98</v>
      </c>
      <c r="G463" s="11" t="s">
        <v>76</v>
      </c>
      <c r="H463" s="108">
        <v>61.45</v>
      </c>
      <c r="I463" s="22"/>
      <c r="J463" s="108"/>
      <c r="K463" s="110">
        <v>1</v>
      </c>
      <c r="L463" s="259"/>
      <c r="M463" s="260" t="s">
        <v>504</v>
      </c>
    </row>
    <row r="464" spans="1:13" x14ac:dyDescent="0.25">
      <c r="A464" s="146">
        <v>43680</v>
      </c>
      <c r="B464" s="11" t="s">
        <v>17</v>
      </c>
      <c r="C464" s="11" t="s">
        <v>107</v>
      </c>
      <c r="D464" s="11" t="s">
        <v>125</v>
      </c>
      <c r="E464" s="11" t="s">
        <v>126</v>
      </c>
      <c r="F464" s="11" t="s">
        <v>98</v>
      </c>
      <c r="G464" s="11" t="s">
        <v>76</v>
      </c>
      <c r="H464" s="108">
        <v>73.98</v>
      </c>
      <c r="I464" s="22"/>
      <c r="J464" s="108"/>
      <c r="K464" s="110">
        <v>1</v>
      </c>
      <c r="L464" s="259"/>
      <c r="M464" s="260" t="s">
        <v>540</v>
      </c>
    </row>
    <row r="465" spans="1:13" x14ac:dyDescent="0.25">
      <c r="A465" s="146">
        <v>43681</v>
      </c>
      <c r="B465" s="11" t="s">
        <v>17</v>
      </c>
      <c r="C465" s="11" t="s">
        <v>107</v>
      </c>
      <c r="D465" s="11" t="s">
        <v>125</v>
      </c>
      <c r="E465" s="11" t="s">
        <v>126</v>
      </c>
      <c r="F465" s="11" t="s">
        <v>98</v>
      </c>
      <c r="G465" s="11" t="s">
        <v>76</v>
      </c>
      <c r="H465" s="108">
        <v>85.52</v>
      </c>
      <c r="I465" s="22"/>
      <c r="J465" s="108"/>
      <c r="K465" s="110">
        <v>1</v>
      </c>
      <c r="L465" s="259"/>
      <c r="M465" s="260" t="s">
        <v>541</v>
      </c>
    </row>
    <row r="466" spans="1:13" x14ac:dyDescent="0.25">
      <c r="A466" s="146">
        <v>43681</v>
      </c>
      <c r="B466" s="11" t="s">
        <v>17</v>
      </c>
      <c r="C466" s="11" t="s">
        <v>107</v>
      </c>
      <c r="D466" s="11" t="s">
        <v>125</v>
      </c>
      <c r="E466" s="11" t="s">
        <v>126</v>
      </c>
      <c r="F466" s="11" t="s">
        <v>98</v>
      </c>
      <c r="G466" s="11" t="s">
        <v>76</v>
      </c>
      <c r="H466" s="108">
        <v>67.040000000000006</v>
      </c>
      <c r="I466" s="22"/>
      <c r="J466" s="108"/>
      <c r="K466" s="110">
        <v>1</v>
      </c>
      <c r="L466" s="259"/>
      <c r="M466" s="260" t="s">
        <v>505</v>
      </c>
    </row>
    <row r="467" spans="1:13" x14ac:dyDescent="0.25">
      <c r="A467" s="146">
        <v>43682</v>
      </c>
      <c r="B467" s="11" t="s">
        <v>17</v>
      </c>
      <c r="C467" s="11" t="s">
        <v>107</v>
      </c>
      <c r="D467" s="11" t="s">
        <v>125</v>
      </c>
      <c r="E467" s="11" t="s">
        <v>126</v>
      </c>
      <c r="F467" s="11" t="s">
        <v>98</v>
      </c>
      <c r="G467" s="11" t="s">
        <v>76</v>
      </c>
      <c r="H467" s="108">
        <v>63.95</v>
      </c>
      <c r="I467" s="22"/>
      <c r="J467" s="108"/>
      <c r="K467" s="110">
        <v>1</v>
      </c>
      <c r="L467" s="259"/>
      <c r="M467" s="260" t="s">
        <v>542</v>
      </c>
    </row>
    <row r="468" spans="1:13" x14ac:dyDescent="0.25">
      <c r="A468" s="146">
        <v>43682</v>
      </c>
      <c r="B468" s="11" t="s">
        <v>17</v>
      </c>
      <c r="C468" s="11" t="s">
        <v>107</v>
      </c>
      <c r="D468" s="11" t="s">
        <v>125</v>
      </c>
      <c r="E468" s="11" t="s">
        <v>126</v>
      </c>
      <c r="F468" s="11" t="s">
        <v>98</v>
      </c>
      <c r="G468" s="11" t="s">
        <v>76</v>
      </c>
      <c r="H468" s="108">
        <v>60.6</v>
      </c>
      <c r="I468" s="22"/>
      <c r="J468" s="108"/>
      <c r="K468" s="110">
        <v>1</v>
      </c>
      <c r="L468" s="259"/>
      <c r="M468" s="260" t="s">
        <v>506</v>
      </c>
    </row>
    <row r="469" spans="1:13" x14ac:dyDescent="0.25">
      <c r="A469" s="146">
        <v>43683</v>
      </c>
      <c r="B469" s="11" t="s">
        <v>17</v>
      </c>
      <c r="C469" s="11" t="s">
        <v>107</v>
      </c>
      <c r="D469" s="11" t="s">
        <v>125</v>
      </c>
      <c r="E469" s="11" t="s">
        <v>126</v>
      </c>
      <c r="F469" s="11" t="s">
        <v>98</v>
      </c>
      <c r="G469" s="11" t="s">
        <v>76</v>
      </c>
      <c r="H469" s="108">
        <v>45.65</v>
      </c>
      <c r="I469" s="22"/>
      <c r="J469" s="108"/>
      <c r="K469" s="110">
        <v>1</v>
      </c>
      <c r="L469" s="259"/>
      <c r="M469" s="260" t="s">
        <v>543</v>
      </c>
    </row>
    <row r="470" spans="1:13" x14ac:dyDescent="0.25">
      <c r="A470" s="146">
        <v>43683</v>
      </c>
      <c r="B470" s="11" t="s">
        <v>17</v>
      </c>
      <c r="C470" s="11" t="s">
        <v>107</v>
      </c>
      <c r="D470" s="11" t="s">
        <v>125</v>
      </c>
      <c r="E470" s="11" t="s">
        <v>126</v>
      </c>
      <c r="F470" s="11" t="s">
        <v>98</v>
      </c>
      <c r="G470" s="11" t="s">
        <v>76</v>
      </c>
      <c r="H470" s="108">
        <v>80.430000000000007</v>
      </c>
      <c r="I470" s="22"/>
      <c r="J470" s="108"/>
      <c r="K470" s="110">
        <v>1</v>
      </c>
      <c r="L470" s="259"/>
      <c r="M470" s="260" t="s">
        <v>507</v>
      </c>
    </row>
    <row r="471" spans="1:13" x14ac:dyDescent="0.25">
      <c r="A471" s="146">
        <v>43684</v>
      </c>
      <c r="B471" s="11" t="s">
        <v>17</v>
      </c>
      <c r="C471" s="11" t="s">
        <v>107</v>
      </c>
      <c r="D471" s="11" t="s">
        <v>125</v>
      </c>
      <c r="E471" s="11" t="s">
        <v>126</v>
      </c>
      <c r="F471" s="11" t="s">
        <v>98</v>
      </c>
      <c r="G471" s="11" t="s">
        <v>76</v>
      </c>
      <c r="H471" s="108">
        <v>56.64</v>
      </c>
      <c r="I471" s="22"/>
      <c r="J471" s="108"/>
      <c r="K471" s="110">
        <v>1</v>
      </c>
      <c r="L471" s="259"/>
      <c r="M471" s="260" t="s">
        <v>544</v>
      </c>
    </row>
    <row r="472" spans="1:13" x14ac:dyDescent="0.25">
      <c r="A472" s="146">
        <v>43684</v>
      </c>
      <c r="B472" s="11" t="s">
        <v>17</v>
      </c>
      <c r="C472" s="11" t="s">
        <v>107</v>
      </c>
      <c r="D472" s="11" t="s">
        <v>125</v>
      </c>
      <c r="E472" s="11" t="s">
        <v>126</v>
      </c>
      <c r="F472" s="11" t="s">
        <v>98</v>
      </c>
      <c r="G472" s="11" t="s">
        <v>76</v>
      </c>
      <c r="H472" s="108">
        <v>57.41</v>
      </c>
      <c r="I472" s="22"/>
      <c r="J472" s="108"/>
      <c r="K472" s="110">
        <v>1</v>
      </c>
      <c r="L472" s="259"/>
      <c r="M472" s="260" t="s">
        <v>508</v>
      </c>
    </row>
    <row r="473" spans="1:13" x14ac:dyDescent="0.25">
      <c r="A473" s="146">
        <v>43685</v>
      </c>
      <c r="B473" s="11" t="s">
        <v>17</v>
      </c>
      <c r="C473" s="11" t="s">
        <v>107</v>
      </c>
      <c r="D473" s="11" t="s">
        <v>125</v>
      </c>
      <c r="E473" s="11" t="s">
        <v>126</v>
      </c>
      <c r="F473" s="11" t="s">
        <v>98</v>
      </c>
      <c r="G473" s="11" t="s">
        <v>76</v>
      </c>
      <c r="H473" s="108">
        <v>88.95</v>
      </c>
      <c r="I473" s="22"/>
      <c r="J473" s="108"/>
      <c r="K473" s="110">
        <v>1</v>
      </c>
      <c r="L473" s="259"/>
      <c r="M473" s="260" t="s">
        <v>509</v>
      </c>
    </row>
    <row r="474" spans="1:13" x14ac:dyDescent="0.25">
      <c r="A474" s="146">
        <v>43685</v>
      </c>
      <c r="B474" s="11" t="s">
        <v>17</v>
      </c>
      <c r="C474" s="11" t="s">
        <v>107</v>
      </c>
      <c r="D474" s="11" t="s">
        <v>125</v>
      </c>
      <c r="E474" s="11" t="s">
        <v>126</v>
      </c>
      <c r="F474" s="11" t="s">
        <v>98</v>
      </c>
      <c r="G474" s="11" t="s">
        <v>76</v>
      </c>
      <c r="H474" s="108">
        <v>87.58</v>
      </c>
      <c r="I474" s="22"/>
      <c r="J474" s="108"/>
      <c r="K474" s="110">
        <v>1</v>
      </c>
      <c r="L474" s="259"/>
      <c r="M474" s="260" t="s">
        <v>545</v>
      </c>
    </row>
    <row r="475" spans="1:13" x14ac:dyDescent="0.25">
      <c r="A475" s="146">
        <v>43686</v>
      </c>
      <c r="B475" s="11" t="s">
        <v>17</v>
      </c>
      <c r="C475" s="11" t="s">
        <v>107</v>
      </c>
      <c r="D475" s="11" t="s">
        <v>125</v>
      </c>
      <c r="E475" s="11" t="s">
        <v>126</v>
      </c>
      <c r="F475" s="11" t="s">
        <v>98</v>
      </c>
      <c r="G475" s="11" t="s">
        <v>76</v>
      </c>
      <c r="H475" s="108">
        <v>87.98</v>
      </c>
      <c r="I475" s="22"/>
      <c r="J475" s="108"/>
      <c r="K475" s="110">
        <v>1</v>
      </c>
      <c r="L475" s="259"/>
      <c r="M475" s="260" t="s">
        <v>510</v>
      </c>
    </row>
    <row r="476" spans="1:13" x14ac:dyDescent="0.25">
      <c r="A476" s="146">
        <v>43686</v>
      </c>
      <c r="B476" s="11" t="s">
        <v>17</v>
      </c>
      <c r="C476" s="11" t="s">
        <v>107</v>
      </c>
      <c r="D476" s="11" t="s">
        <v>125</v>
      </c>
      <c r="E476" s="11" t="s">
        <v>126</v>
      </c>
      <c r="F476" s="11" t="s">
        <v>98</v>
      </c>
      <c r="G476" s="11" t="s">
        <v>76</v>
      </c>
      <c r="H476" s="108">
        <v>87.98</v>
      </c>
      <c r="I476" s="22"/>
      <c r="J476" s="108"/>
      <c r="K476" s="110">
        <v>1</v>
      </c>
      <c r="L476" s="259"/>
      <c r="M476" s="260" t="s">
        <v>546</v>
      </c>
    </row>
    <row r="477" spans="1:13" x14ac:dyDescent="0.25">
      <c r="A477" s="146">
        <v>43687</v>
      </c>
      <c r="B477" s="11" t="s">
        <v>17</v>
      </c>
      <c r="C477" s="11" t="s">
        <v>107</v>
      </c>
      <c r="D477" s="11" t="s">
        <v>125</v>
      </c>
      <c r="E477" s="11" t="s">
        <v>126</v>
      </c>
      <c r="F477" s="11" t="s">
        <v>98</v>
      </c>
      <c r="G477" s="11" t="s">
        <v>76</v>
      </c>
      <c r="H477" s="108">
        <v>80.81</v>
      </c>
      <c r="I477" s="22"/>
      <c r="J477" s="108"/>
      <c r="K477" s="110">
        <v>1</v>
      </c>
      <c r="L477" s="259"/>
      <c r="M477" s="260" t="s">
        <v>511</v>
      </c>
    </row>
    <row r="478" spans="1:13" x14ac:dyDescent="0.25">
      <c r="A478" s="146">
        <v>43687</v>
      </c>
      <c r="B478" s="11" t="s">
        <v>17</v>
      </c>
      <c r="C478" s="11" t="s">
        <v>107</v>
      </c>
      <c r="D478" s="11" t="s">
        <v>125</v>
      </c>
      <c r="E478" s="11" t="s">
        <v>126</v>
      </c>
      <c r="F478" s="11" t="s">
        <v>98</v>
      </c>
      <c r="G478" s="11" t="s">
        <v>76</v>
      </c>
      <c r="H478" s="108">
        <v>80.81</v>
      </c>
      <c r="I478" s="22"/>
      <c r="J478" s="108"/>
      <c r="K478" s="110">
        <v>1</v>
      </c>
      <c r="L478" s="259"/>
      <c r="M478" s="260" t="s">
        <v>547</v>
      </c>
    </row>
    <row r="479" spans="1:13" x14ac:dyDescent="0.25">
      <c r="A479" s="146">
        <v>43688</v>
      </c>
      <c r="B479" s="11" t="s">
        <v>17</v>
      </c>
      <c r="C479" s="11" t="s">
        <v>107</v>
      </c>
      <c r="D479" s="11" t="s">
        <v>125</v>
      </c>
      <c r="E479" s="11" t="s">
        <v>126</v>
      </c>
      <c r="F479" s="11" t="s">
        <v>98</v>
      </c>
      <c r="G479" s="11" t="s">
        <v>76</v>
      </c>
      <c r="H479" s="108">
        <v>94.66</v>
      </c>
      <c r="I479" s="22"/>
      <c r="J479" s="108"/>
      <c r="K479" s="110">
        <v>1</v>
      </c>
      <c r="L479" s="259"/>
      <c r="M479" s="260" t="s">
        <v>548</v>
      </c>
    </row>
    <row r="480" spans="1:13" x14ac:dyDescent="0.25">
      <c r="A480" s="146">
        <v>43688</v>
      </c>
      <c r="B480" s="11" t="s">
        <v>17</v>
      </c>
      <c r="C480" s="11" t="s">
        <v>107</v>
      </c>
      <c r="D480" s="11" t="s">
        <v>125</v>
      </c>
      <c r="E480" s="11" t="s">
        <v>126</v>
      </c>
      <c r="F480" s="11" t="s">
        <v>98</v>
      </c>
      <c r="G480" s="11" t="s">
        <v>76</v>
      </c>
      <c r="H480" s="108">
        <v>67.959999999999994</v>
      </c>
      <c r="I480" s="22"/>
      <c r="J480" s="108"/>
      <c r="K480" s="110">
        <v>1</v>
      </c>
      <c r="L480" s="259"/>
      <c r="M480" s="260" t="s">
        <v>512</v>
      </c>
    </row>
    <row r="481" spans="1:13" x14ac:dyDescent="0.25">
      <c r="A481" s="146">
        <v>43689</v>
      </c>
      <c r="B481" s="11" t="s">
        <v>17</v>
      </c>
      <c r="C481" s="11" t="s">
        <v>107</v>
      </c>
      <c r="D481" s="11" t="s">
        <v>125</v>
      </c>
      <c r="E481" s="11" t="s">
        <v>126</v>
      </c>
      <c r="F481" s="11" t="s">
        <v>98</v>
      </c>
      <c r="G481" s="11" t="s">
        <v>76</v>
      </c>
      <c r="H481" s="108">
        <v>77.45</v>
      </c>
      <c r="I481" s="22"/>
      <c r="J481" s="108"/>
      <c r="K481" s="110">
        <v>1</v>
      </c>
      <c r="L481" s="259"/>
      <c r="M481" s="260" t="s">
        <v>549</v>
      </c>
    </row>
    <row r="482" spans="1:13" x14ac:dyDescent="0.25">
      <c r="A482" s="146">
        <v>43689</v>
      </c>
      <c r="B482" s="11" t="s">
        <v>17</v>
      </c>
      <c r="C482" s="11" t="s">
        <v>107</v>
      </c>
      <c r="D482" s="11" t="s">
        <v>125</v>
      </c>
      <c r="E482" s="11" t="s">
        <v>126</v>
      </c>
      <c r="F482" s="11" t="s">
        <v>98</v>
      </c>
      <c r="G482" s="11" t="s">
        <v>76</v>
      </c>
      <c r="H482" s="108">
        <v>78.98</v>
      </c>
      <c r="I482" s="22"/>
      <c r="J482" s="108"/>
      <c r="K482" s="110">
        <v>1</v>
      </c>
      <c r="L482" s="259"/>
      <c r="M482" s="260" t="s">
        <v>513</v>
      </c>
    </row>
    <row r="483" spans="1:13" x14ac:dyDescent="0.25">
      <c r="A483" s="146">
        <v>43690</v>
      </c>
      <c r="B483" s="11" t="s">
        <v>17</v>
      </c>
      <c r="C483" s="11" t="s">
        <v>107</v>
      </c>
      <c r="D483" s="11" t="s">
        <v>125</v>
      </c>
      <c r="E483" s="11" t="s">
        <v>126</v>
      </c>
      <c r="F483" s="11" t="s">
        <v>98</v>
      </c>
      <c r="G483" s="11" t="s">
        <v>76</v>
      </c>
      <c r="H483" s="108">
        <v>64.47</v>
      </c>
      <c r="I483" s="22"/>
      <c r="J483" s="108"/>
      <c r="K483" s="110">
        <v>1</v>
      </c>
      <c r="L483" s="259"/>
      <c r="M483" s="260" t="s">
        <v>550</v>
      </c>
    </row>
    <row r="484" spans="1:13" x14ac:dyDescent="0.25">
      <c r="A484" s="146">
        <v>43690</v>
      </c>
      <c r="B484" s="11" t="s">
        <v>17</v>
      </c>
      <c r="C484" s="11" t="s">
        <v>107</v>
      </c>
      <c r="D484" s="11" t="s">
        <v>125</v>
      </c>
      <c r="E484" s="11" t="s">
        <v>126</v>
      </c>
      <c r="F484" s="11" t="s">
        <v>98</v>
      </c>
      <c r="G484" s="11" t="s">
        <v>76</v>
      </c>
      <c r="H484" s="108">
        <v>92.43</v>
      </c>
      <c r="I484" s="22"/>
      <c r="J484" s="108"/>
      <c r="K484" s="110">
        <v>1</v>
      </c>
      <c r="L484" s="259"/>
      <c r="M484" s="260" t="s">
        <v>514</v>
      </c>
    </row>
    <row r="485" spans="1:13" x14ac:dyDescent="0.25">
      <c r="A485" s="146">
        <v>43691</v>
      </c>
      <c r="B485" s="11" t="s">
        <v>17</v>
      </c>
      <c r="C485" s="11" t="s">
        <v>107</v>
      </c>
      <c r="D485" s="11" t="s">
        <v>125</v>
      </c>
      <c r="E485" s="11" t="s">
        <v>126</v>
      </c>
      <c r="F485" s="11" t="s">
        <v>98</v>
      </c>
      <c r="G485" s="11" t="s">
        <v>76</v>
      </c>
      <c r="H485" s="108">
        <v>101.68</v>
      </c>
      <c r="I485" s="22"/>
      <c r="J485" s="108"/>
      <c r="K485" s="110">
        <v>1</v>
      </c>
      <c r="L485" s="259"/>
      <c r="M485" s="260" t="s">
        <v>515</v>
      </c>
    </row>
    <row r="486" spans="1:13" x14ac:dyDescent="0.25">
      <c r="A486" s="146">
        <v>43691</v>
      </c>
      <c r="B486" s="11" t="s">
        <v>17</v>
      </c>
      <c r="C486" s="11" t="s">
        <v>107</v>
      </c>
      <c r="D486" s="11" t="s">
        <v>125</v>
      </c>
      <c r="E486" s="11" t="s">
        <v>126</v>
      </c>
      <c r="F486" s="11" t="s">
        <v>98</v>
      </c>
      <c r="G486" s="11" t="s">
        <v>76</v>
      </c>
      <c r="H486" s="108">
        <v>71.010000000000005</v>
      </c>
      <c r="I486" s="22"/>
      <c r="J486" s="108"/>
      <c r="K486" s="110">
        <v>1</v>
      </c>
      <c r="L486" s="259"/>
      <c r="M486" s="260" t="s">
        <v>551</v>
      </c>
    </row>
    <row r="487" spans="1:13" x14ac:dyDescent="0.25">
      <c r="A487" s="146">
        <v>43692</v>
      </c>
      <c r="B487" s="11" t="s">
        <v>17</v>
      </c>
      <c r="C487" s="11" t="s">
        <v>107</v>
      </c>
      <c r="D487" s="11" t="s">
        <v>125</v>
      </c>
      <c r="E487" s="11" t="s">
        <v>126</v>
      </c>
      <c r="F487" s="11" t="s">
        <v>98</v>
      </c>
      <c r="G487" s="11" t="s">
        <v>76</v>
      </c>
      <c r="H487" s="108">
        <v>87.3</v>
      </c>
      <c r="I487" s="22"/>
      <c r="J487" s="108"/>
      <c r="K487" s="110">
        <v>1</v>
      </c>
      <c r="L487" s="259"/>
      <c r="M487" s="260" t="s">
        <v>517</v>
      </c>
    </row>
    <row r="488" spans="1:13" x14ac:dyDescent="0.25">
      <c r="A488" s="146">
        <v>43692</v>
      </c>
      <c r="B488" s="11" t="s">
        <v>17</v>
      </c>
      <c r="C488" s="11" t="s">
        <v>107</v>
      </c>
      <c r="D488" s="11" t="s">
        <v>125</v>
      </c>
      <c r="E488" s="11" t="s">
        <v>126</v>
      </c>
      <c r="F488" s="11" t="s">
        <v>98</v>
      </c>
      <c r="G488" s="11" t="s">
        <v>76</v>
      </c>
      <c r="H488" s="108">
        <v>44.14</v>
      </c>
      <c r="I488" s="22"/>
      <c r="J488" s="108"/>
      <c r="K488" s="110">
        <v>1</v>
      </c>
      <c r="L488" s="259"/>
      <c r="M488" s="260" t="s">
        <v>552</v>
      </c>
    </row>
    <row r="489" spans="1:13" x14ac:dyDescent="0.25">
      <c r="A489" s="146">
        <v>43692</v>
      </c>
      <c r="B489" s="11" t="s">
        <v>17</v>
      </c>
      <c r="C489" s="11" t="s">
        <v>107</v>
      </c>
      <c r="D489" s="11" t="s">
        <v>125</v>
      </c>
      <c r="E489" s="11" t="s">
        <v>126</v>
      </c>
      <c r="F489" s="11" t="s">
        <v>98</v>
      </c>
      <c r="G489" s="11" t="s">
        <v>76</v>
      </c>
      <c r="H489" s="108">
        <v>83.9</v>
      </c>
      <c r="I489" s="22"/>
      <c r="J489" s="108"/>
      <c r="K489" s="110">
        <v>1</v>
      </c>
      <c r="L489" s="259"/>
      <c r="M489" s="260" t="s">
        <v>516</v>
      </c>
    </row>
    <row r="490" spans="1:13" x14ac:dyDescent="0.25">
      <c r="A490" s="146">
        <v>43693</v>
      </c>
      <c r="B490" s="11" t="s">
        <v>17</v>
      </c>
      <c r="C490" s="11" t="s">
        <v>107</v>
      </c>
      <c r="D490" s="11" t="s">
        <v>125</v>
      </c>
      <c r="E490" s="11" t="s">
        <v>126</v>
      </c>
      <c r="F490" s="11" t="s">
        <v>98</v>
      </c>
      <c r="G490" s="11" t="s">
        <v>76</v>
      </c>
      <c r="H490" s="108">
        <v>56.31</v>
      </c>
      <c r="I490" s="22"/>
      <c r="J490" s="108"/>
      <c r="K490" s="110">
        <v>1</v>
      </c>
      <c r="L490" s="259"/>
      <c r="M490" s="260" t="s">
        <v>553</v>
      </c>
    </row>
    <row r="491" spans="1:13" x14ac:dyDescent="0.25">
      <c r="A491" s="146">
        <v>43693</v>
      </c>
      <c r="B491" s="11" t="s">
        <v>17</v>
      </c>
      <c r="C491" s="11" t="s">
        <v>107</v>
      </c>
      <c r="D491" s="11" t="s">
        <v>125</v>
      </c>
      <c r="E491" s="11" t="s">
        <v>126</v>
      </c>
      <c r="F491" s="11" t="s">
        <v>98</v>
      </c>
      <c r="G491" s="11" t="s">
        <v>76</v>
      </c>
      <c r="H491" s="108">
        <v>85.64</v>
      </c>
      <c r="I491" s="22"/>
      <c r="J491" s="108"/>
      <c r="K491" s="110">
        <v>1</v>
      </c>
      <c r="L491" s="259"/>
      <c r="M491" s="260" t="s">
        <v>518</v>
      </c>
    </row>
    <row r="492" spans="1:13" x14ac:dyDescent="0.25">
      <c r="A492" s="146">
        <v>43694</v>
      </c>
      <c r="B492" s="11" t="s">
        <v>17</v>
      </c>
      <c r="C492" s="11" t="s">
        <v>107</v>
      </c>
      <c r="D492" s="11" t="s">
        <v>125</v>
      </c>
      <c r="E492" s="11" t="s">
        <v>126</v>
      </c>
      <c r="F492" s="11" t="s">
        <v>98</v>
      </c>
      <c r="G492" s="11" t="s">
        <v>76</v>
      </c>
      <c r="H492" s="108">
        <v>46.4</v>
      </c>
      <c r="I492" s="22"/>
      <c r="J492" s="108"/>
      <c r="K492" s="110">
        <v>1</v>
      </c>
      <c r="L492" s="259"/>
      <c r="M492" s="260" t="s">
        <v>519</v>
      </c>
    </row>
    <row r="493" spans="1:13" x14ac:dyDescent="0.25">
      <c r="A493" s="146">
        <v>43694</v>
      </c>
      <c r="B493" s="11" t="s">
        <v>17</v>
      </c>
      <c r="C493" s="11" t="s">
        <v>107</v>
      </c>
      <c r="D493" s="11" t="s">
        <v>125</v>
      </c>
      <c r="E493" s="11" t="s">
        <v>126</v>
      </c>
      <c r="F493" s="11" t="s">
        <v>98</v>
      </c>
      <c r="G493" s="11" t="s">
        <v>76</v>
      </c>
      <c r="H493" s="108">
        <v>95.95</v>
      </c>
      <c r="I493" s="22"/>
      <c r="J493" s="108"/>
      <c r="K493" s="110">
        <v>1</v>
      </c>
      <c r="L493" s="259"/>
      <c r="M493" s="260" t="s">
        <v>554</v>
      </c>
    </row>
    <row r="494" spans="1:13" x14ac:dyDescent="0.25">
      <c r="A494" s="146">
        <v>43695</v>
      </c>
      <c r="B494" s="11" t="s">
        <v>17</v>
      </c>
      <c r="C494" s="11" t="s">
        <v>107</v>
      </c>
      <c r="D494" s="11" t="s">
        <v>125</v>
      </c>
      <c r="E494" s="11" t="s">
        <v>126</v>
      </c>
      <c r="F494" s="11" t="s">
        <v>98</v>
      </c>
      <c r="G494" s="11" t="s">
        <v>76</v>
      </c>
      <c r="H494" s="108">
        <v>57.87</v>
      </c>
      <c r="I494" s="22"/>
      <c r="J494" s="108"/>
      <c r="K494" s="110">
        <v>1</v>
      </c>
      <c r="L494" s="259"/>
      <c r="M494" s="260" t="s">
        <v>555</v>
      </c>
    </row>
    <row r="495" spans="1:13" x14ac:dyDescent="0.25">
      <c r="A495" s="146">
        <v>43695</v>
      </c>
      <c r="B495" s="11" t="s">
        <v>17</v>
      </c>
      <c r="C495" s="11" t="s">
        <v>107</v>
      </c>
      <c r="D495" s="11" t="s">
        <v>125</v>
      </c>
      <c r="E495" s="11" t="s">
        <v>126</v>
      </c>
      <c r="F495" s="11" t="s">
        <v>98</v>
      </c>
      <c r="G495" s="11" t="s">
        <v>76</v>
      </c>
      <c r="H495" s="108">
        <v>99.74</v>
      </c>
      <c r="I495" s="22"/>
      <c r="J495" s="108"/>
      <c r="K495" s="110">
        <v>1</v>
      </c>
      <c r="L495" s="259"/>
      <c r="M495" s="260" t="s">
        <v>520</v>
      </c>
    </row>
    <row r="496" spans="1:13" x14ac:dyDescent="0.25">
      <c r="A496" s="146">
        <v>43696</v>
      </c>
      <c r="B496" s="11" t="s">
        <v>17</v>
      </c>
      <c r="C496" s="11" t="s">
        <v>107</v>
      </c>
      <c r="D496" s="11" t="s">
        <v>125</v>
      </c>
      <c r="E496" s="11" t="s">
        <v>126</v>
      </c>
      <c r="F496" s="11" t="s">
        <v>98</v>
      </c>
      <c r="G496" s="11" t="s">
        <v>76</v>
      </c>
      <c r="H496" s="108">
        <v>97.89</v>
      </c>
      <c r="I496" s="22"/>
      <c r="J496" s="108"/>
      <c r="K496" s="110">
        <v>1</v>
      </c>
      <c r="L496" s="259"/>
      <c r="M496" s="260" t="s">
        <v>556</v>
      </c>
    </row>
    <row r="497" spans="1:13" x14ac:dyDescent="0.25">
      <c r="A497" s="146">
        <v>43696</v>
      </c>
      <c r="B497" s="11" t="s">
        <v>17</v>
      </c>
      <c r="C497" s="11" t="s">
        <v>107</v>
      </c>
      <c r="D497" s="11" t="s">
        <v>125</v>
      </c>
      <c r="E497" s="11" t="s">
        <v>126</v>
      </c>
      <c r="F497" s="11" t="s">
        <v>98</v>
      </c>
      <c r="G497" s="11" t="s">
        <v>76</v>
      </c>
      <c r="H497" s="108">
        <v>99.94</v>
      </c>
      <c r="I497" s="22"/>
      <c r="J497" s="108"/>
      <c r="K497" s="110">
        <v>1</v>
      </c>
      <c r="L497" s="259"/>
      <c r="M497" s="260" t="s">
        <v>521</v>
      </c>
    </row>
    <row r="498" spans="1:13" x14ac:dyDescent="0.25">
      <c r="A498" s="146">
        <v>43697</v>
      </c>
      <c r="B498" s="11" t="s">
        <v>17</v>
      </c>
      <c r="C498" s="11" t="s">
        <v>107</v>
      </c>
      <c r="D498" s="11" t="s">
        <v>125</v>
      </c>
      <c r="E498" s="11" t="s">
        <v>126</v>
      </c>
      <c r="F498" s="11" t="s">
        <v>98</v>
      </c>
      <c r="G498" s="11" t="s">
        <v>76</v>
      </c>
      <c r="H498" s="108">
        <v>58.26</v>
      </c>
      <c r="I498" s="22"/>
      <c r="J498" s="108"/>
      <c r="K498" s="110">
        <v>1</v>
      </c>
      <c r="L498" s="259"/>
      <c r="M498" s="260" t="s">
        <v>557</v>
      </c>
    </row>
    <row r="499" spans="1:13" x14ac:dyDescent="0.25">
      <c r="A499" s="146">
        <v>43697</v>
      </c>
      <c r="B499" s="11" t="s">
        <v>17</v>
      </c>
      <c r="C499" s="11" t="s">
        <v>107</v>
      </c>
      <c r="D499" s="11" t="s">
        <v>125</v>
      </c>
      <c r="E499" s="11" t="s">
        <v>126</v>
      </c>
      <c r="F499" s="11" t="s">
        <v>98</v>
      </c>
      <c r="G499" s="11" t="s">
        <v>76</v>
      </c>
      <c r="H499" s="108">
        <v>103.52</v>
      </c>
      <c r="I499" s="22"/>
      <c r="J499" s="108"/>
      <c r="K499" s="110">
        <v>1</v>
      </c>
      <c r="L499" s="259"/>
      <c r="M499" s="260" t="s">
        <v>522</v>
      </c>
    </row>
    <row r="500" spans="1:13" x14ac:dyDescent="0.25">
      <c r="A500" s="146">
        <v>43698</v>
      </c>
      <c r="B500" s="11" t="s">
        <v>17</v>
      </c>
      <c r="C500" s="11" t="s">
        <v>107</v>
      </c>
      <c r="D500" s="11" t="s">
        <v>125</v>
      </c>
      <c r="E500" s="11" t="s">
        <v>126</v>
      </c>
      <c r="F500" s="11" t="s">
        <v>98</v>
      </c>
      <c r="G500" s="11" t="s">
        <v>76</v>
      </c>
      <c r="H500" s="108">
        <v>86.2</v>
      </c>
      <c r="I500" s="22"/>
      <c r="J500" s="108"/>
      <c r="K500" s="110">
        <v>1</v>
      </c>
      <c r="L500" s="259"/>
      <c r="M500" s="260" t="s">
        <v>558</v>
      </c>
    </row>
    <row r="501" spans="1:13" x14ac:dyDescent="0.25">
      <c r="A501" s="146">
        <v>43698</v>
      </c>
      <c r="B501" s="11" t="s">
        <v>17</v>
      </c>
      <c r="C501" s="11" t="s">
        <v>107</v>
      </c>
      <c r="D501" s="11" t="s">
        <v>125</v>
      </c>
      <c r="E501" s="11" t="s">
        <v>126</v>
      </c>
      <c r="F501" s="11" t="s">
        <v>98</v>
      </c>
      <c r="G501" s="11" t="s">
        <v>76</v>
      </c>
      <c r="H501" s="108">
        <v>86.62</v>
      </c>
      <c r="I501" s="22"/>
      <c r="J501" s="108"/>
      <c r="K501" s="110">
        <v>1</v>
      </c>
      <c r="L501" s="259"/>
      <c r="M501" s="260" t="s">
        <v>523</v>
      </c>
    </row>
    <row r="502" spans="1:13" x14ac:dyDescent="0.25">
      <c r="A502" s="146">
        <v>43699</v>
      </c>
      <c r="B502" s="11" t="s">
        <v>17</v>
      </c>
      <c r="C502" s="11" t="s">
        <v>107</v>
      </c>
      <c r="D502" s="11" t="s">
        <v>125</v>
      </c>
      <c r="E502" s="11" t="s">
        <v>126</v>
      </c>
      <c r="F502" s="11" t="s">
        <v>98</v>
      </c>
      <c r="G502" s="11" t="s">
        <v>76</v>
      </c>
      <c r="H502" s="108">
        <v>86.48</v>
      </c>
      <c r="I502" s="22"/>
      <c r="J502" s="108"/>
      <c r="K502" s="110">
        <v>1</v>
      </c>
      <c r="L502" s="259"/>
      <c r="M502" s="260" t="s">
        <v>559</v>
      </c>
    </row>
    <row r="503" spans="1:13" x14ac:dyDescent="0.25">
      <c r="A503" s="146">
        <v>43699</v>
      </c>
      <c r="B503" s="11" t="s">
        <v>17</v>
      </c>
      <c r="C503" s="11" t="s">
        <v>107</v>
      </c>
      <c r="D503" s="11" t="s">
        <v>125</v>
      </c>
      <c r="E503" s="11" t="s">
        <v>126</v>
      </c>
      <c r="F503" s="11" t="s">
        <v>98</v>
      </c>
      <c r="G503" s="11" t="s">
        <v>76</v>
      </c>
      <c r="H503" s="108">
        <v>88.42</v>
      </c>
      <c r="I503" s="22"/>
      <c r="J503" s="108"/>
      <c r="K503" s="110">
        <v>1</v>
      </c>
      <c r="L503" s="259"/>
      <c r="M503" s="260" t="s">
        <v>524</v>
      </c>
    </row>
    <row r="504" spans="1:13" x14ac:dyDescent="0.25">
      <c r="A504" s="146">
        <v>43700</v>
      </c>
      <c r="B504" s="11" t="s">
        <v>17</v>
      </c>
      <c r="C504" s="11" t="s">
        <v>107</v>
      </c>
      <c r="D504" s="11" t="s">
        <v>125</v>
      </c>
      <c r="E504" s="11" t="s">
        <v>126</v>
      </c>
      <c r="F504" s="11" t="s">
        <v>98</v>
      </c>
      <c r="G504" s="11" t="s">
        <v>76</v>
      </c>
      <c r="H504" s="108">
        <v>29.26</v>
      </c>
      <c r="I504" s="22"/>
      <c r="J504" s="108"/>
      <c r="K504" s="110">
        <v>1</v>
      </c>
      <c r="L504" s="259"/>
      <c r="M504" s="260" t="s">
        <v>560</v>
      </c>
    </row>
    <row r="505" spans="1:13" x14ac:dyDescent="0.25">
      <c r="A505" s="146">
        <v>43700</v>
      </c>
      <c r="B505" s="11" t="s">
        <v>17</v>
      </c>
      <c r="C505" s="11" t="s">
        <v>107</v>
      </c>
      <c r="D505" s="11" t="s">
        <v>125</v>
      </c>
      <c r="E505" s="11" t="s">
        <v>126</v>
      </c>
      <c r="F505" s="11" t="s">
        <v>98</v>
      </c>
      <c r="G505" s="11" t="s">
        <v>76</v>
      </c>
      <c r="H505" s="108">
        <v>75.48</v>
      </c>
      <c r="I505" s="22"/>
      <c r="J505" s="108"/>
      <c r="K505" s="110">
        <v>1</v>
      </c>
      <c r="L505" s="259"/>
      <c r="M505" s="260" t="s">
        <v>525</v>
      </c>
    </row>
    <row r="506" spans="1:13" x14ac:dyDescent="0.25">
      <c r="A506" s="146">
        <v>43701</v>
      </c>
      <c r="B506" s="11" t="s">
        <v>17</v>
      </c>
      <c r="C506" s="11" t="s">
        <v>107</v>
      </c>
      <c r="D506" s="11" t="s">
        <v>125</v>
      </c>
      <c r="E506" s="11" t="s">
        <v>126</v>
      </c>
      <c r="F506" s="11" t="s">
        <v>98</v>
      </c>
      <c r="G506" s="11" t="s">
        <v>76</v>
      </c>
      <c r="H506" s="108">
        <v>53.9</v>
      </c>
      <c r="I506" s="22"/>
      <c r="J506" s="108"/>
      <c r="K506" s="110">
        <v>1</v>
      </c>
      <c r="L506" s="259"/>
      <c r="M506" s="260" t="s">
        <v>526</v>
      </c>
    </row>
    <row r="507" spans="1:13" x14ac:dyDescent="0.25">
      <c r="A507" s="146">
        <v>43701</v>
      </c>
      <c r="B507" s="11" t="s">
        <v>17</v>
      </c>
      <c r="C507" s="11" t="s">
        <v>107</v>
      </c>
      <c r="D507" s="11" t="s">
        <v>125</v>
      </c>
      <c r="E507" s="11" t="s">
        <v>126</v>
      </c>
      <c r="F507" s="11" t="s">
        <v>98</v>
      </c>
      <c r="G507" s="11" t="s">
        <v>76</v>
      </c>
      <c r="H507" s="108">
        <v>26.32</v>
      </c>
      <c r="I507" s="22"/>
      <c r="J507" s="108"/>
      <c r="K507" s="110">
        <v>1</v>
      </c>
      <c r="L507" s="259"/>
      <c r="M507" s="260" t="s">
        <v>561</v>
      </c>
    </row>
    <row r="508" spans="1:13" x14ac:dyDescent="0.25">
      <c r="A508" s="146">
        <v>43702</v>
      </c>
      <c r="B508" s="11" t="s">
        <v>17</v>
      </c>
      <c r="C508" s="11" t="s">
        <v>107</v>
      </c>
      <c r="D508" s="11" t="s">
        <v>125</v>
      </c>
      <c r="E508" s="11" t="s">
        <v>126</v>
      </c>
      <c r="F508" s="11" t="s">
        <v>98</v>
      </c>
      <c r="G508" s="11" t="s">
        <v>76</v>
      </c>
      <c r="H508" s="108">
        <v>33.700000000000003</v>
      </c>
      <c r="I508" s="22"/>
      <c r="J508" s="108"/>
      <c r="K508" s="110">
        <v>1</v>
      </c>
      <c r="L508" s="259"/>
      <c r="M508" s="260" t="s">
        <v>562</v>
      </c>
    </row>
    <row r="509" spans="1:13" x14ac:dyDescent="0.25">
      <c r="A509" s="146">
        <v>43702</v>
      </c>
      <c r="B509" s="11" t="s">
        <v>17</v>
      </c>
      <c r="C509" s="11" t="s">
        <v>107</v>
      </c>
      <c r="D509" s="11" t="s">
        <v>125</v>
      </c>
      <c r="E509" s="11" t="s">
        <v>126</v>
      </c>
      <c r="F509" s="11" t="s">
        <v>98</v>
      </c>
      <c r="G509" s="11" t="s">
        <v>76</v>
      </c>
      <c r="H509" s="108">
        <v>57.23</v>
      </c>
      <c r="I509" s="22"/>
      <c r="J509" s="108"/>
      <c r="K509" s="110">
        <v>1</v>
      </c>
      <c r="L509" s="259"/>
      <c r="M509" s="260" t="s">
        <v>527</v>
      </c>
    </row>
    <row r="510" spans="1:13" x14ac:dyDescent="0.25">
      <c r="A510" s="146">
        <v>43703</v>
      </c>
      <c r="B510" s="11" t="s">
        <v>17</v>
      </c>
      <c r="C510" s="11" t="s">
        <v>107</v>
      </c>
      <c r="D510" s="11" t="s">
        <v>125</v>
      </c>
      <c r="E510" s="11" t="s">
        <v>126</v>
      </c>
      <c r="F510" s="11" t="s">
        <v>98</v>
      </c>
      <c r="G510" s="11" t="s">
        <v>76</v>
      </c>
      <c r="H510" s="108">
        <v>82.19</v>
      </c>
      <c r="I510" s="22"/>
      <c r="J510" s="108"/>
      <c r="K510" s="110">
        <v>1</v>
      </c>
      <c r="L510" s="259"/>
      <c r="M510" s="260" t="s">
        <v>563</v>
      </c>
    </row>
    <row r="511" spans="1:13" x14ac:dyDescent="0.25">
      <c r="A511" s="146">
        <v>43703</v>
      </c>
      <c r="B511" s="11" t="s">
        <v>17</v>
      </c>
      <c r="C511" s="11" t="s">
        <v>107</v>
      </c>
      <c r="D511" s="11" t="s">
        <v>125</v>
      </c>
      <c r="E511" s="11" t="s">
        <v>126</v>
      </c>
      <c r="F511" s="11" t="s">
        <v>98</v>
      </c>
      <c r="G511" s="11" t="s">
        <v>76</v>
      </c>
      <c r="H511" s="108">
        <v>88.05</v>
      </c>
      <c r="I511" s="22"/>
      <c r="J511" s="108"/>
      <c r="K511" s="110">
        <v>1</v>
      </c>
      <c r="L511" s="259"/>
      <c r="M511" s="260" t="s">
        <v>528</v>
      </c>
    </row>
    <row r="512" spans="1:13" x14ac:dyDescent="0.25">
      <c r="A512" s="146">
        <v>43704</v>
      </c>
      <c r="B512" s="11" t="s">
        <v>17</v>
      </c>
      <c r="C512" s="11" t="s">
        <v>107</v>
      </c>
      <c r="D512" s="11" t="s">
        <v>125</v>
      </c>
      <c r="E512" s="11" t="s">
        <v>126</v>
      </c>
      <c r="F512" s="11" t="s">
        <v>98</v>
      </c>
      <c r="G512" s="11" t="s">
        <v>76</v>
      </c>
      <c r="H512" s="108">
        <v>79.349999999999994</v>
      </c>
      <c r="I512" s="22"/>
      <c r="J512" s="108"/>
      <c r="K512" s="110">
        <v>1</v>
      </c>
      <c r="L512" s="259"/>
      <c r="M512" s="260" t="s">
        <v>529</v>
      </c>
    </row>
    <row r="513" spans="1:13" x14ac:dyDescent="0.25">
      <c r="A513" s="146">
        <v>43704</v>
      </c>
      <c r="B513" s="11" t="s">
        <v>17</v>
      </c>
      <c r="C513" s="11" t="s">
        <v>107</v>
      </c>
      <c r="D513" s="11" t="s">
        <v>125</v>
      </c>
      <c r="E513" s="11" t="s">
        <v>126</v>
      </c>
      <c r="F513" s="11" t="s">
        <v>98</v>
      </c>
      <c r="G513" s="11" t="s">
        <v>76</v>
      </c>
      <c r="H513" s="108">
        <v>25.54</v>
      </c>
      <c r="I513" s="22"/>
      <c r="J513" s="108"/>
      <c r="K513" s="110">
        <v>1</v>
      </c>
      <c r="L513" s="259"/>
      <c r="M513" s="260" t="s">
        <v>564</v>
      </c>
    </row>
    <row r="514" spans="1:13" x14ac:dyDescent="0.25">
      <c r="A514" s="146">
        <v>43705</v>
      </c>
      <c r="B514" s="11" t="s">
        <v>17</v>
      </c>
      <c r="C514" s="11" t="s">
        <v>107</v>
      </c>
      <c r="D514" s="11" t="s">
        <v>125</v>
      </c>
      <c r="E514" s="11" t="s">
        <v>126</v>
      </c>
      <c r="F514" s="11" t="s">
        <v>98</v>
      </c>
      <c r="G514" s="11" t="s">
        <v>76</v>
      </c>
      <c r="H514" s="108">
        <v>104.35</v>
      </c>
      <c r="I514" s="22"/>
      <c r="J514" s="108"/>
      <c r="K514" s="110">
        <v>1</v>
      </c>
      <c r="L514" s="259"/>
      <c r="M514" s="260" t="s">
        <v>530</v>
      </c>
    </row>
    <row r="515" spans="1:13" x14ac:dyDescent="0.25">
      <c r="A515" s="146">
        <v>43705</v>
      </c>
      <c r="B515" s="11" t="s">
        <v>17</v>
      </c>
      <c r="C515" s="11" t="s">
        <v>107</v>
      </c>
      <c r="D515" s="11" t="s">
        <v>125</v>
      </c>
      <c r="E515" s="11" t="s">
        <v>126</v>
      </c>
      <c r="F515" s="11" t="s">
        <v>98</v>
      </c>
      <c r="G515" s="11" t="s">
        <v>76</v>
      </c>
      <c r="H515" s="108">
        <v>32.729999999999997</v>
      </c>
      <c r="I515" s="22"/>
      <c r="J515" s="108"/>
      <c r="K515" s="110">
        <v>1</v>
      </c>
      <c r="L515" s="259"/>
      <c r="M515" s="260" t="s">
        <v>565</v>
      </c>
    </row>
    <row r="516" spans="1:13" x14ac:dyDescent="0.25">
      <c r="A516" s="146">
        <v>43706</v>
      </c>
      <c r="B516" s="11" t="s">
        <v>17</v>
      </c>
      <c r="C516" s="11" t="s">
        <v>107</v>
      </c>
      <c r="D516" s="11" t="s">
        <v>125</v>
      </c>
      <c r="E516" s="11" t="s">
        <v>126</v>
      </c>
      <c r="F516" s="11" t="s">
        <v>98</v>
      </c>
      <c r="G516" s="11" t="s">
        <v>76</v>
      </c>
      <c r="H516" s="108">
        <v>93.63</v>
      </c>
      <c r="I516" s="22"/>
      <c r="J516" s="108"/>
      <c r="K516" s="110">
        <v>1</v>
      </c>
      <c r="L516" s="259"/>
      <c r="M516" s="260" t="s">
        <v>566</v>
      </c>
    </row>
    <row r="517" spans="1:13" x14ac:dyDescent="0.25">
      <c r="A517" s="146">
        <v>43706</v>
      </c>
      <c r="B517" s="11" t="s">
        <v>17</v>
      </c>
      <c r="C517" s="11" t="s">
        <v>107</v>
      </c>
      <c r="D517" s="11" t="s">
        <v>125</v>
      </c>
      <c r="E517" s="11" t="s">
        <v>126</v>
      </c>
      <c r="F517" s="11" t="s">
        <v>98</v>
      </c>
      <c r="G517" s="11" t="s">
        <v>76</v>
      </c>
      <c r="H517" s="108">
        <v>103.36</v>
      </c>
      <c r="I517" s="22"/>
      <c r="J517" s="108"/>
      <c r="K517" s="110">
        <v>1</v>
      </c>
      <c r="L517" s="259"/>
      <c r="M517" s="260" t="s">
        <v>531</v>
      </c>
    </row>
    <row r="518" spans="1:13" x14ac:dyDescent="0.25">
      <c r="A518" s="146">
        <v>43707</v>
      </c>
      <c r="B518" s="11" t="s">
        <v>17</v>
      </c>
      <c r="C518" s="11" t="s">
        <v>107</v>
      </c>
      <c r="D518" s="11" t="s">
        <v>125</v>
      </c>
      <c r="E518" s="11" t="s">
        <v>126</v>
      </c>
      <c r="F518" s="11" t="s">
        <v>98</v>
      </c>
      <c r="G518" s="11" t="s">
        <v>76</v>
      </c>
      <c r="H518" s="108">
        <v>36.630000000000003</v>
      </c>
      <c r="I518" s="22"/>
      <c r="J518" s="108"/>
      <c r="K518" s="110">
        <v>1</v>
      </c>
      <c r="L518" s="259"/>
      <c r="M518" s="260" t="s">
        <v>567</v>
      </c>
    </row>
    <row r="519" spans="1:13" x14ac:dyDescent="0.25">
      <c r="A519" s="146">
        <v>43707</v>
      </c>
      <c r="B519" s="11" t="s">
        <v>17</v>
      </c>
      <c r="C519" s="11" t="s">
        <v>107</v>
      </c>
      <c r="D519" s="11" t="s">
        <v>125</v>
      </c>
      <c r="E519" s="11" t="s">
        <v>126</v>
      </c>
      <c r="F519" s="11" t="s">
        <v>98</v>
      </c>
      <c r="G519" s="11" t="s">
        <v>76</v>
      </c>
      <c r="H519" s="108">
        <v>101.17</v>
      </c>
      <c r="I519" s="22"/>
      <c r="J519" s="108"/>
      <c r="K519" s="110">
        <v>1</v>
      </c>
      <c r="L519" s="259"/>
      <c r="M519" s="260" t="s">
        <v>532</v>
      </c>
    </row>
    <row r="520" spans="1:13" x14ac:dyDescent="0.25">
      <c r="A520" s="146">
        <v>43708</v>
      </c>
      <c r="B520" s="11" t="s">
        <v>17</v>
      </c>
      <c r="C520" s="11" t="s">
        <v>107</v>
      </c>
      <c r="D520" s="11" t="s">
        <v>125</v>
      </c>
      <c r="E520" s="11" t="s">
        <v>126</v>
      </c>
      <c r="F520" s="11" t="s">
        <v>98</v>
      </c>
      <c r="G520" s="11" t="s">
        <v>76</v>
      </c>
      <c r="H520" s="108">
        <v>38.450000000000003</v>
      </c>
      <c r="I520" s="22"/>
      <c r="J520" s="108"/>
      <c r="K520" s="110">
        <v>1</v>
      </c>
      <c r="L520" s="259"/>
      <c r="M520" s="260" t="s">
        <v>568</v>
      </c>
    </row>
    <row r="521" spans="1:13" x14ac:dyDescent="0.25">
      <c r="A521" s="146">
        <v>43708</v>
      </c>
      <c r="B521" s="11" t="s">
        <v>17</v>
      </c>
      <c r="C521" s="11" t="s">
        <v>107</v>
      </c>
      <c r="D521" s="11" t="s">
        <v>125</v>
      </c>
      <c r="E521" s="11" t="s">
        <v>126</v>
      </c>
      <c r="F521" s="11" t="s">
        <v>98</v>
      </c>
      <c r="G521" s="11" t="s">
        <v>76</v>
      </c>
      <c r="H521" s="108">
        <v>48.68</v>
      </c>
      <c r="I521" s="22"/>
      <c r="J521" s="108"/>
      <c r="K521" s="110">
        <v>1</v>
      </c>
      <c r="L521" s="259"/>
      <c r="M521" s="260" t="s">
        <v>533</v>
      </c>
    </row>
    <row r="522" spans="1:13" x14ac:dyDescent="0.25">
      <c r="A522" s="146">
        <v>43679</v>
      </c>
      <c r="B522" s="11" t="s">
        <v>17</v>
      </c>
      <c r="C522" s="11" t="s">
        <v>107</v>
      </c>
      <c r="D522" s="11" t="s">
        <v>95</v>
      </c>
      <c r="E522" s="11" t="s">
        <v>15</v>
      </c>
      <c r="F522" s="11" t="s">
        <v>88</v>
      </c>
      <c r="G522" s="11" t="s">
        <v>89</v>
      </c>
      <c r="H522" s="108">
        <v>127</v>
      </c>
      <c r="I522" s="22"/>
      <c r="J522" s="108">
        <v>0.2</v>
      </c>
      <c r="K522" s="110">
        <v>3</v>
      </c>
      <c r="L522" s="259">
        <v>0.6</v>
      </c>
      <c r="M522" s="260" t="s">
        <v>468</v>
      </c>
    </row>
    <row r="523" spans="1:13" x14ac:dyDescent="0.25">
      <c r="A523" s="146">
        <v>43686</v>
      </c>
      <c r="B523" s="11" t="s">
        <v>17</v>
      </c>
      <c r="C523" s="11" t="s">
        <v>107</v>
      </c>
      <c r="D523" s="11" t="s">
        <v>95</v>
      </c>
      <c r="E523" s="11" t="s">
        <v>15</v>
      </c>
      <c r="F523" s="11" t="s">
        <v>88</v>
      </c>
      <c r="G523" s="11" t="s">
        <v>89</v>
      </c>
      <c r="H523" s="108">
        <v>126</v>
      </c>
      <c r="I523" s="22"/>
      <c r="J523" s="108">
        <v>0.2</v>
      </c>
      <c r="K523" s="110">
        <v>3</v>
      </c>
      <c r="L523" s="259">
        <v>0.6</v>
      </c>
      <c r="M523" s="260" t="s">
        <v>475</v>
      </c>
    </row>
    <row r="524" spans="1:13" x14ac:dyDescent="0.25">
      <c r="A524" s="146">
        <v>43690</v>
      </c>
      <c r="B524" s="11" t="s">
        <v>17</v>
      </c>
      <c r="C524" s="11" t="s">
        <v>107</v>
      </c>
      <c r="D524" s="11" t="s">
        <v>95</v>
      </c>
      <c r="E524" s="11" t="s">
        <v>15</v>
      </c>
      <c r="F524" s="11" t="s">
        <v>88</v>
      </c>
      <c r="G524" s="11" t="s">
        <v>89</v>
      </c>
      <c r="H524" s="108">
        <v>127</v>
      </c>
      <c r="I524" s="22"/>
      <c r="J524" s="108">
        <v>0.2</v>
      </c>
      <c r="K524" s="110">
        <v>3</v>
      </c>
      <c r="L524" s="259">
        <v>0.6</v>
      </c>
      <c r="M524" s="260" t="s">
        <v>479</v>
      </c>
    </row>
    <row r="525" spans="1:13" x14ac:dyDescent="0.25">
      <c r="A525" s="146">
        <v>43697</v>
      </c>
      <c r="B525" s="11" t="s">
        <v>17</v>
      </c>
      <c r="C525" s="11" t="s">
        <v>107</v>
      </c>
      <c r="D525" s="11" t="s">
        <v>95</v>
      </c>
      <c r="E525" s="11" t="s">
        <v>15</v>
      </c>
      <c r="F525" s="11" t="s">
        <v>88</v>
      </c>
      <c r="G525" s="11" t="s">
        <v>89</v>
      </c>
      <c r="H525" s="108">
        <v>120</v>
      </c>
      <c r="I525" s="22"/>
      <c r="J525" s="108">
        <v>0.2</v>
      </c>
      <c r="K525" s="110">
        <v>3</v>
      </c>
      <c r="L525" s="259">
        <v>0.6</v>
      </c>
      <c r="M525" s="260" t="s">
        <v>486</v>
      </c>
    </row>
    <row r="526" spans="1:13" x14ac:dyDescent="0.25">
      <c r="A526" s="146">
        <v>43704</v>
      </c>
      <c r="B526" s="11" t="s">
        <v>17</v>
      </c>
      <c r="C526" s="11" t="s">
        <v>107</v>
      </c>
      <c r="D526" s="11" t="s">
        <v>95</v>
      </c>
      <c r="E526" s="11" t="s">
        <v>15</v>
      </c>
      <c r="F526" s="11" t="s">
        <v>88</v>
      </c>
      <c r="G526" s="11" t="s">
        <v>89</v>
      </c>
      <c r="H526" s="108">
        <v>116</v>
      </c>
      <c r="I526" s="22"/>
      <c r="J526" s="108">
        <v>0.2</v>
      </c>
      <c r="K526" s="110">
        <v>3</v>
      </c>
      <c r="L526" s="259">
        <v>0.6</v>
      </c>
      <c r="M526" s="260" t="s">
        <v>493</v>
      </c>
    </row>
    <row r="527" spans="1:13" x14ac:dyDescent="0.25">
      <c r="A527" s="146">
        <v>43674</v>
      </c>
      <c r="B527" s="11" t="s">
        <v>17</v>
      </c>
      <c r="C527" s="11" t="s">
        <v>107</v>
      </c>
      <c r="D527" s="11" t="s">
        <v>105</v>
      </c>
      <c r="E527" s="11" t="s">
        <v>9</v>
      </c>
      <c r="F527" s="11" t="s">
        <v>88</v>
      </c>
      <c r="G527" s="11" t="s">
        <v>89</v>
      </c>
      <c r="H527" s="108">
        <v>10</v>
      </c>
      <c r="I527" s="22"/>
      <c r="J527" s="108">
        <v>1</v>
      </c>
      <c r="K527" s="110">
        <v>3</v>
      </c>
      <c r="L527" s="259">
        <v>3</v>
      </c>
      <c r="M527" s="260" t="s">
        <v>463</v>
      </c>
    </row>
    <row r="528" spans="1:13" x14ac:dyDescent="0.25">
      <c r="A528" s="146">
        <v>43675</v>
      </c>
      <c r="B528" s="11" t="s">
        <v>17</v>
      </c>
      <c r="C528" s="11" t="s">
        <v>107</v>
      </c>
      <c r="D528" s="11" t="s">
        <v>105</v>
      </c>
      <c r="E528" s="11" t="s">
        <v>9</v>
      </c>
      <c r="F528" s="11" t="s">
        <v>88</v>
      </c>
      <c r="G528" s="11" t="s">
        <v>89</v>
      </c>
      <c r="H528" s="108">
        <v>10</v>
      </c>
      <c r="I528" s="22"/>
      <c r="J528" s="108">
        <v>1</v>
      </c>
      <c r="K528" s="110">
        <v>3</v>
      </c>
      <c r="L528" s="259">
        <v>3</v>
      </c>
      <c r="M528" s="260" t="s">
        <v>464</v>
      </c>
    </row>
    <row r="529" spans="1:13" x14ac:dyDescent="0.25">
      <c r="A529" s="146">
        <v>43676</v>
      </c>
      <c r="B529" s="11" t="s">
        <v>17</v>
      </c>
      <c r="C529" s="11" t="s">
        <v>107</v>
      </c>
      <c r="D529" s="11" t="s">
        <v>105</v>
      </c>
      <c r="E529" s="11" t="s">
        <v>9</v>
      </c>
      <c r="F529" s="11" t="s">
        <v>88</v>
      </c>
      <c r="G529" s="11" t="s">
        <v>89</v>
      </c>
      <c r="H529" s="108">
        <v>10</v>
      </c>
      <c r="I529" s="22"/>
      <c r="J529" s="108">
        <v>1</v>
      </c>
      <c r="K529" s="110">
        <v>3</v>
      </c>
      <c r="L529" s="259">
        <v>3</v>
      </c>
      <c r="M529" s="260" t="s">
        <v>465</v>
      </c>
    </row>
    <row r="530" spans="1:13" x14ac:dyDescent="0.25">
      <c r="A530" s="146">
        <v>43677</v>
      </c>
      <c r="B530" s="11" t="s">
        <v>17</v>
      </c>
      <c r="C530" s="11" t="s">
        <v>107</v>
      </c>
      <c r="D530" s="11" t="s">
        <v>105</v>
      </c>
      <c r="E530" s="11" t="s">
        <v>9</v>
      </c>
      <c r="F530" s="11" t="s">
        <v>88</v>
      </c>
      <c r="G530" s="11" t="s">
        <v>89</v>
      </c>
      <c r="H530" s="108">
        <v>12</v>
      </c>
      <c r="I530" s="22"/>
      <c r="J530" s="108">
        <v>1</v>
      </c>
      <c r="K530" s="110">
        <v>3</v>
      </c>
      <c r="L530" s="259">
        <v>3</v>
      </c>
      <c r="M530" s="260" t="s">
        <v>466</v>
      </c>
    </row>
    <row r="531" spans="1:13" x14ac:dyDescent="0.25">
      <c r="A531" s="146">
        <v>43678</v>
      </c>
      <c r="B531" s="11" t="s">
        <v>17</v>
      </c>
      <c r="C531" s="11" t="s">
        <v>107</v>
      </c>
      <c r="D531" s="11" t="s">
        <v>105</v>
      </c>
      <c r="E531" s="11" t="s">
        <v>9</v>
      </c>
      <c r="F531" s="11" t="s">
        <v>88</v>
      </c>
      <c r="G531" s="11" t="s">
        <v>89</v>
      </c>
      <c r="H531" s="108">
        <v>10</v>
      </c>
      <c r="I531" s="22"/>
      <c r="J531" s="108">
        <v>1</v>
      </c>
      <c r="K531" s="110">
        <v>3</v>
      </c>
      <c r="L531" s="259">
        <v>3</v>
      </c>
      <c r="M531" s="260" t="s">
        <v>467</v>
      </c>
    </row>
    <row r="532" spans="1:13" x14ac:dyDescent="0.25">
      <c r="A532" s="146">
        <v>43679</v>
      </c>
      <c r="B532" s="11" t="s">
        <v>17</v>
      </c>
      <c r="C532" s="11" t="s">
        <v>107</v>
      </c>
      <c r="D532" s="11" t="s">
        <v>105</v>
      </c>
      <c r="E532" s="11" t="s">
        <v>9</v>
      </c>
      <c r="F532" s="11" t="s">
        <v>88</v>
      </c>
      <c r="G532" s="11" t="s">
        <v>89</v>
      </c>
      <c r="H532" s="108">
        <v>10</v>
      </c>
      <c r="I532" s="22"/>
      <c r="J532" s="108">
        <v>1</v>
      </c>
      <c r="K532" s="110">
        <v>3</v>
      </c>
      <c r="L532" s="259">
        <v>3</v>
      </c>
      <c r="M532" s="260" t="s">
        <v>468</v>
      </c>
    </row>
    <row r="533" spans="1:13" x14ac:dyDescent="0.25">
      <c r="A533" s="146">
        <v>43680</v>
      </c>
      <c r="B533" s="11" t="s">
        <v>17</v>
      </c>
      <c r="C533" s="11" t="s">
        <v>107</v>
      </c>
      <c r="D533" s="11" t="s">
        <v>105</v>
      </c>
      <c r="E533" s="11" t="s">
        <v>9</v>
      </c>
      <c r="F533" s="11" t="s">
        <v>88</v>
      </c>
      <c r="G533" s="11" t="s">
        <v>89</v>
      </c>
      <c r="H533" s="108">
        <v>10</v>
      </c>
      <c r="I533" s="22"/>
      <c r="J533" s="108">
        <v>1</v>
      </c>
      <c r="K533" s="110">
        <v>3</v>
      </c>
      <c r="L533" s="259">
        <v>3</v>
      </c>
      <c r="M533" s="260" t="s">
        <v>469</v>
      </c>
    </row>
    <row r="534" spans="1:13" x14ac:dyDescent="0.25">
      <c r="A534" s="146">
        <v>43681</v>
      </c>
      <c r="B534" s="11" t="s">
        <v>17</v>
      </c>
      <c r="C534" s="11" t="s">
        <v>107</v>
      </c>
      <c r="D534" s="11" t="s">
        <v>105</v>
      </c>
      <c r="E534" s="11" t="s">
        <v>9</v>
      </c>
      <c r="F534" s="11" t="s">
        <v>88</v>
      </c>
      <c r="G534" s="11" t="s">
        <v>89</v>
      </c>
      <c r="H534" s="108">
        <v>11</v>
      </c>
      <c r="I534" s="22"/>
      <c r="J534" s="108">
        <v>1</v>
      </c>
      <c r="K534" s="110">
        <v>3</v>
      </c>
      <c r="L534" s="259">
        <v>3</v>
      </c>
      <c r="M534" s="260" t="s">
        <v>470</v>
      </c>
    </row>
    <row r="535" spans="1:13" x14ac:dyDescent="0.25">
      <c r="A535" s="146">
        <v>43682</v>
      </c>
      <c r="B535" s="11" t="s">
        <v>17</v>
      </c>
      <c r="C535" s="11" t="s">
        <v>107</v>
      </c>
      <c r="D535" s="11" t="s">
        <v>105</v>
      </c>
      <c r="E535" s="11" t="s">
        <v>9</v>
      </c>
      <c r="F535" s="11" t="s">
        <v>88</v>
      </c>
      <c r="G535" s="11" t="s">
        <v>89</v>
      </c>
      <c r="H535" s="108">
        <v>12</v>
      </c>
      <c r="I535" s="22"/>
      <c r="J535" s="108">
        <v>1</v>
      </c>
      <c r="K535" s="110">
        <v>3</v>
      </c>
      <c r="L535" s="259">
        <v>3</v>
      </c>
      <c r="M535" s="260" t="s">
        <v>471</v>
      </c>
    </row>
    <row r="536" spans="1:13" x14ac:dyDescent="0.25">
      <c r="A536" s="146">
        <v>43683</v>
      </c>
      <c r="B536" s="11" t="s">
        <v>17</v>
      </c>
      <c r="C536" s="11" t="s">
        <v>107</v>
      </c>
      <c r="D536" s="11" t="s">
        <v>105</v>
      </c>
      <c r="E536" s="11" t="s">
        <v>9</v>
      </c>
      <c r="F536" s="11" t="s">
        <v>88</v>
      </c>
      <c r="G536" s="11" t="s">
        <v>89</v>
      </c>
      <c r="H536" s="108">
        <v>10</v>
      </c>
      <c r="I536" s="22"/>
      <c r="J536" s="108">
        <v>1</v>
      </c>
      <c r="K536" s="110">
        <v>3</v>
      </c>
      <c r="L536" s="259">
        <v>3</v>
      </c>
      <c r="M536" s="260" t="s">
        <v>472</v>
      </c>
    </row>
    <row r="537" spans="1:13" x14ac:dyDescent="0.25">
      <c r="A537" s="146">
        <v>43684</v>
      </c>
      <c r="B537" s="11" t="s">
        <v>17</v>
      </c>
      <c r="C537" s="11" t="s">
        <v>107</v>
      </c>
      <c r="D537" s="11" t="s">
        <v>105</v>
      </c>
      <c r="E537" s="11" t="s">
        <v>9</v>
      </c>
      <c r="F537" s="11" t="s">
        <v>88</v>
      </c>
      <c r="G537" s="11" t="s">
        <v>89</v>
      </c>
      <c r="H537" s="108">
        <v>8</v>
      </c>
      <c r="I537" s="22"/>
      <c r="J537" s="108">
        <v>1</v>
      </c>
      <c r="K537" s="110">
        <v>3</v>
      </c>
      <c r="L537" s="259">
        <v>3</v>
      </c>
      <c r="M537" s="260" t="s">
        <v>473</v>
      </c>
    </row>
    <row r="538" spans="1:13" x14ac:dyDescent="0.25">
      <c r="A538" s="146">
        <v>43685</v>
      </c>
      <c r="B538" s="11" t="s">
        <v>17</v>
      </c>
      <c r="C538" s="11" t="s">
        <v>107</v>
      </c>
      <c r="D538" s="11" t="s">
        <v>105</v>
      </c>
      <c r="E538" s="11" t="s">
        <v>9</v>
      </c>
      <c r="F538" s="11" t="s">
        <v>88</v>
      </c>
      <c r="G538" s="11" t="s">
        <v>89</v>
      </c>
      <c r="H538" s="108">
        <v>10</v>
      </c>
      <c r="I538" s="22"/>
      <c r="J538" s="108">
        <v>1</v>
      </c>
      <c r="K538" s="110">
        <v>3</v>
      </c>
      <c r="L538" s="259">
        <v>3</v>
      </c>
      <c r="M538" s="260" t="s">
        <v>474</v>
      </c>
    </row>
    <row r="539" spans="1:13" x14ac:dyDescent="0.25">
      <c r="A539" s="146">
        <v>43686</v>
      </c>
      <c r="B539" s="11" t="s">
        <v>17</v>
      </c>
      <c r="C539" s="11" t="s">
        <v>107</v>
      </c>
      <c r="D539" s="11" t="s">
        <v>105</v>
      </c>
      <c r="E539" s="11" t="s">
        <v>9</v>
      </c>
      <c r="F539" s="11" t="s">
        <v>88</v>
      </c>
      <c r="G539" s="11" t="s">
        <v>89</v>
      </c>
      <c r="H539" s="108">
        <v>9</v>
      </c>
      <c r="I539" s="22"/>
      <c r="J539" s="108">
        <v>1</v>
      </c>
      <c r="K539" s="110">
        <v>3</v>
      </c>
      <c r="L539" s="259">
        <v>3</v>
      </c>
      <c r="M539" s="260" t="s">
        <v>475</v>
      </c>
    </row>
    <row r="540" spans="1:13" x14ac:dyDescent="0.25">
      <c r="A540" s="146">
        <v>43687</v>
      </c>
      <c r="B540" s="11" t="s">
        <v>17</v>
      </c>
      <c r="C540" s="11" t="s">
        <v>107</v>
      </c>
      <c r="D540" s="11" t="s">
        <v>105</v>
      </c>
      <c r="E540" s="11" t="s">
        <v>9</v>
      </c>
      <c r="F540" s="11" t="s">
        <v>88</v>
      </c>
      <c r="G540" s="11" t="s">
        <v>89</v>
      </c>
      <c r="H540" s="108">
        <v>9</v>
      </c>
      <c r="I540" s="22"/>
      <c r="J540" s="108">
        <v>1</v>
      </c>
      <c r="K540" s="110">
        <v>3</v>
      </c>
      <c r="L540" s="259">
        <v>3</v>
      </c>
      <c r="M540" s="260" t="s">
        <v>476</v>
      </c>
    </row>
    <row r="541" spans="1:13" x14ac:dyDescent="0.25">
      <c r="A541" s="146">
        <v>43688</v>
      </c>
      <c r="B541" s="11" t="s">
        <v>17</v>
      </c>
      <c r="C541" s="11" t="s">
        <v>107</v>
      </c>
      <c r="D541" s="11" t="s">
        <v>105</v>
      </c>
      <c r="E541" s="11" t="s">
        <v>9</v>
      </c>
      <c r="F541" s="11" t="s">
        <v>88</v>
      </c>
      <c r="G541" s="11" t="s">
        <v>89</v>
      </c>
      <c r="H541" s="108">
        <v>15</v>
      </c>
      <c r="I541" s="22"/>
      <c r="J541" s="108">
        <v>1</v>
      </c>
      <c r="K541" s="110">
        <v>3</v>
      </c>
      <c r="L541" s="259">
        <v>3</v>
      </c>
      <c r="M541" s="260" t="s">
        <v>477</v>
      </c>
    </row>
    <row r="542" spans="1:13" x14ac:dyDescent="0.25">
      <c r="A542" s="146">
        <v>43689</v>
      </c>
      <c r="B542" s="11" t="s">
        <v>17</v>
      </c>
      <c r="C542" s="11" t="s">
        <v>107</v>
      </c>
      <c r="D542" s="11" t="s">
        <v>105</v>
      </c>
      <c r="E542" s="11" t="s">
        <v>9</v>
      </c>
      <c r="F542" s="11" t="s">
        <v>88</v>
      </c>
      <c r="G542" s="11" t="s">
        <v>89</v>
      </c>
      <c r="H542" s="108">
        <v>10</v>
      </c>
      <c r="I542" s="22"/>
      <c r="J542" s="108">
        <v>1</v>
      </c>
      <c r="K542" s="110">
        <v>3</v>
      </c>
      <c r="L542" s="259">
        <v>3</v>
      </c>
      <c r="M542" s="260" t="s">
        <v>478</v>
      </c>
    </row>
    <row r="543" spans="1:13" x14ac:dyDescent="0.25">
      <c r="A543" s="146">
        <v>43690</v>
      </c>
      <c r="B543" s="11" t="s">
        <v>17</v>
      </c>
      <c r="C543" s="11" t="s">
        <v>107</v>
      </c>
      <c r="D543" s="11" t="s">
        <v>105</v>
      </c>
      <c r="E543" s="11" t="s">
        <v>9</v>
      </c>
      <c r="F543" s="11" t="s">
        <v>88</v>
      </c>
      <c r="G543" s="11" t="s">
        <v>89</v>
      </c>
      <c r="H543" s="108">
        <v>10</v>
      </c>
      <c r="I543" s="22"/>
      <c r="J543" s="108">
        <v>1</v>
      </c>
      <c r="K543" s="110">
        <v>3</v>
      </c>
      <c r="L543" s="259">
        <v>3</v>
      </c>
      <c r="M543" s="260" t="s">
        <v>479</v>
      </c>
    </row>
    <row r="544" spans="1:13" x14ac:dyDescent="0.25">
      <c r="A544" s="146">
        <v>43691</v>
      </c>
      <c r="B544" s="11" t="s">
        <v>17</v>
      </c>
      <c r="C544" s="11" t="s">
        <v>107</v>
      </c>
      <c r="D544" s="11" t="s">
        <v>105</v>
      </c>
      <c r="E544" s="11" t="s">
        <v>9</v>
      </c>
      <c r="F544" s="11" t="s">
        <v>88</v>
      </c>
      <c r="G544" s="11" t="s">
        <v>89</v>
      </c>
      <c r="H544" s="108">
        <v>12</v>
      </c>
      <c r="I544" s="22"/>
      <c r="J544" s="108">
        <v>1</v>
      </c>
      <c r="K544" s="110">
        <v>3</v>
      </c>
      <c r="L544" s="259">
        <v>3</v>
      </c>
      <c r="M544" s="260" t="s">
        <v>480</v>
      </c>
    </row>
    <row r="545" spans="1:13" x14ac:dyDescent="0.25">
      <c r="A545" s="146">
        <v>43692</v>
      </c>
      <c r="B545" s="11" t="s">
        <v>17</v>
      </c>
      <c r="C545" s="11" t="s">
        <v>107</v>
      </c>
      <c r="D545" s="11" t="s">
        <v>105</v>
      </c>
      <c r="E545" s="11" t="s">
        <v>9</v>
      </c>
      <c r="F545" s="11" t="s">
        <v>88</v>
      </c>
      <c r="G545" s="11" t="s">
        <v>89</v>
      </c>
      <c r="H545" s="108">
        <v>14</v>
      </c>
      <c r="I545" s="22"/>
      <c r="J545" s="108">
        <v>1</v>
      </c>
      <c r="K545" s="110">
        <v>3</v>
      </c>
      <c r="L545" s="259">
        <v>3</v>
      </c>
      <c r="M545" s="260" t="s">
        <v>481</v>
      </c>
    </row>
    <row r="546" spans="1:13" x14ac:dyDescent="0.25">
      <c r="A546" s="146">
        <v>43693</v>
      </c>
      <c r="B546" s="11" t="s">
        <v>17</v>
      </c>
      <c r="C546" s="11" t="s">
        <v>107</v>
      </c>
      <c r="D546" s="11" t="s">
        <v>105</v>
      </c>
      <c r="E546" s="11" t="s">
        <v>9</v>
      </c>
      <c r="F546" s="11" t="s">
        <v>88</v>
      </c>
      <c r="G546" s="11" t="s">
        <v>89</v>
      </c>
      <c r="H546" s="108">
        <v>11</v>
      </c>
      <c r="I546" s="22"/>
      <c r="J546" s="108">
        <v>1</v>
      </c>
      <c r="K546" s="110">
        <v>3</v>
      </c>
      <c r="L546" s="259">
        <v>3</v>
      </c>
      <c r="M546" s="260" t="s">
        <v>482</v>
      </c>
    </row>
    <row r="547" spans="1:13" x14ac:dyDescent="0.25">
      <c r="A547" s="146">
        <v>43694</v>
      </c>
      <c r="B547" s="11" t="s">
        <v>17</v>
      </c>
      <c r="C547" s="11" t="s">
        <v>107</v>
      </c>
      <c r="D547" s="11" t="s">
        <v>105</v>
      </c>
      <c r="E547" s="11" t="s">
        <v>9</v>
      </c>
      <c r="F547" s="11" t="s">
        <v>88</v>
      </c>
      <c r="G547" s="11" t="s">
        <v>89</v>
      </c>
      <c r="H547" s="108">
        <v>14</v>
      </c>
      <c r="I547" s="22"/>
      <c r="J547" s="108">
        <v>1</v>
      </c>
      <c r="K547" s="110">
        <v>3</v>
      </c>
      <c r="L547" s="259">
        <v>3</v>
      </c>
      <c r="M547" s="260" t="s">
        <v>483</v>
      </c>
    </row>
    <row r="548" spans="1:13" x14ac:dyDescent="0.25">
      <c r="A548" s="146">
        <v>43695</v>
      </c>
      <c r="B548" s="11" t="s">
        <v>17</v>
      </c>
      <c r="C548" s="11" t="s">
        <v>107</v>
      </c>
      <c r="D548" s="11" t="s">
        <v>105</v>
      </c>
      <c r="E548" s="11" t="s">
        <v>9</v>
      </c>
      <c r="F548" s="11" t="s">
        <v>88</v>
      </c>
      <c r="G548" s="11" t="s">
        <v>89</v>
      </c>
      <c r="H548" s="108">
        <v>16</v>
      </c>
      <c r="I548" s="22"/>
      <c r="J548" s="108">
        <v>1</v>
      </c>
      <c r="K548" s="110">
        <v>3</v>
      </c>
      <c r="L548" s="259">
        <v>3</v>
      </c>
      <c r="M548" s="260" t="s">
        <v>484</v>
      </c>
    </row>
    <row r="549" spans="1:13" x14ac:dyDescent="0.25">
      <c r="A549" s="146">
        <v>43696</v>
      </c>
      <c r="B549" s="11" t="s">
        <v>17</v>
      </c>
      <c r="C549" s="11" t="s">
        <v>107</v>
      </c>
      <c r="D549" s="11" t="s">
        <v>105</v>
      </c>
      <c r="E549" s="11" t="s">
        <v>9</v>
      </c>
      <c r="F549" s="11" t="s">
        <v>88</v>
      </c>
      <c r="G549" s="11" t="s">
        <v>89</v>
      </c>
      <c r="H549" s="108">
        <v>18</v>
      </c>
      <c r="I549" s="22"/>
      <c r="J549" s="108">
        <v>1</v>
      </c>
      <c r="K549" s="110">
        <v>3</v>
      </c>
      <c r="L549" s="259">
        <v>3</v>
      </c>
      <c r="M549" s="260" t="s">
        <v>485</v>
      </c>
    </row>
    <row r="550" spans="1:13" x14ac:dyDescent="0.25">
      <c r="A550" s="146">
        <v>43697</v>
      </c>
      <c r="B550" s="11" t="s">
        <v>17</v>
      </c>
      <c r="C550" s="11" t="s">
        <v>107</v>
      </c>
      <c r="D550" s="11" t="s">
        <v>105</v>
      </c>
      <c r="E550" s="11" t="s">
        <v>9</v>
      </c>
      <c r="F550" s="11" t="s">
        <v>88</v>
      </c>
      <c r="G550" s="11" t="s">
        <v>89</v>
      </c>
      <c r="H550" s="108">
        <v>16</v>
      </c>
      <c r="I550" s="22"/>
      <c r="J550" s="108">
        <v>1</v>
      </c>
      <c r="K550" s="110">
        <v>3</v>
      </c>
      <c r="L550" s="259">
        <v>3</v>
      </c>
      <c r="M550" s="260" t="s">
        <v>486</v>
      </c>
    </row>
    <row r="551" spans="1:13" x14ac:dyDescent="0.25">
      <c r="A551" s="146">
        <v>43698</v>
      </c>
      <c r="B551" s="11" t="s">
        <v>17</v>
      </c>
      <c r="C551" s="11" t="s">
        <v>107</v>
      </c>
      <c r="D551" s="11" t="s">
        <v>105</v>
      </c>
      <c r="E551" s="11" t="s">
        <v>9</v>
      </c>
      <c r="F551" s="11" t="s">
        <v>88</v>
      </c>
      <c r="G551" s="11" t="s">
        <v>89</v>
      </c>
      <c r="H551" s="108">
        <v>19</v>
      </c>
      <c r="I551" s="22"/>
      <c r="J551" s="108">
        <v>1</v>
      </c>
      <c r="K551" s="110">
        <v>3</v>
      </c>
      <c r="L551" s="259">
        <v>3</v>
      </c>
      <c r="M551" s="260" t="s">
        <v>487</v>
      </c>
    </row>
    <row r="552" spans="1:13" x14ac:dyDescent="0.25">
      <c r="A552" s="146">
        <v>43699</v>
      </c>
      <c r="B552" s="11" t="s">
        <v>17</v>
      </c>
      <c r="C552" s="11" t="s">
        <v>107</v>
      </c>
      <c r="D552" s="11" t="s">
        <v>105</v>
      </c>
      <c r="E552" s="11" t="s">
        <v>9</v>
      </c>
      <c r="F552" s="11" t="s">
        <v>88</v>
      </c>
      <c r="G552" s="11" t="s">
        <v>89</v>
      </c>
      <c r="H552" s="108">
        <v>12</v>
      </c>
      <c r="I552" s="22"/>
      <c r="J552" s="108">
        <v>1</v>
      </c>
      <c r="K552" s="110">
        <v>3</v>
      </c>
      <c r="L552" s="259">
        <v>3</v>
      </c>
      <c r="M552" s="260" t="s">
        <v>488</v>
      </c>
    </row>
    <row r="553" spans="1:13" x14ac:dyDescent="0.25">
      <c r="A553" s="146">
        <v>43700</v>
      </c>
      <c r="B553" s="11" t="s">
        <v>17</v>
      </c>
      <c r="C553" s="11" t="s">
        <v>107</v>
      </c>
      <c r="D553" s="11" t="s">
        <v>105</v>
      </c>
      <c r="E553" s="11" t="s">
        <v>9</v>
      </c>
      <c r="F553" s="11" t="s">
        <v>88</v>
      </c>
      <c r="G553" s="11" t="s">
        <v>89</v>
      </c>
      <c r="H553" s="108">
        <v>17</v>
      </c>
      <c r="I553" s="22"/>
      <c r="J553" s="108">
        <v>1</v>
      </c>
      <c r="K553" s="110">
        <v>3</v>
      </c>
      <c r="L553" s="259">
        <v>3</v>
      </c>
      <c r="M553" s="260" t="s">
        <v>489</v>
      </c>
    </row>
    <row r="554" spans="1:13" x14ac:dyDescent="0.25">
      <c r="A554" s="146">
        <v>43701</v>
      </c>
      <c r="B554" s="11" t="s">
        <v>17</v>
      </c>
      <c r="C554" s="11" t="s">
        <v>107</v>
      </c>
      <c r="D554" s="11" t="s">
        <v>105</v>
      </c>
      <c r="E554" s="11" t="s">
        <v>9</v>
      </c>
      <c r="F554" s="11" t="s">
        <v>88</v>
      </c>
      <c r="G554" s="11" t="s">
        <v>89</v>
      </c>
      <c r="H554" s="108">
        <v>15</v>
      </c>
      <c r="I554" s="22"/>
      <c r="J554" s="108">
        <v>1</v>
      </c>
      <c r="K554" s="110">
        <v>3</v>
      </c>
      <c r="L554" s="259">
        <v>3</v>
      </c>
      <c r="M554" s="260" t="s">
        <v>490</v>
      </c>
    </row>
    <row r="555" spans="1:13" x14ac:dyDescent="0.25">
      <c r="A555" s="146">
        <v>43702</v>
      </c>
      <c r="B555" s="11" t="s">
        <v>17</v>
      </c>
      <c r="C555" s="11" t="s">
        <v>107</v>
      </c>
      <c r="D555" s="11" t="s">
        <v>105</v>
      </c>
      <c r="E555" s="11" t="s">
        <v>9</v>
      </c>
      <c r="F555" s="11" t="s">
        <v>88</v>
      </c>
      <c r="G555" s="11" t="s">
        <v>89</v>
      </c>
      <c r="H555" s="108">
        <v>16</v>
      </c>
      <c r="I555" s="22"/>
      <c r="J555" s="108">
        <v>1</v>
      </c>
      <c r="K555" s="110">
        <v>3</v>
      </c>
      <c r="L555" s="259">
        <v>3</v>
      </c>
      <c r="M555" s="260" t="s">
        <v>491</v>
      </c>
    </row>
    <row r="556" spans="1:13" x14ac:dyDescent="0.25">
      <c r="A556" s="146">
        <v>43703</v>
      </c>
      <c r="B556" s="11" t="s">
        <v>17</v>
      </c>
      <c r="C556" s="11" t="s">
        <v>107</v>
      </c>
      <c r="D556" s="11" t="s">
        <v>105</v>
      </c>
      <c r="E556" s="11" t="s">
        <v>9</v>
      </c>
      <c r="F556" s="11" t="s">
        <v>88</v>
      </c>
      <c r="G556" s="11" t="s">
        <v>89</v>
      </c>
      <c r="H556" s="108">
        <v>12</v>
      </c>
      <c r="I556" s="22"/>
      <c r="J556" s="108">
        <v>1</v>
      </c>
      <c r="K556" s="110">
        <v>3</v>
      </c>
      <c r="L556" s="259">
        <v>3</v>
      </c>
      <c r="M556" s="260" t="s">
        <v>492</v>
      </c>
    </row>
    <row r="557" spans="1:13" x14ac:dyDescent="0.25">
      <c r="A557" s="146">
        <v>43704</v>
      </c>
      <c r="B557" s="11" t="s">
        <v>17</v>
      </c>
      <c r="C557" s="11" t="s">
        <v>107</v>
      </c>
      <c r="D557" s="11" t="s">
        <v>105</v>
      </c>
      <c r="E557" s="11" t="s">
        <v>9</v>
      </c>
      <c r="F557" s="11" t="s">
        <v>88</v>
      </c>
      <c r="G557" s="11" t="s">
        <v>89</v>
      </c>
      <c r="H557" s="108">
        <v>11</v>
      </c>
      <c r="I557" s="22"/>
      <c r="J557" s="108">
        <v>1</v>
      </c>
      <c r="K557" s="110">
        <v>3</v>
      </c>
      <c r="L557" s="259">
        <v>3</v>
      </c>
      <c r="M557" s="260" t="s">
        <v>493</v>
      </c>
    </row>
    <row r="558" spans="1:13" x14ac:dyDescent="0.25">
      <c r="A558" s="146">
        <v>43705</v>
      </c>
      <c r="B558" s="11" t="s">
        <v>17</v>
      </c>
      <c r="C558" s="11" t="s">
        <v>107</v>
      </c>
      <c r="D558" s="11" t="s">
        <v>105</v>
      </c>
      <c r="E558" s="11" t="s">
        <v>9</v>
      </c>
      <c r="F558" s="11" t="s">
        <v>88</v>
      </c>
      <c r="G558" s="11" t="s">
        <v>89</v>
      </c>
      <c r="H558" s="108">
        <v>10</v>
      </c>
      <c r="I558" s="22"/>
      <c r="J558" s="108">
        <v>1</v>
      </c>
      <c r="K558" s="110">
        <v>3</v>
      </c>
      <c r="L558" s="259">
        <v>3</v>
      </c>
      <c r="M558" s="260" t="s">
        <v>494</v>
      </c>
    </row>
    <row r="559" spans="1:13" x14ac:dyDescent="0.25">
      <c r="A559" s="146">
        <v>43706</v>
      </c>
      <c r="B559" s="11" t="s">
        <v>17</v>
      </c>
      <c r="C559" s="11" t="s">
        <v>107</v>
      </c>
      <c r="D559" s="11" t="s">
        <v>105</v>
      </c>
      <c r="E559" s="11" t="s">
        <v>9</v>
      </c>
      <c r="F559" s="11" t="s">
        <v>88</v>
      </c>
      <c r="G559" s="11" t="s">
        <v>89</v>
      </c>
      <c r="H559" s="108">
        <v>12</v>
      </c>
      <c r="I559" s="22"/>
      <c r="J559" s="108">
        <v>1</v>
      </c>
      <c r="K559" s="110">
        <v>3</v>
      </c>
      <c r="L559" s="259">
        <v>3</v>
      </c>
      <c r="M559" s="260" t="s">
        <v>495</v>
      </c>
    </row>
    <row r="560" spans="1:13" x14ac:dyDescent="0.25">
      <c r="A560" s="146">
        <v>43707</v>
      </c>
      <c r="B560" s="11" t="s">
        <v>17</v>
      </c>
      <c r="C560" s="11" t="s">
        <v>107</v>
      </c>
      <c r="D560" s="11" t="s">
        <v>105</v>
      </c>
      <c r="E560" s="11" t="s">
        <v>9</v>
      </c>
      <c r="F560" s="11" t="s">
        <v>88</v>
      </c>
      <c r="G560" s="11" t="s">
        <v>89</v>
      </c>
      <c r="H560" s="108">
        <v>12</v>
      </c>
      <c r="I560" s="22"/>
      <c r="J560" s="108">
        <v>1</v>
      </c>
      <c r="K560" s="110">
        <v>3</v>
      </c>
      <c r="L560" s="259">
        <v>3</v>
      </c>
      <c r="M560" s="260" t="s">
        <v>496</v>
      </c>
    </row>
    <row r="561" spans="1:13" x14ac:dyDescent="0.25">
      <c r="A561" s="146">
        <v>43708</v>
      </c>
      <c r="B561" s="11" t="s">
        <v>17</v>
      </c>
      <c r="C561" s="11" t="s">
        <v>107</v>
      </c>
      <c r="D561" s="11" t="s">
        <v>105</v>
      </c>
      <c r="E561" s="11" t="s">
        <v>9</v>
      </c>
      <c r="F561" s="11" t="s">
        <v>88</v>
      </c>
      <c r="G561" s="11" t="s">
        <v>89</v>
      </c>
      <c r="H561" s="108">
        <v>9</v>
      </c>
      <c r="I561" s="22"/>
      <c r="J561" s="108">
        <v>1</v>
      </c>
      <c r="K561" s="110">
        <v>3</v>
      </c>
      <c r="L561" s="259">
        <v>3</v>
      </c>
      <c r="M561" s="260" t="s">
        <v>497</v>
      </c>
    </row>
    <row r="562" spans="1:13" x14ac:dyDescent="0.25">
      <c r="A562" s="146">
        <v>43674</v>
      </c>
      <c r="B562" s="11" t="s">
        <v>17</v>
      </c>
      <c r="C562" s="11" t="s">
        <v>107</v>
      </c>
      <c r="D562" s="11" t="s">
        <v>106</v>
      </c>
      <c r="E562" s="11" t="s">
        <v>11</v>
      </c>
      <c r="F562" s="11" t="s">
        <v>98</v>
      </c>
      <c r="G562" s="11" t="s">
        <v>68</v>
      </c>
      <c r="H562" s="108" t="s">
        <v>259</v>
      </c>
      <c r="I562" s="22"/>
      <c r="J562" s="108"/>
      <c r="K562" s="110">
        <v>1</v>
      </c>
      <c r="L562" s="259"/>
      <c r="M562" s="260" t="s">
        <v>498</v>
      </c>
    </row>
    <row r="563" spans="1:13" x14ac:dyDescent="0.25">
      <c r="A563" s="146">
        <v>43675</v>
      </c>
      <c r="B563" s="11" t="s">
        <v>17</v>
      </c>
      <c r="C563" s="11" t="s">
        <v>107</v>
      </c>
      <c r="D563" s="11" t="s">
        <v>106</v>
      </c>
      <c r="E563" s="11" t="s">
        <v>11</v>
      </c>
      <c r="F563" s="11" t="s">
        <v>98</v>
      </c>
      <c r="G563" s="11" t="s">
        <v>68</v>
      </c>
      <c r="H563" s="108" t="s">
        <v>259</v>
      </c>
      <c r="I563" s="22"/>
      <c r="J563" s="108"/>
      <c r="K563" s="110">
        <v>1</v>
      </c>
      <c r="L563" s="259"/>
      <c r="M563" s="260" t="s">
        <v>499</v>
      </c>
    </row>
    <row r="564" spans="1:13" x14ac:dyDescent="0.25">
      <c r="A564" s="146">
        <v>43676</v>
      </c>
      <c r="B564" s="11" t="s">
        <v>17</v>
      </c>
      <c r="C564" s="11" t="s">
        <v>107</v>
      </c>
      <c r="D564" s="11" t="s">
        <v>106</v>
      </c>
      <c r="E564" s="11" t="s">
        <v>11</v>
      </c>
      <c r="F564" s="11" t="s">
        <v>98</v>
      </c>
      <c r="G564" s="11" t="s">
        <v>68</v>
      </c>
      <c r="H564" s="108" t="s">
        <v>259</v>
      </c>
      <c r="I564" s="22"/>
      <c r="J564" s="108"/>
      <c r="K564" s="110">
        <v>1</v>
      </c>
      <c r="L564" s="259"/>
      <c r="M564" s="260" t="s">
        <v>500</v>
      </c>
    </row>
    <row r="565" spans="1:13" x14ac:dyDescent="0.25">
      <c r="A565" s="146">
        <v>43677</v>
      </c>
      <c r="B565" s="11" t="s">
        <v>17</v>
      </c>
      <c r="C565" s="11" t="s">
        <v>107</v>
      </c>
      <c r="D565" s="11" t="s">
        <v>106</v>
      </c>
      <c r="E565" s="11" t="s">
        <v>11</v>
      </c>
      <c r="F565" s="11" t="s">
        <v>98</v>
      </c>
      <c r="G565" s="11" t="s">
        <v>68</v>
      </c>
      <c r="H565" s="108" t="s">
        <v>259</v>
      </c>
      <c r="I565" s="22"/>
      <c r="J565" s="108"/>
      <c r="K565" s="110">
        <v>1</v>
      </c>
      <c r="L565" s="259"/>
      <c r="M565" s="260" t="s">
        <v>501</v>
      </c>
    </row>
    <row r="566" spans="1:13" x14ac:dyDescent="0.25">
      <c r="A566" s="146">
        <v>43678</v>
      </c>
      <c r="B566" s="11" t="s">
        <v>17</v>
      </c>
      <c r="C566" s="11" t="s">
        <v>107</v>
      </c>
      <c r="D566" s="11" t="s">
        <v>106</v>
      </c>
      <c r="E566" s="11" t="s">
        <v>11</v>
      </c>
      <c r="F566" s="11" t="s">
        <v>98</v>
      </c>
      <c r="G566" s="11" t="s">
        <v>68</v>
      </c>
      <c r="H566" s="108" t="s">
        <v>259</v>
      </c>
      <c r="I566" s="22"/>
      <c r="J566" s="108"/>
      <c r="K566" s="110">
        <v>1</v>
      </c>
      <c r="L566" s="259"/>
      <c r="M566" s="260" t="s">
        <v>502</v>
      </c>
    </row>
    <row r="567" spans="1:13" x14ac:dyDescent="0.25">
      <c r="A567" s="146">
        <v>43679</v>
      </c>
      <c r="B567" s="11" t="s">
        <v>17</v>
      </c>
      <c r="C567" s="11" t="s">
        <v>107</v>
      </c>
      <c r="D567" s="11" t="s">
        <v>106</v>
      </c>
      <c r="E567" s="11" t="s">
        <v>11</v>
      </c>
      <c r="F567" s="11" t="s">
        <v>98</v>
      </c>
      <c r="G567" s="11" t="s">
        <v>68</v>
      </c>
      <c r="H567" s="108" t="s">
        <v>259</v>
      </c>
      <c r="I567" s="22"/>
      <c r="J567" s="108"/>
      <c r="K567" s="110">
        <v>1</v>
      </c>
      <c r="L567" s="259"/>
      <c r="M567" s="260" t="s">
        <v>503</v>
      </c>
    </row>
    <row r="568" spans="1:13" x14ac:dyDescent="0.25">
      <c r="A568" s="146">
        <v>43680</v>
      </c>
      <c r="B568" s="11" t="s">
        <v>17</v>
      </c>
      <c r="C568" s="11" t="s">
        <v>107</v>
      </c>
      <c r="D568" s="11" t="s">
        <v>106</v>
      </c>
      <c r="E568" s="11" t="s">
        <v>11</v>
      </c>
      <c r="F568" s="11" t="s">
        <v>98</v>
      </c>
      <c r="G568" s="11" t="s">
        <v>68</v>
      </c>
      <c r="H568" s="108" t="s">
        <v>259</v>
      </c>
      <c r="I568" s="22"/>
      <c r="J568" s="108"/>
      <c r="K568" s="110">
        <v>1</v>
      </c>
      <c r="L568" s="259"/>
      <c r="M568" s="260" t="s">
        <v>504</v>
      </c>
    </row>
    <row r="569" spans="1:13" x14ac:dyDescent="0.25">
      <c r="A569" s="146">
        <v>43681</v>
      </c>
      <c r="B569" s="11" t="s">
        <v>17</v>
      </c>
      <c r="C569" s="11" t="s">
        <v>107</v>
      </c>
      <c r="D569" s="11" t="s">
        <v>106</v>
      </c>
      <c r="E569" s="11" t="s">
        <v>11</v>
      </c>
      <c r="F569" s="11" t="s">
        <v>98</v>
      </c>
      <c r="G569" s="11" t="s">
        <v>68</v>
      </c>
      <c r="H569" s="108" t="s">
        <v>259</v>
      </c>
      <c r="I569" s="22"/>
      <c r="J569" s="108"/>
      <c r="K569" s="110">
        <v>1</v>
      </c>
      <c r="L569" s="259"/>
      <c r="M569" s="260" t="s">
        <v>505</v>
      </c>
    </row>
    <row r="570" spans="1:13" x14ac:dyDescent="0.25">
      <c r="A570" s="146">
        <v>43682</v>
      </c>
      <c r="B570" s="11" t="s">
        <v>17</v>
      </c>
      <c r="C570" s="11" t="s">
        <v>107</v>
      </c>
      <c r="D570" s="11" t="s">
        <v>106</v>
      </c>
      <c r="E570" s="11" t="s">
        <v>11</v>
      </c>
      <c r="F570" s="11" t="s">
        <v>98</v>
      </c>
      <c r="G570" s="11" t="s">
        <v>68</v>
      </c>
      <c r="H570" s="108" t="s">
        <v>259</v>
      </c>
      <c r="I570" s="22"/>
      <c r="J570" s="108"/>
      <c r="K570" s="110">
        <v>1</v>
      </c>
      <c r="L570" s="259"/>
      <c r="M570" s="260" t="s">
        <v>506</v>
      </c>
    </row>
    <row r="571" spans="1:13" x14ac:dyDescent="0.25">
      <c r="A571" s="146">
        <v>43683</v>
      </c>
      <c r="B571" s="11" t="s">
        <v>17</v>
      </c>
      <c r="C571" s="11" t="s">
        <v>107</v>
      </c>
      <c r="D571" s="11" t="s">
        <v>106</v>
      </c>
      <c r="E571" s="11" t="s">
        <v>11</v>
      </c>
      <c r="F571" s="11" t="s">
        <v>98</v>
      </c>
      <c r="G571" s="11" t="s">
        <v>68</v>
      </c>
      <c r="H571" s="108" t="s">
        <v>259</v>
      </c>
      <c r="I571" s="22"/>
      <c r="J571" s="108"/>
      <c r="K571" s="110">
        <v>1</v>
      </c>
      <c r="L571" s="259"/>
      <c r="M571" s="260" t="s">
        <v>507</v>
      </c>
    </row>
    <row r="572" spans="1:13" x14ac:dyDescent="0.25">
      <c r="A572" s="146">
        <v>43684</v>
      </c>
      <c r="B572" s="11" t="s">
        <v>17</v>
      </c>
      <c r="C572" s="11" t="s">
        <v>107</v>
      </c>
      <c r="D572" s="11" t="s">
        <v>106</v>
      </c>
      <c r="E572" s="11" t="s">
        <v>11</v>
      </c>
      <c r="F572" s="11" t="s">
        <v>98</v>
      </c>
      <c r="G572" s="11" t="s">
        <v>68</v>
      </c>
      <c r="H572" s="108" t="s">
        <v>259</v>
      </c>
      <c r="I572" s="22"/>
      <c r="J572" s="108"/>
      <c r="K572" s="110">
        <v>1</v>
      </c>
      <c r="L572" s="259"/>
      <c r="M572" s="260" t="s">
        <v>508</v>
      </c>
    </row>
    <row r="573" spans="1:13" x14ac:dyDescent="0.25">
      <c r="A573" s="146">
        <v>43685</v>
      </c>
      <c r="B573" s="11" t="s">
        <v>17</v>
      </c>
      <c r="C573" s="11" t="s">
        <v>107</v>
      </c>
      <c r="D573" s="11" t="s">
        <v>106</v>
      </c>
      <c r="E573" s="11" t="s">
        <v>11</v>
      </c>
      <c r="F573" s="11" t="s">
        <v>98</v>
      </c>
      <c r="G573" s="11" t="s">
        <v>68</v>
      </c>
      <c r="H573" s="108" t="s">
        <v>259</v>
      </c>
      <c r="I573" s="22"/>
      <c r="J573" s="108"/>
      <c r="K573" s="110">
        <v>1</v>
      </c>
      <c r="L573" s="259"/>
      <c r="M573" s="260" t="s">
        <v>509</v>
      </c>
    </row>
    <row r="574" spans="1:13" x14ac:dyDescent="0.25">
      <c r="A574" s="146">
        <v>43686</v>
      </c>
      <c r="B574" s="11" t="s">
        <v>17</v>
      </c>
      <c r="C574" s="11" t="s">
        <v>107</v>
      </c>
      <c r="D574" s="11" t="s">
        <v>106</v>
      </c>
      <c r="E574" s="11" t="s">
        <v>11</v>
      </c>
      <c r="F574" s="11" t="s">
        <v>98</v>
      </c>
      <c r="G574" s="11" t="s">
        <v>68</v>
      </c>
      <c r="H574" s="108" t="s">
        <v>259</v>
      </c>
      <c r="I574" s="22"/>
      <c r="J574" s="108"/>
      <c r="K574" s="110">
        <v>1</v>
      </c>
      <c r="L574" s="259"/>
      <c r="M574" s="260" t="s">
        <v>510</v>
      </c>
    </row>
    <row r="575" spans="1:13" x14ac:dyDescent="0.25">
      <c r="A575" s="146">
        <v>43687</v>
      </c>
      <c r="B575" s="11" t="s">
        <v>17</v>
      </c>
      <c r="C575" s="11" t="s">
        <v>107</v>
      </c>
      <c r="D575" s="11" t="s">
        <v>106</v>
      </c>
      <c r="E575" s="11" t="s">
        <v>11</v>
      </c>
      <c r="F575" s="11" t="s">
        <v>98</v>
      </c>
      <c r="G575" s="11" t="s">
        <v>68</v>
      </c>
      <c r="H575" s="108" t="s">
        <v>259</v>
      </c>
      <c r="I575" s="22"/>
      <c r="J575" s="108"/>
      <c r="K575" s="110">
        <v>1</v>
      </c>
      <c r="L575" s="259"/>
      <c r="M575" s="260" t="s">
        <v>511</v>
      </c>
    </row>
    <row r="576" spans="1:13" x14ac:dyDescent="0.25">
      <c r="A576" s="146">
        <v>43688</v>
      </c>
      <c r="B576" s="11" t="s">
        <v>17</v>
      </c>
      <c r="C576" s="11" t="s">
        <v>107</v>
      </c>
      <c r="D576" s="11" t="s">
        <v>106</v>
      </c>
      <c r="E576" s="11" t="s">
        <v>11</v>
      </c>
      <c r="F576" s="11" t="s">
        <v>98</v>
      </c>
      <c r="G576" s="11" t="s">
        <v>68</v>
      </c>
      <c r="H576" s="108" t="s">
        <v>259</v>
      </c>
      <c r="I576" s="22"/>
      <c r="J576" s="108"/>
      <c r="K576" s="110">
        <v>1</v>
      </c>
      <c r="L576" s="259"/>
      <c r="M576" s="260" t="s">
        <v>512</v>
      </c>
    </row>
    <row r="577" spans="1:13" x14ac:dyDescent="0.25">
      <c r="A577" s="146">
        <v>43689</v>
      </c>
      <c r="B577" s="11" t="s">
        <v>17</v>
      </c>
      <c r="C577" s="11" t="s">
        <v>107</v>
      </c>
      <c r="D577" s="11" t="s">
        <v>106</v>
      </c>
      <c r="E577" s="11" t="s">
        <v>11</v>
      </c>
      <c r="F577" s="11" t="s">
        <v>98</v>
      </c>
      <c r="G577" s="11" t="s">
        <v>68</v>
      </c>
      <c r="H577" s="108" t="s">
        <v>259</v>
      </c>
      <c r="I577" s="22"/>
      <c r="J577" s="108"/>
      <c r="K577" s="110">
        <v>1</v>
      </c>
      <c r="L577" s="259"/>
      <c r="M577" s="260" t="s">
        <v>513</v>
      </c>
    </row>
    <row r="578" spans="1:13" x14ac:dyDescent="0.25">
      <c r="A578" s="146">
        <v>43690</v>
      </c>
      <c r="B578" s="11" t="s">
        <v>17</v>
      </c>
      <c r="C578" s="11" t="s">
        <v>107</v>
      </c>
      <c r="D578" s="11" t="s">
        <v>106</v>
      </c>
      <c r="E578" s="11" t="s">
        <v>11</v>
      </c>
      <c r="F578" s="11" t="s">
        <v>98</v>
      </c>
      <c r="G578" s="11" t="s">
        <v>68</v>
      </c>
      <c r="H578" s="108" t="s">
        <v>259</v>
      </c>
      <c r="I578" s="22"/>
      <c r="J578" s="108"/>
      <c r="K578" s="110">
        <v>1</v>
      </c>
      <c r="L578" s="259"/>
      <c r="M578" s="260" t="s">
        <v>514</v>
      </c>
    </row>
    <row r="579" spans="1:13" x14ac:dyDescent="0.25">
      <c r="A579" s="146">
        <v>43691</v>
      </c>
      <c r="B579" s="11" t="s">
        <v>17</v>
      </c>
      <c r="C579" s="11" t="s">
        <v>107</v>
      </c>
      <c r="D579" s="11" t="s">
        <v>106</v>
      </c>
      <c r="E579" s="11" t="s">
        <v>11</v>
      </c>
      <c r="F579" s="11" t="s">
        <v>98</v>
      </c>
      <c r="G579" s="11" t="s">
        <v>68</v>
      </c>
      <c r="H579" s="108" t="s">
        <v>259</v>
      </c>
      <c r="I579" s="22"/>
      <c r="J579" s="108"/>
      <c r="K579" s="110">
        <v>1</v>
      </c>
      <c r="L579" s="259"/>
      <c r="M579" s="260" t="s">
        <v>515</v>
      </c>
    </row>
    <row r="580" spans="1:13" x14ac:dyDescent="0.25">
      <c r="A580" s="146">
        <v>43692</v>
      </c>
      <c r="B580" s="11" t="s">
        <v>17</v>
      </c>
      <c r="C580" s="11" t="s">
        <v>107</v>
      </c>
      <c r="D580" s="11" t="s">
        <v>106</v>
      </c>
      <c r="E580" s="11" t="s">
        <v>11</v>
      </c>
      <c r="F580" s="11" t="s">
        <v>98</v>
      </c>
      <c r="G580" s="11" t="s">
        <v>68</v>
      </c>
      <c r="H580" s="108" t="s">
        <v>259</v>
      </c>
      <c r="I580" s="22"/>
      <c r="J580" s="108"/>
      <c r="K580" s="110">
        <v>1</v>
      </c>
      <c r="L580" s="259"/>
      <c r="M580" s="260" t="s">
        <v>517</v>
      </c>
    </row>
    <row r="581" spans="1:13" x14ac:dyDescent="0.25">
      <c r="A581" s="146">
        <v>43693</v>
      </c>
      <c r="B581" s="11" t="s">
        <v>17</v>
      </c>
      <c r="C581" s="11" t="s">
        <v>107</v>
      </c>
      <c r="D581" s="11" t="s">
        <v>106</v>
      </c>
      <c r="E581" s="11" t="s">
        <v>11</v>
      </c>
      <c r="F581" s="11" t="s">
        <v>98</v>
      </c>
      <c r="G581" s="11" t="s">
        <v>68</v>
      </c>
      <c r="H581" s="108" t="s">
        <v>259</v>
      </c>
      <c r="I581" s="22"/>
      <c r="J581" s="108"/>
      <c r="K581" s="110">
        <v>1</v>
      </c>
      <c r="L581" s="259"/>
      <c r="M581" s="260" t="s">
        <v>518</v>
      </c>
    </row>
    <row r="582" spans="1:13" x14ac:dyDescent="0.25">
      <c r="A582" s="146">
        <v>43694</v>
      </c>
      <c r="B582" s="11" t="s">
        <v>17</v>
      </c>
      <c r="C582" s="11" t="s">
        <v>107</v>
      </c>
      <c r="D582" s="11" t="s">
        <v>106</v>
      </c>
      <c r="E582" s="11" t="s">
        <v>11</v>
      </c>
      <c r="F582" s="11" t="s">
        <v>98</v>
      </c>
      <c r="G582" s="11" t="s">
        <v>68</v>
      </c>
      <c r="H582" s="108" t="s">
        <v>259</v>
      </c>
      <c r="I582" s="22"/>
      <c r="J582" s="108"/>
      <c r="K582" s="110">
        <v>1</v>
      </c>
      <c r="L582" s="259"/>
      <c r="M582" s="260" t="s">
        <v>519</v>
      </c>
    </row>
    <row r="583" spans="1:13" x14ac:dyDescent="0.25">
      <c r="A583" s="146">
        <v>43695</v>
      </c>
      <c r="B583" s="11" t="s">
        <v>17</v>
      </c>
      <c r="C583" s="11" t="s">
        <v>107</v>
      </c>
      <c r="D583" s="11" t="s">
        <v>106</v>
      </c>
      <c r="E583" s="11" t="s">
        <v>11</v>
      </c>
      <c r="F583" s="11" t="s">
        <v>98</v>
      </c>
      <c r="G583" s="11" t="s">
        <v>68</v>
      </c>
      <c r="H583" s="108" t="s">
        <v>259</v>
      </c>
      <c r="I583" s="22"/>
      <c r="J583" s="108"/>
      <c r="K583" s="110">
        <v>1</v>
      </c>
      <c r="L583" s="259"/>
      <c r="M583" s="260" t="s">
        <v>520</v>
      </c>
    </row>
    <row r="584" spans="1:13" x14ac:dyDescent="0.25">
      <c r="A584" s="146">
        <v>43696</v>
      </c>
      <c r="B584" s="11" t="s">
        <v>17</v>
      </c>
      <c r="C584" s="11" t="s">
        <v>107</v>
      </c>
      <c r="D584" s="11" t="s">
        <v>106</v>
      </c>
      <c r="E584" s="11" t="s">
        <v>11</v>
      </c>
      <c r="F584" s="11" t="s">
        <v>98</v>
      </c>
      <c r="G584" s="11" t="s">
        <v>68</v>
      </c>
      <c r="H584" s="108" t="s">
        <v>259</v>
      </c>
      <c r="I584" s="22"/>
      <c r="J584" s="108"/>
      <c r="K584" s="110">
        <v>1</v>
      </c>
      <c r="L584" s="259"/>
      <c r="M584" s="260" t="s">
        <v>521</v>
      </c>
    </row>
    <row r="585" spans="1:13" x14ac:dyDescent="0.25">
      <c r="A585" s="146">
        <v>43697</v>
      </c>
      <c r="B585" s="11" t="s">
        <v>17</v>
      </c>
      <c r="C585" s="11" t="s">
        <v>107</v>
      </c>
      <c r="D585" s="11" t="s">
        <v>106</v>
      </c>
      <c r="E585" s="11" t="s">
        <v>11</v>
      </c>
      <c r="F585" s="11" t="s">
        <v>98</v>
      </c>
      <c r="G585" s="11" t="s">
        <v>68</v>
      </c>
      <c r="H585" s="108" t="s">
        <v>259</v>
      </c>
      <c r="I585" s="22"/>
      <c r="J585" s="108"/>
      <c r="K585" s="110">
        <v>1</v>
      </c>
      <c r="L585" s="259"/>
      <c r="M585" s="260" t="s">
        <v>522</v>
      </c>
    </row>
    <row r="586" spans="1:13" x14ac:dyDescent="0.25">
      <c r="A586" s="146">
        <v>43698</v>
      </c>
      <c r="B586" s="11" t="s">
        <v>17</v>
      </c>
      <c r="C586" s="11" t="s">
        <v>107</v>
      </c>
      <c r="D586" s="11" t="s">
        <v>106</v>
      </c>
      <c r="E586" s="11" t="s">
        <v>11</v>
      </c>
      <c r="F586" s="11" t="s">
        <v>98</v>
      </c>
      <c r="G586" s="11" t="s">
        <v>68</v>
      </c>
      <c r="H586" s="108" t="s">
        <v>259</v>
      </c>
      <c r="I586" s="22"/>
      <c r="J586" s="108"/>
      <c r="K586" s="110">
        <v>1</v>
      </c>
      <c r="L586" s="259"/>
      <c r="M586" s="260" t="s">
        <v>523</v>
      </c>
    </row>
    <row r="587" spans="1:13" x14ac:dyDescent="0.25">
      <c r="A587" s="146">
        <v>43699</v>
      </c>
      <c r="B587" s="11" t="s">
        <v>17</v>
      </c>
      <c r="C587" s="11" t="s">
        <v>107</v>
      </c>
      <c r="D587" s="11" t="s">
        <v>106</v>
      </c>
      <c r="E587" s="11" t="s">
        <v>11</v>
      </c>
      <c r="F587" s="11" t="s">
        <v>98</v>
      </c>
      <c r="G587" s="11" t="s">
        <v>68</v>
      </c>
      <c r="H587" s="108" t="s">
        <v>259</v>
      </c>
      <c r="I587" s="22"/>
      <c r="J587" s="108"/>
      <c r="K587" s="110">
        <v>1</v>
      </c>
      <c r="L587" s="259"/>
      <c r="M587" s="260" t="s">
        <v>524</v>
      </c>
    </row>
    <row r="588" spans="1:13" x14ac:dyDescent="0.25">
      <c r="A588" s="146">
        <v>43700</v>
      </c>
      <c r="B588" s="11" t="s">
        <v>17</v>
      </c>
      <c r="C588" s="11" t="s">
        <v>107</v>
      </c>
      <c r="D588" s="11" t="s">
        <v>106</v>
      </c>
      <c r="E588" s="11" t="s">
        <v>11</v>
      </c>
      <c r="F588" s="11" t="s">
        <v>98</v>
      </c>
      <c r="G588" s="11" t="s">
        <v>68</v>
      </c>
      <c r="H588" s="108" t="s">
        <v>259</v>
      </c>
      <c r="I588" s="22"/>
      <c r="J588" s="108"/>
      <c r="K588" s="110">
        <v>1</v>
      </c>
      <c r="L588" s="259"/>
      <c r="M588" s="260" t="s">
        <v>525</v>
      </c>
    </row>
    <row r="589" spans="1:13" x14ac:dyDescent="0.25">
      <c r="A589" s="146">
        <v>43701</v>
      </c>
      <c r="B589" s="11" t="s">
        <v>17</v>
      </c>
      <c r="C589" s="11" t="s">
        <v>107</v>
      </c>
      <c r="D589" s="11" t="s">
        <v>106</v>
      </c>
      <c r="E589" s="11" t="s">
        <v>11</v>
      </c>
      <c r="F589" s="11" t="s">
        <v>98</v>
      </c>
      <c r="G589" s="11" t="s">
        <v>68</v>
      </c>
      <c r="H589" s="108" t="s">
        <v>259</v>
      </c>
      <c r="I589" s="22"/>
      <c r="J589" s="108"/>
      <c r="K589" s="110">
        <v>1</v>
      </c>
      <c r="L589" s="259"/>
      <c r="M589" s="260" t="s">
        <v>526</v>
      </c>
    </row>
    <row r="590" spans="1:13" x14ac:dyDescent="0.25">
      <c r="A590" s="146">
        <v>43702</v>
      </c>
      <c r="B590" s="11" t="s">
        <v>17</v>
      </c>
      <c r="C590" s="11" t="s">
        <v>107</v>
      </c>
      <c r="D590" s="11" t="s">
        <v>106</v>
      </c>
      <c r="E590" s="11" t="s">
        <v>11</v>
      </c>
      <c r="F590" s="11" t="s">
        <v>98</v>
      </c>
      <c r="G590" s="11" t="s">
        <v>68</v>
      </c>
      <c r="H590" s="108" t="s">
        <v>259</v>
      </c>
      <c r="I590" s="22"/>
      <c r="J590" s="108"/>
      <c r="K590" s="110">
        <v>1</v>
      </c>
      <c r="L590" s="259"/>
      <c r="M590" s="260" t="s">
        <v>527</v>
      </c>
    </row>
    <row r="591" spans="1:13" x14ac:dyDescent="0.25">
      <c r="A591" s="146">
        <v>43703</v>
      </c>
      <c r="B591" s="11" t="s">
        <v>17</v>
      </c>
      <c r="C591" s="11" t="s">
        <v>107</v>
      </c>
      <c r="D591" s="11" t="s">
        <v>106</v>
      </c>
      <c r="E591" s="11" t="s">
        <v>11</v>
      </c>
      <c r="F591" s="11" t="s">
        <v>98</v>
      </c>
      <c r="G591" s="11" t="s">
        <v>68</v>
      </c>
      <c r="H591" s="108" t="s">
        <v>259</v>
      </c>
      <c r="I591" s="22"/>
      <c r="J591" s="108"/>
      <c r="K591" s="110">
        <v>1</v>
      </c>
      <c r="L591" s="259"/>
      <c r="M591" s="260" t="s">
        <v>528</v>
      </c>
    </row>
    <row r="592" spans="1:13" x14ac:dyDescent="0.25">
      <c r="A592" s="146">
        <v>43704</v>
      </c>
      <c r="B592" s="11" t="s">
        <v>17</v>
      </c>
      <c r="C592" s="11" t="s">
        <v>107</v>
      </c>
      <c r="D592" s="11" t="s">
        <v>106</v>
      </c>
      <c r="E592" s="11" t="s">
        <v>11</v>
      </c>
      <c r="F592" s="11" t="s">
        <v>98</v>
      </c>
      <c r="G592" s="11" t="s">
        <v>68</v>
      </c>
      <c r="H592" s="108" t="s">
        <v>259</v>
      </c>
      <c r="I592" s="22"/>
      <c r="J592" s="108"/>
      <c r="K592" s="110">
        <v>1</v>
      </c>
      <c r="L592" s="259"/>
      <c r="M592" s="260" t="s">
        <v>529</v>
      </c>
    </row>
    <row r="593" spans="1:13" x14ac:dyDescent="0.25">
      <c r="A593" s="146">
        <v>43705</v>
      </c>
      <c r="B593" s="11" t="s">
        <v>17</v>
      </c>
      <c r="C593" s="11" t="s">
        <v>107</v>
      </c>
      <c r="D593" s="11" t="s">
        <v>106</v>
      </c>
      <c r="E593" s="11" t="s">
        <v>11</v>
      </c>
      <c r="F593" s="11" t="s">
        <v>98</v>
      </c>
      <c r="G593" s="11" t="s">
        <v>68</v>
      </c>
      <c r="H593" s="108" t="s">
        <v>259</v>
      </c>
      <c r="I593" s="22"/>
      <c r="J593" s="108"/>
      <c r="K593" s="110">
        <v>1</v>
      </c>
      <c r="L593" s="259"/>
      <c r="M593" s="260" t="s">
        <v>530</v>
      </c>
    </row>
    <row r="594" spans="1:13" x14ac:dyDescent="0.25">
      <c r="A594" s="146">
        <v>43706</v>
      </c>
      <c r="B594" s="11" t="s">
        <v>17</v>
      </c>
      <c r="C594" s="11" t="s">
        <v>107</v>
      </c>
      <c r="D594" s="11" t="s">
        <v>106</v>
      </c>
      <c r="E594" s="11" t="s">
        <v>11</v>
      </c>
      <c r="F594" s="11" t="s">
        <v>98</v>
      </c>
      <c r="G594" s="11" t="s">
        <v>68</v>
      </c>
      <c r="H594" s="108" t="s">
        <v>259</v>
      </c>
      <c r="I594" s="22"/>
      <c r="J594" s="108"/>
      <c r="K594" s="110">
        <v>1</v>
      </c>
      <c r="L594" s="259"/>
      <c r="M594" s="260" t="s">
        <v>531</v>
      </c>
    </row>
    <row r="595" spans="1:13" x14ac:dyDescent="0.25">
      <c r="A595" s="146">
        <v>43707</v>
      </c>
      <c r="B595" s="11" t="s">
        <v>17</v>
      </c>
      <c r="C595" s="11" t="s">
        <v>107</v>
      </c>
      <c r="D595" s="11" t="s">
        <v>106</v>
      </c>
      <c r="E595" s="11" t="s">
        <v>11</v>
      </c>
      <c r="F595" s="11" t="s">
        <v>98</v>
      </c>
      <c r="G595" s="11" t="s">
        <v>68</v>
      </c>
      <c r="H595" s="108" t="s">
        <v>259</v>
      </c>
      <c r="I595" s="22"/>
      <c r="J595" s="108"/>
      <c r="K595" s="110">
        <v>1</v>
      </c>
      <c r="L595" s="259"/>
      <c r="M595" s="260" t="s">
        <v>532</v>
      </c>
    </row>
    <row r="596" spans="1:13" x14ac:dyDescent="0.25">
      <c r="A596" s="146">
        <v>43708</v>
      </c>
      <c r="B596" s="11" t="s">
        <v>17</v>
      </c>
      <c r="C596" s="11" t="s">
        <v>107</v>
      </c>
      <c r="D596" s="11" t="s">
        <v>106</v>
      </c>
      <c r="E596" s="11" t="s">
        <v>11</v>
      </c>
      <c r="F596" s="11" t="s">
        <v>98</v>
      </c>
      <c r="G596" s="11" t="s">
        <v>68</v>
      </c>
      <c r="H596" s="108" t="s">
        <v>259</v>
      </c>
      <c r="I596" s="22"/>
      <c r="J596" s="108"/>
      <c r="K596" s="110">
        <v>1</v>
      </c>
      <c r="L596" s="259"/>
      <c r="M596" s="260" t="s">
        <v>533</v>
      </c>
    </row>
    <row r="597" spans="1:13" x14ac:dyDescent="0.25">
      <c r="A597" s="146">
        <v>43684</v>
      </c>
      <c r="B597" s="11" t="s">
        <v>236</v>
      </c>
      <c r="C597" s="11" t="s">
        <v>295</v>
      </c>
      <c r="D597" s="11" t="s">
        <v>125</v>
      </c>
      <c r="E597" s="11" t="s">
        <v>126</v>
      </c>
      <c r="F597" s="11" t="s">
        <v>98</v>
      </c>
      <c r="G597" s="11" t="s">
        <v>76</v>
      </c>
      <c r="H597" s="108">
        <v>40.67</v>
      </c>
      <c r="I597" s="22"/>
      <c r="J597" s="108"/>
      <c r="K597" s="110">
        <v>1</v>
      </c>
      <c r="L597" s="259"/>
      <c r="M597" s="260" t="s">
        <v>569</v>
      </c>
    </row>
    <row r="598" spans="1:13" x14ac:dyDescent="0.25">
      <c r="A598" s="146">
        <v>43684</v>
      </c>
      <c r="B598" s="11" t="s">
        <v>236</v>
      </c>
      <c r="C598" s="11" t="s">
        <v>294</v>
      </c>
      <c r="D598" s="11" t="s">
        <v>125</v>
      </c>
      <c r="E598" s="11" t="s">
        <v>126</v>
      </c>
      <c r="F598" s="11" t="s">
        <v>98</v>
      </c>
      <c r="G598" s="11" t="s">
        <v>76</v>
      </c>
      <c r="H598" s="108">
        <v>70.56</v>
      </c>
      <c r="I598" s="22"/>
      <c r="J598" s="108"/>
      <c r="K598" s="110">
        <v>1</v>
      </c>
      <c r="L598" s="259"/>
      <c r="M598" s="260" t="s">
        <v>570</v>
      </c>
    </row>
    <row r="599" spans="1:13" x14ac:dyDescent="0.25">
      <c r="A599" s="146">
        <v>43684</v>
      </c>
      <c r="B599" s="11" t="s">
        <v>236</v>
      </c>
      <c r="C599" s="11" t="s">
        <v>307</v>
      </c>
      <c r="D599" s="11" t="s">
        <v>125</v>
      </c>
      <c r="E599" s="11" t="s">
        <v>126</v>
      </c>
      <c r="F599" s="11" t="s">
        <v>98</v>
      </c>
      <c r="G599" s="11" t="s">
        <v>76</v>
      </c>
      <c r="H599" s="108">
        <v>82.02</v>
      </c>
      <c r="I599" s="22"/>
      <c r="J599" s="108"/>
      <c r="K599" s="110">
        <v>1</v>
      </c>
      <c r="L599" s="259"/>
      <c r="M599" s="260" t="s">
        <v>571</v>
      </c>
    </row>
    <row r="600" spans="1:13" x14ac:dyDescent="0.25">
      <c r="A600" s="146">
        <v>43684</v>
      </c>
      <c r="B600" s="11" t="s">
        <v>236</v>
      </c>
      <c r="C600" s="11" t="s">
        <v>305</v>
      </c>
      <c r="D600" s="11" t="s">
        <v>125</v>
      </c>
      <c r="E600" s="11" t="s">
        <v>126</v>
      </c>
      <c r="F600" s="11" t="s">
        <v>98</v>
      </c>
      <c r="G600" s="11" t="s">
        <v>76</v>
      </c>
      <c r="H600" s="108">
        <v>74.89</v>
      </c>
      <c r="I600" s="22"/>
      <c r="J600" s="108"/>
      <c r="K600" s="110">
        <v>1</v>
      </c>
      <c r="L600" s="259"/>
      <c r="M600" s="260" t="s">
        <v>572</v>
      </c>
    </row>
    <row r="601" spans="1:13" x14ac:dyDescent="0.25">
      <c r="A601" s="146">
        <v>43684</v>
      </c>
      <c r="B601" s="11" t="s">
        <v>236</v>
      </c>
      <c r="C601" s="11" t="s">
        <v>306</v>
      </c>
      <c r="D601" s="11" t="s">
        <v>125</v>
      </c>
      <c r="E601" s="11" t="s">
        <v>126</v>
      </c>
      <c r="F601" s="11" t="s">
        <v>98</v>
      </c>
      <c r="G601" s="11" t="s">
        <v>76</v>
      </c>
      <c r="H601" s="108">
        <v>41.72</v>
      </c>
      <c r="I601" s="22"/>
      <c r="J601" s="108"/>
      <c r="K601" s="110">
        <v>1</v>
      </c>
      <c r="L601" s="259"/>
      <c r="M601" s="260" t="s">
        <v>573</v>
      </c>
    </row>
    <row r="602" spans="1:13" x14ac:dyDescent="0.25">
      <c r="A602" s="146">
        <v>43684</v>
      </c>
      <c r="B602" s="11" t="s">
        <v>236</v>
      </c>
      <c r="C602" s="11" t="s">
        <v>296</v>
      </c>
      <c r="D602" s="11" t="s">
        <v>125</v>
      </c>
      <c r="E602" s="11" t="s">
        <v>126</v>
      </c>
      <c r="F602" s="11" t="s">
        <v>98</v>
      </c>
      <c r="G602" s="11" t="s">
        <v>76</v>
      </c>
      <c r="H602" s="108">
        <v>81.819999999999993</v>
      </c>
      <c r="I602" s="22"/>
      <c r="J602" s="108"/>
      <c r="K602" s="110">
        <v>1</v>
      </c>
      <c r="L602" s="259"/>
      <c r="M602" s="260" t="s">
        <v>574</v>
      </c>
    </row>
    <row r="603" spans="1:13" x14ac:dyDescent="0.25">
      <c r="A603" s="146">
        <v>43685</v>
      </c>
      <c r="B603" s="11" t="s">
        <v>236</v>
      </c>
      <c r="C603" s="11" t="s">
        <v>308</v>
      </c>
      <c r="D603" s="11" t="s">
        <v>125</v>
      </c>
      <c r="E603" s="11" t="s">
        <v>126</v>
      </c>
      <c r="F603" s="11" t="s">
        <v>98</v>
      </c>
      <c r="G603" s="11" t="s">
        <v>76</v>
      </c>
      <c r="H603" s="108">
        <v>62.39</v>
      </c>
      <c r="I603" s="22"/>
      <c r="J603" s="108"/>
      <c r="K603" s="110">
        <v>1</v>
      </c>
      <c r="L603" s="259"/>
      <c r="M603" s="260" t="s">
        <v>575</v>
      </c>
    </row>
    <row r="604" spans="1:13" x14ac:dyDescent="0.25">
      <c r="A604" s="146">
        <v>43685</v>
      </c>
      <c r="B604" s="11" t="s">
        <v>236</v>
      </c>
      <c r="C604" s="11" t="s">
        <v>297</v>
      </c>
      <c r="D604" s="11" t="s">
        <v>125</v>
      </c>
      <c r="E604" s="11" t="s">
        <v>126</v>
      </c>
      <c r="F604" s="11" t="s">
        <v>98</v>
      </c>
      <c r="G604" s="11" t="s">
        <v>76</v>
      </c>
      <c r="H604" s="108">
        <v>65.11</v>
      </c>
      <c r="I604" s="22"/>
      <c r="J604" s="108"/>
      <c r="K604" s="110">
        <v>1</v>
      </c>
      <c r="L604" s="259"/>
      <c r="M604" s="260" t="s">
        <v>576</v>
      </c>
    </row>
    <row r="605" spans="1:13" x14ac:dyDescent="0.25">
      <c r="A605" s="146">
        <v>43684</v>
      </c>
      <c r="B605" s="11" t="s">
        <v>236</v>
      </c>
      <c r="C605" s="11" t="s">
        <v>296</v>
      </c>
      <c r="D605" s="11" t="s">
        <v>287</v>
      </c>
      <c r="E605" s="11" t="s">
        <v>288</v>
      </c>
      <c r="F605" s="11" t="s">
        <v>98</v>
      </c>
      <c r="G605" s="11" t="s">
        <v>89</v>
      </c>
      <c r="H605" s="108">
        <v>0</v>
      </c>
      <c r="I605" s="22"/>
      <c r="J605" s="108">
        <v>5.3</v>
      </c>
      <c r="K605" s="110">
        <v>1</v>
      </c>
      <c r="L605" s="259">
        <v>5.3</v>
      </c>
      <c r="M605" s="260" t="s">
        <v>574</v>
      </c>
    </row>
    <row r="606" spans="1:13" x14ac:dyDescent="0.25">
      <c r="A606" s="146">
        <v>43684</v>
      </c>
      <c r="B606" s="11" t="s">
        <v>236</v>
      </c>
      <c r="C606" s="11" t="s">
        <v>295</v>
      </c>
      <c r="D606" s="11" t="s">
        <v>287</v>
      </c>
      <c r="E606" s="11" t="s">
        <v>288</v>
      </c>
      <c r="F606" s="11" t="s">
        <v>98</v>
      </c>
      <c r="G606" s="11" t="s">
        <v>89</v>
      </c>
      <c r="H606" s="108">
        <v>0</v>
      </c>
      <c r="I606" s="22"/>
      <c r="J606" s="108">
        <v>5</v>
      </c>
      <c r="K606" s="110">
        <v>1</v>
      </c>
      <c r="L606" s="259">
        <v>5</v>
      </c>
      <c r="M606" s="260" t="s">
        <v>569</v>
      </c>
    </row>
    <row r="607" spans="1:13" x14ac:dyDescent="0.25">
      <c r="A607" s="146">
        <v>43684</v>
      </c>
      <c r="B607" s="11" t="s">
        <v>236</v>
      </c>
      <c r="C607" s="11" t="s">
        <v>294</v>
      </c>
      <c r="D607" s="11" t="s">
        <v>287</v>
      </c>
      <c r="E607" s="11" t="s">
        <v>288</v>
      </c>
      <c r="F607" s="11" t="s">
        <v>98</v>
      </c>
      <c r="G607" s="11" t="s">
        <v>89</v>
      </c>
      <c r="H607" s="108">
        <v>0</v>
      </c>
      <c r="I607" s="22"/>
      <c r="J607" s="108">
        <v>5.0999999999999996</v>
      </c>
      <c r="K607" s="110">
        <v>1</v>
      </c>
      <c r="L607" s="259">
        <v>5.0999999999999996</v>
      </c>
      <c r="M607" s="260" t="s">
        <v>570</v>
      </c>
    </row>
    <row r="608" spans="1:13" x14ac:dyDescent="0.25">
      <c r="A608" s="146">
        <v>43685</v>
      </c>
      <c r="B608" s="11" t="s">
        <v>236</v>
      </c>
      <c r="C608" s="11" t="s">
        <v>297</v>
      </c>
      <c r="D608" s="11" t="s">
        <v>287</v>
      </c>
      <c r="E608" s="11" t="s">
        <v>288</v>
      </c>
      <c r="F608" s="11" t="s">
        <v>98</v>
      </c>
      <c r="G608" s="11" t="s">
        <v>89</v>
      </c>
      <c r="H608" s="108">
        <v>0</v>
      </c>
      <c r="I608" s="22"/>
      <c r="J608" s="108">
        <v>4.9000000000000004</v>
      </c>
      <c r="K608" s="110">
        <v>1</v>
      </c>
      <c r="L608" s="259">
        <v>4.9000000000000004</v>
      </c>
      <c r="M608" s="260" t="s">
        <v>576</v>
      </c>
    </row>
    <row r="609" spans="1:13" x14ac:dyDescent="0.25">
      <c r="A609" s="146">
        <v>43684</v>
      </c>
      <c r="B609" s="11" t="s">
        <v>236</v>
      </c>
      <c r="C609" s="11" t="s">
        <v>296</v>
      </c>
      <c r="D609" s="11" t="s">
        <v>292</v>
      </c>
      <c r="E609" s="11" t="s">
        <v>293</v>
      </c>
      <c r="F609" s="11" t="s">
        <v>98</v>
      </c>
      <c r="G609" s="11" t="s">
        <v>89</v>
      </c>
      <c r="H609" s="108">
        <v>0</v>
      </c>
      <c r="I609" s="22"/>
      <c r="J609" s="108">
        <v>5.3</v>
      </c>
      <c r="K609" s="110">
        <v>1</v>
      </c>
      <c r="L609" s="259">
        <v>5.3</v>
      </c>
      <c r="M609" s="260" t="s">
        <v>574</v>
      </c>
    </row>
    <row r="610" spans="1:13" x14ac:dyDescent="0.25">
      <c r="A610" s="146">
        <v>43684</v>
      </c>
      <c r="B610" s="11" t="s">
        <v>236</v>
      </c>
      <c r="C610" s="11" t="s">
        <v>295</v>
      </c>
      <c r="D610" s="11" t="s">
        <v>292</v>
      </c>
      <c r="E610" s="11" t="s">
        <v>293</v>
      </c>
      <c r="F610" s="11" t="s">
        <v>98</v>
      </c>
      <c r="G610" s="11" t="s">
        <v>89</v>
      </c>
      <c r="H610" s="108">
        <v>0</v>
      </c>
      <c r="I610" s="22"/>
      <c r="J610" s="108">
        <v>5</v>
      </c>
      <c r="K610" s="110">
        <v>1</v>
      </c>
      <c r="L610" s="259">
        <v>5</v>
      </c>
      <c r="M610" s="260" t="s">
        <v>569</v>
      </c>
    </row>
    <row r="611" spans="1:13" x14ac:dyDescent="0.25">
      <c r="A611" s="146">
        <v>43684</v>
      </c>
      <c r="B611" s="11" t="s">
        <v>236</v>
      </c>
      <c r="C611" s="11" t="s">
        <v>294</v>
      </c>
      <c r="D611" s="11" t="s">
        <v>292</v>
      </c>
      <c r="E611" s="11" t="s">
        <v>293</v>
      </c>
      <c r="F611" s="11" t="s">
        <v>98</v>
      </c>
      <c r="G611" s="11" t="s">
        <v>89</v>
      </c>
      <c r="H611" s="108">
        <v>0</v>
      </c>
      <c r="I611" s="22"/>
      <c r="J611" s="108">
        <v>5.0999999999999996</v>
      </c>
      <c r="K611" s="110">
        <v>1</v>
      </c>
      <c r="L611" s="259">
        <v>5.0999999999999996</v>
      </c>
      <c r="M611" s="260" t="s">
        <v>570</v>
      </c>
    </row>
    <row r="612" spans="1:13" x14ac:dyDescent="0.25">
      <c r="A612" s="146">
        <v>43685</v>
      </c>
      <c r="B612" s="11" t="s">
        <v>236</v>
      </c>
      <c r="C612" s="11" t="s">
        <v>297</v>
      </c>
      <c r="D612" s="11" t="s">
        <v>292</v>
      </c>
      <c r="E612" s="11" t="s">
        <v>293</v>
      </c>
      <c r="F612" s="11" t="s">
        <v>98</v>
      </c>
      <c r="G612" s="11" t="s">
        <v>89</v>
      </c>
      <c r="H612" s="108">
        <v>0</v>
      </c>
      <c r="I612" s="22"/>
      <c r="J612" s="108">
        <v>4.9000000000000004</v>
      </c>
      <c r="K612" s="110">
        <v>1</v>
      </c>
      <c r="L612" s="259">
        <v>4.9000000000000004</v>
      </c>
      <c r="M612" s="260" t="s">
        <v>576</v>
      </c>
    </row>
    <row r="613" spans="1:13" x14ac:dyDescent="0.25">
      <c r="A613" s="146">
        <v>43684</v>
      </c>
      <c r="B613" s="11" t="s">
        <v>236</v>
      </c>
      <c r="C613" s="11" t="s">
        <v>307</v>
      </c>
      <c r="D613" s="11" t="s">
        <v>301</v>
      </c>
      <c r="E613" s="11" t="s">
        <v>279</v>
      </c>
      <c r="F613" s="11" t="s">
        <v>98</v>
      </c>
      <c r="G613" s="11" t="s">
        <v>99</v>
      </c>
      <c r="H613" s="108">
        <v>0</v>
      </c>
      <c r="I613" s="22"/>
      <c r="J613" s="108">
        <v>0.1</v>
      </c>
      <c r="K613" s="110">
        <v>3</v>
      </c>
      <c r="L613" s="259">
        <v>0.3</v>
      </c>
      <c r="M613" s="260" t="s">
        <v>571</v>
      </c>
    </row>
    <row r="614" spans="1:13" x14ac:dyDescent="0.25">
      <c r="A614" s="146">
        <v>43684</v>
      </c>
      <c r="B614" s="11" t="s">
        <v>236</v>
      </c>
      <c r="C614" s="11" t="s">
        <v>306</v>
      </c>
      <c r="D614" s="11" t="s">
        <v>301</v>
      </c>
      <c r="E614" s="11" t="s">
        <v>279</v>
      </c>
      <c r="F614" s="11" t="s">
        <v>98</v>
      </c>
      <c r="G614" s="11" t="s">
        <v>99</v>
      </c>
      <c r="H614" s="108">
        <v>0</v>
      </c>
      <c r="I614" s="22"/>
      <c r="J614" s="108">
        <v>0.1</v>
      </c>
      <c r="K614" s="110">
        <v>3</v>
      </c>
      <c r="L614" s="259">
        <v>0.3</v>
      </c>
      <c r="M614" s="260" t="s">
        <v>573</v>
      </c>
    </row>
    <row r="615" spans="1:13" x14ac:dyDescent="0.25">
      <c r="A615" s="146">
        <v>43684</v>
      </c>
      <c r="B615" s="11" t="s">
        <v>236</v>
      </c>
      <c r="C615" s="11" t="s">
        <v>305</v>
      </c>
      <c r="D615" s="11" t="s">
        <v>301</v>
      </c>
      <c r="E615" s="11" t="s">
        <v>279</v>
      </c>
      <c r="F615" s="11" t="s">
        <v>98</v>
      </c>
      <c r="G615" s="11" t="s">
        <v>99</v>
      </c>
      <c r="H615" s="108">
        <v>0</v>
      </c>
      <c r="I615" s="22"/>
      <c r="J615" s="108">
        <v>0.1</v>
      </c>
      <c r="K615" s="110">
        <v>3</v>
      </c>
      <c r="L615" s="259">
        <v>0.3</v>
      </c>
      <c r="M615" s="260" t="s">
        <v>572</v>
      </c>
    </row>
    <row r="616" spans="1:13" x14ac:dyDescent="0.25">
      <c r="A616" s="146">
        <v>43685</v>
      </c>
      <c r="B616" s="11" t="s">
        <v>236</v>
      </c>
      <c r="C616" s="11" t="s">
        <v>308</v>
      </c>
      <c r="D616" s="11" t="s">
        <v>301</v>
      </c>
      <c r="E616" s="11" t="s">
        <v>279</v>
      </c>
      <c r="F616" s="11" t="s">
        <v>98</v>
      </c>
      <c r="G616" s="11" t="s">
        <v>99</v>
      </c>
      <c r="H616" s="108">
        <v>0</v>
      </c>
      <c r="I616" s="22"/>
      <c r="J616" s="108">
        <v>0.1</v>
      </c>
      <c r="K616" s="110">
        <v>3</v>
      </c>
      <c r="L616" s="259">
        <v>0.3</v>
      </c>
      <c r="M616" s="260" t="s">
        <v>575</v>
      </c>
    </row>
    <row r="617" spans="1:13" x14ac:dyDescent="0.25">
      <c r="A617" s="146">
        <v>43679</v>
      </c>
      <c r="B617" s="11" t="s">
        <v>108</v>
      </c>
      <c r="C617" s="11" t="s">
        <v>109</v>
      </c>
      <c r="D617" s="11" t="s">
        <v>110</v>
      </c>
      <c r="E617" s="11" t="s">
        <v>111</v>
      </c>
      <c r="F617" s="11" t="s">
        <v>88</v>
      </c>
      <c r="G617" s="11" t="s">
        <v>99</v>
      </c>
      <c r="H617" s="108">
        <v>0.4</v>
      </c>
      <c r="I617" s="22"/>
      <c r="J617" s="108">
        <v>0.2</v>
      </c>
      <c r="K617" s="110">
        <v>3</v>
      </c>
      <c r="L617" s="259">
        <v>0.6</v>
      </c>
      <c r="M617" s="260" t="s">
        <v>577</v>
      </c>
    </row>
    <row r="618" spans="1:13" x14ac:dyDescent="0.25">
      <c r="A618" s="146">
        <v>43686</v>
      </c>
      <c r="B618" s="11" t="s">
        <v>108</v>
      </c>
      <c r="C618" s="11" t="s">
        <v>109</v>
      </c>
      <c r="D618" s="11" t="s">
        <v>110</v>
      </c>
      <c r="E618" s="11" t="s">
        <v>111</v>
      </c>
      <c r="F618" s="11" t="s">
        <v>88</v>
      </c>
      <c r="G618" s="11" t="s">
        <v>99</v>
      </c>
      <c r="H618" s="108">
        <v>0.5</v>
      </c>
      <c r="I618" s="22"/>
      <c r="J618" s="108">
        <v>0.2</v>
      </c>
      <c r="K618" s="110">
        <v>3</v>
      </c>
      <c r="L618" s="259">
        <v>0.6</v>
      </c>
      <c r="M618" s="260" t="s">
        <v>578</v>
      </c>
    </row>
    <row r="619" spans="1:13" x14ac:dyDescent="0.25">
      <c r="A619" s="146">
        <v>43690</v>
      </c>
      <c r="B619" s="11" t="s">
        <v>108</v>
      </c>
      <c r="C619" s="11" t="s">
        <v>109</v>
      </c>
      <c r="D619" s="11" t="s">
        <v>110</v>
      </c>
      <c r="E619" s="11" t="s">
        <v>111</v>
      </c>
      <c r="F619" s="11" t="s">
        <v>88</v>
      </c>
      <c r="G619" s="11" t="s">
        <v>99</v>
      </c>
      <c r="H619" s="108">
        <v>0.5</v>
      </c>
      <c r="I619" s="22"/>
      <c r="J619" s="108">
        <v>0.2</v>
      </c>
      <c r="K619" s="110">
        <v>3</v>
      </c>
      <c r="L619" s="259">
        <v>0.6</v>
      </c>
      <c r="M619" s="260" t="s">
        <v>579</v>
      </c>
    </row>
    <row r="620" spans="1:13" x14ac:dyDescent="0.25">
      <c r="A620" s="146">
        <v>43697</v>
      </c>
      <c r="B620" s="11" t="s">
        <v>108</v>
      </c>
      <c r="C620" s="11" t="s">
        <v>109</v>
      </c>
      <c r="D620" s="11" t="s">
        <v>110</v>
      </c>
      <c r="E620" s="11" t="s">
        <v>111</v>
      </c>
      <c r="F620" s="11" t="s">
        <v>88</v>
      </c>
      <c r="G620" s="11" t="s">
        <v>99</v>
      </c>
      <c r="H620" s="108">
        <v>0.5</v>
      </c>
      <c r="I620" s="22"/>
      <c r="J620" s="108">
        <v>0.2</v>
      </c>
      <c r="K620" s="110">
        <v>3</v>
      </c>
      <c r="L620" s="259">
        <v>0.6</v>
      </c>
      <c r="M620" s="260" t="s">
        <v>580</v>
      </c>
    </row>
    <row r="621" spans="1:13" x14ac:dyDescent="0.25">
      <c r="A621" s="146">
        <v>43704</v>
      </c>
      <c r="B621" s="11" t="s">
        <v>108</v>
      </c>
      <c r="C621" s="11" t="s">
        <v>109</v>
      </c>
      <c r="D621" s="11" t="s">
        <v>110</v>
      </c>
      <c r="E621" s="11" t="s">
        <v>111</v>
      </c>
      <c r="F621" s="11" t="s">
        <v>88</v>
      </c>
      <c r="G621" s="11" t="s">
        <v>99</v>
      </c>
      <c r="H621" s="108">
        <v>0.5</v>
      </c>
      <c r="I621" s="22"/>
      <c r="J621" s="108">
        <v>0.2</v>
      </c>
      <c r="K621" s="110">
        <v>3</v>
      </c>
      <c r="L621" s="259">
        <v>0.6</v>
      </c>
      <c r="M621" s="260" t="s">
        <v>581</v>
      </c>
    </row>
    <row r="622" spans="1:13" x14ac:dyDescent="0.25">
      <c r="A622" s="146">
        <v>43679</v>
      </c>
      <c r="B622" s="11" t="s">
        <v>108</v>
      </c>
      <c r="C622" s="11" t="s">
        <v>109</v>
      </c>
      <c r="D622" s="11" t="s">
        <v>110</v>
      </c>
      <c r="E622" s="11" t="s">
        <v>13</v>
      </c>
      <c r="F622" s="11" t="s">
        <v>88</v>
      </c>
      <c r="G622" s="11" t="s">
        <v>99</v>
      </c>
      <c r="H622" s="108">
        <v>0.09</v>
      </c>
      <c r="I622" s="22"/>
      <c r="J622" s="108">
        <v>0.05</v>
      </c>
      <c r="K622" s="110">
        <v>1</v>
      </c>
      <c r="L622" s="259">
        <v>0.05</v>
      </c>
      <c r="M622" s="260" t="s">
        <v>577</v>
      </c>
    </row>
    <row r="623" spans="1:13" x14ac:dyDescent="0.25">
      <c r="A623" s="146">
        <v>43686</v>
      </c>
      <c r="B623" s="11" t="s">
        <v>108</v>
      </c>
      <c r="C623" s="11" t="s">
        <v>109</v>
      </c>
      <c r="D623" s="11" t="s">
        <v>110</v>
      </c>
      <c r="E623" s="11" t="s">
        <v>13</v>
      </c>
      <c r="F623" s="11" t="s">
        <v>88</v>
      </c>
      <c r="G623" s="11" t="s">
        <v>99</v>
      </c>
      <c r="H623" s="108">
        <v>0.12</v>
      </c>
      <c r="I623" s="22"/>
      <c r="J623" s="108">
        <v>0.05</v>
      </c>
      <c r="K623" s="110">
        <v>1</v>
      </c>
      <c r="L623" s="259">
        <v>0.05</v>
      </c>
      <c r="M623" s="260" t="s">
        <v>578</v>
      </c>
    </row>
    <row r="624" spans="1:13" x14ac:dyDescent="0.25">
      <c r="A624" s="146">
        <v>43690</v>
      </c>
      <c r="B624" s="11" t="s">
        <v>108</v>
      </c>
      <c r="C624" s="11" t="s">
        <v>109</v>
      </c>
      <c r="D624" s="11" t="s">
        <v>110</v>
      </c>
      <c r="E624" s="11" t="s">
        <v>13</v>
      </c>
      <c r="F624" s="11" t="s">
        <v>88</v>
      </c>
      <c r="G624" s="11" t="s">
        <v>99</v>
      </c>
      <c r="H624" s="108">
        <v>0.13</v>
      </c>
      <c r="I624" s="22"/>
      <c r="J624" s="108">
        <v>0.05</v>
      </c>
      <c r="K624" s="110">
        <v>1</v>
      </c>
      <c r="L624" s="259">
        <v>0.05</v>
      </c>
      <c r="M624" s="260" t="s">
        <v>579</v>
      </c>
    </row>
    <row r="625" spans="1:13" x14ac:dyDescent="0.25">
      <c r="A625" s="146">
        <v>43697</v>
      </c>
      <c r="B625" s="11" t="s">
        <v>108</v>
      </c>
      <c r="C625" s="11" t="s">
        <v>109</v>
      </c>
      <c r="D625" s="11" t="s">
        <v>110</v>
      </c>
      <c r="E625" s="11" t="s">
        <v>13</v>
      </c>
      <c r="F625" s="11" t="s">
        <v>88</v>
      </c>
      <c r="G625" s="11" t="s">
        <v>99</v>
      </c>
      <c r="H625" s="108">
        <v>0.14000000000000001</v>
      </c>
      <c r="I625" s="22"/>
      <c r="J625" s="108">
        <v>0.05</v>
      </c>
      <c r="K625" s="110">
        <v>1</v>
      </c>
      <c r="L625" s="259">
        <v>0.05</v>
      </c>
      <c r="M625" s="260" t="s">
        <v>580</v>
      </c>
    </row>
    <row r="626" spans="1:13" x14ac:dyDescent="0.25">
      <c r="A626" s="146">
        <v>43704</v>
      </c>
      <c r="B626" s="11" t="s">
        <v>108</v>
      </c>
      <c r="C626" s="11" t="s">
        <v>109</v>
      </c>
      <c r="D626" s="11" t="s">
        <v>110</v>
      </c>
      <c r="E626" s="11" t="s">
        <v>13</v>
      </c>
      <c r="F626" s="11" t="s">
        <v>88</v>
      </c>
      <c r="G626" s="11" t="s">
        <v>99</v>
      </c>
      <c r="H626" s="108">
        <v>0.15</v>
      </c>
      <c r="I626" s="22"/>
      <c r="J626" s="108">
        <v>0.05</v>
      </c>
      <c r="K626" s="110">
        <v>1</v>
      </c>
      <c r="L626" s="259">
        <v>0.05</v>
      </c>
      <c r="M626" s="260" t="s">
        <v>581</v>
      </c>
    </row>
    <row r="627" spans="1:13" x14ac:dyDescent="0.25">
      <c r="A627" s="146">
        <v>43679</v>
      </c>
      <c r="B627" s="11" t="s">
        <v>108</v>
      </c>
      <c r="C627" s="11" t="s">
        <v>109</v>
      </c>
      <c r="D627" s="11" t="s">
        <v>110</v>
      </c>
      <c r="E627" s="11" t="s">
        <v>112</v>
      </c>
      <c r="F627" s="11" t="s">
        <v>88</v>
      </c>
      <c r="G627" s="11" t="s">
        <v>99</v>
      </c>
      <c r="H627" s="108">
        <v>3.5</v>
      </c>
      <c r="I627" s="22"/>
      <c r="J627" s="108">
        <v>0.2</v>
      </c>
      <c r="K627" s="110">
        <v>3</v>
      </c>
      <c r="L627" s="259">
        <v>0.6</v>
      </c>
      <c r="M627" s="260" t="s">
        <v>577</v>
      </c>
    </row>
    <row r="628" spans="1:13" x14ac:dyDescent="0.25">
      <c r="A628" s="146">
        <v>43686</v>
      </c>
      <c r="B628" s="11" t="s">
        <v>108</v>
      </c>
      <c r="C628" s="11" t="s">
        <v>109</v>
      </c>
      <c r="D628" s="11" t="s">
        <v>110</v>
      </c>
      <c r="E628" s="11" t="s">
        <v>112</v>
      </c>
      <c r="F628" s="11" t="s">
        <v>88</v>
      </c>
      <c r="G628" s="11" t="s">
        <v>99</v>
      </c>
      <c r="H628" s="108">
        <v>3.7</v>
      </c>
      <c r="I628" s="22"/>
      <c r="J628" s="108">
        <v>0.2</v>
      </c>
      <c r="K628" s="110">
        <v>3</v>
      </c>
      <c r="L628" s="259">
        <v>0.6</v>
      </c>
      <c r="M628" s="260" t="s">
        <v>578</v>
      </c>
    </row>
    <row r="629" spans="1:13" x14ac:dyDescent="0.25">
      <c r="A629" s="146">
        <v>43690</v>
      </c>
      <c r="B629" s="11" t="s">
        <v>108</v>
      </c>
      <c r="C629" s="11" t="s">
        <v>109</v>
      </c>
      <c r="D629" s="11" t="s">
        <v>110</v>
      </c>
      <c r="E629" s="11" t="s">
        <v>112</v>
      </c>
      <c r="F629" s="11" t="s">
        <v>88</v>
      </c>
      <c r="G629" s="11" t="s">
        <v>99</v>
      </c>
      <c r="H629" s="108">
        <v>4.3</v>
      </c>
      <c r="I629" s="22"/>
      <c r="J629" s="108">
        <v>0.2</v>
      </c>
      <c r="K629" s="110">
        <v>3</v>
      </c>
      <c r="L629" s="259">
        <v>0.6</v>
      </c>
      <c r="M629" s="260" t="s">
        <v>579</v>
      </c>
    </row>
    <row r="630" spans="1:13" x14ac:dyDescent="0.25">
      <c r="A630" s="146">
        <v>43697</v>
      </c>
      <c r="B630" s="11" t="s">
        <v>108</v>
      </c>
      <c r="C630" s="11" t="s">
        <v>109</v>
      </c>
      <c r="D630" s="11" t="s">
        <v>110</v>
      </c>
      <c r="E630" s="11" t="s">
        <v>112</v>
      </c>
      <c r="F630" s="11" t="s">
        <v>88</v>
      </c>
      <c r="G630" s="11" t="s">
        <v>99</v>
      </c>
      <c r="H630" s="108">
        <v>5.4</v>
      </c>
      <c r="I630" s="22"/>
      <c r="J630" s="108">
        <v>0.2</v>
      </c>
      <c r="K630" s="110">
        <v>3</v>
      </c>
      <c r="L630" s="259">
        <v>0.6</v>
      </c>
      <c r="M630" s="260" t="s">
        <v>580</v>
      </c>
    </row>
    <row r="631" spans="1:13" x14ac:dyDescent="0.25">
      <c r="A631" s="146">
        <v>43704</v>
      </c>
      <c r="B631" s="11" t="s">
        <v>108</v>
      </c>
      <c r="C631" s="11" t="s">
        <v>109</v>
      </c>
      <c r="D631" s="11" t="s">
        <v>110</v>
      </c>
      <c r="E631" s="11" t="s">
        <v>112</v>
      </c>
      <c r="F631" s="11" t="s">
        <v>88</v>
      </c>
      <c r="G631" s="11" t="s">
        <v>99</v>
      </c>
      <c r="H631" s="108">
        <v>4.5</v>
      </c>
      <c r="I631" s="22"/>
      <c r="J631" s="108">
        <v>0.2</v>
      </c>
      <c r="K631" s="110">
        <v>3</v>
      </c>
      <c r="L631" s="259">
        <v>0.6</v>
      </c>
      <c r="M631" s="260" t="s">
        <v>581</v>
      </c>
    </row>
    <row r="632" spans="1:13" x14ac:dyDescent="0.25">
      <c r="A632" s="146">
        <v>43679</v>
      </c>
      <c r="B632" s="11" t="s">
        <v>108</v>
      </c>
      <c r="C632" s="11" t="s">
        <v>109</v>
      </c>
      <c r="D632" s="11" t="s">
        <v>113</v>
      </c>
      <c r="E632" s="11" t="s">
        <v>114</v>
      </c>
      <c r="F632" s="11" t="s">
        <v>88</v>
      </c>
      <c r="G632" s="11" t="s">
        <v>89</v>
      </c>
      <c r="H632" s="108">
        <v>6.3E-2</v>
      </c>
      <c r="I632" s="22"/>
      <c r="J632" s="108">
        <v>7.0000000000000001E-3</v>
      </c>
      <c r="K632" s="110">
        <v>3</v>
      </c>
      <c r="L632" s="259">
        <v>2.1000000000000001E-2</v>
      </c>
      <c r="M632" s="260" t="s">
        <v>577</v>
      </c>
    </row>
    <row r="633" spans="1:13" x14ac:dyDescent="0.25">
      <c r="A633" s="146">
        <v>43686</v>
      </c>
      <c r="B633" s="11" t="s">
        <v>108</v>
      </c>
      <c r="C633" s="11" t="s">
        <v>109</v>
      </c>
      <c r="D633" s="11" t="s">
        <v>113</v>
      </c>
      <c r="E633" s="11" t="s">
        <v>114</v>
      </c>
      <c r="F633" s="11" t="s">
        <v>88</v>
      </c>
      <c r="G633" s="11" t="s">
        <v>89</v>
      </c>
      <c r="H633" s="108">
        <v>6.4000000000000001E-2</v>
      </c>
      <c r="I633" s="22"/>
      <c r="J633" s="108">
        <v>7.0000000000000001E-3</v>
      </c>
      <c r="K633" s="110">
        <v>3</v>
      </c>
      <c r="L633" s="259">
        <v>2.1000000000000001E-2</v>
      </c>
      <c r="M633" s="260" t="s">
        <v>578</v>
      </c>
    </row>
    <row r="634" spans="1:13" x14ac:dyDescent="0.25">
      <c r="A634" s="146">
        <v>43690</v>
      </c>
      <c r="B634" s="11" t="s">
        <v>108</v>
      </c>
      <c r="C634" s="11" t="s">
        <v>109</v>
      </c>
      <c r="D634" s="11" t="s">
        <v>113</v>
      </c>
      <c r="E634" s="11" t="s">
        <v>114</v>
      </c>
      <c r="F634" s="11" t="s">
        <v>88</v>
      </c>
      <c r="G634" s="11" t="s">
        <v>89</v>
      </c>
      <c r="H634" s="108">
        <v>6.2E-2</v>
      </c>
      <c r="I634" s="22"/>
      <c r="J634" s="108">
        <v>7.0000000000000001E-3</v>
      </c>
      <c r="K634" s="110">
        <v>3</v>
      </c>
      <c r="L634" s="259">
        <v>2.1000000000000001E-2</v>
      </c>
      <c r="M634" s="260" t="s">
        <v>579</v>
      </c>
    </row>
    <row r="635" spans="1:13" x14ac:dyDescent="0.25">
      <c r="A635" s="146">
        <v>43697</v>
      </c>
      <c r="B635" s="11" t="s">
        <v>108</v>
      </c>
      <c r="C635" s="11" t="s">
        <v>109</v>
      </c>
      <c r="D635" s="11" t="s">
        <v>113</v>
      </c>
      <c r="E635" s="11" t="s">
        <v>114</v>
      </c>
      <c r="F635" s="11" t="s">
        <v>88</v>
      </c>
      <c r="G635" s="11" t="s">
        <v>89</v>
      </c>
      <c r="H635" s="108">
        <v>5.8000000000000003E-2</v>
      </c>
      <c r="I635" s="22"/>
      <c r="J635" s="108">
        <v>7.0000000000000001E-3</v>
      </c>
      <c r="K635" s="110">
        <v>3</v>
      </c>
      <c r="L635" s="259">
        <v>2.1000000000000001E-2</v>
      </c>
      <c r="M635" s="260" t="s">
        <v>580</v>
      </c>
    </row>
    <row r="636" spans="1:13" x14ac:dyDescent="0.25">
      <c r="A636" s="146">
        <v>43704</v>
      </c>
      <c r="B636" s="11" t="s">
        <v>108</v>
      </c>
      <c r="C636" s="11" t="s">
        <v>109</v>
      </c>
      <c r="D636" s="11" t="s">
        <v>113</v>
      </c>
      <c r="E636" s="11" t="s">
        <v>114</v>
      </c>
      <c r="F636" s="11" t="s">
        <v>88</v>
      </c>
      <c r="G636" s="11" t="s">
        <v>89</v>
      </c>
      <c r="H636" s="108">
        <v>5.6000000000000001E-2</v>
      </c>
      <c r="I636" s="22"/>
      <c r="J636" s="108">
        <v>7.0000000000000001E-3</v>
      </c>
      <c r="K636" s="110">
        <v>3</v>
      </c>
      <c r="L636" s="259">
        <v>2.1000000000000001E-2</v>
      </c>
      <c r="M636" s="260" t="s">
        <v>581</v>
      </c>
    </row>
    <row r="637" spans="1:13" x14ac:dyDescent="0.25">
      <c r="A637" s="146">
        <v>43679</v>
      </c>
      <c r="B637" s="11" t="s">
        <v>108</v>
      </c>
      <c r="C637" s="11" t="s">
        <v>109</v>
      </c>
      <c r="D637" s="11" t="s">
        <v>115</v>
      </c>
      <c r="E637" s="11" t="s">
        <v>116</v>
      </c>
      <c r="F637" s="11" t="s">
        <v>88</v>
      </c>
      <c r="G637" s="11" t="s">
        <v>89</v>
      </c>
      <c r="H637" s="108">
        <v>0.12</v>
      </c>
      <c r="I637" s="22"/>
      <c r="J637" s="108">
        <v>0.02</v>
      </c>
      <c r="K637" s="110">
        <v>3</v>
      </c>
      <c r="L637" s="259">
        <v>0.06</v>
      </c>
      <c r="M637" s="260" t="s">
        <v>577</v>
      </c>
    </row>
    <row r="638" spans="1:13" x14ac:dyDescent="0.25">
      <c r="A638" s="146">
        <v>43686</v>
      </c>
      <c r="B638" s="11" t="s">
        <v>108</v>
      </c>
      <c r="C638" s="11" t="s">
        <v>109</v>
      </c>
      <c r="D638" s="11" t="s">
        <v>115</v>
      </c>
      <c r="E638" s="11" t="s">
        <v>116</v>
      </c>
      <c r="F638" s="11" t="s">
        <v>88</v>
      </c>
      <c r="G638" s="11" t="s">
        <v>89</v>
      </c>
      <c r="H638" s="108">
        <v>0.67</v>
      </c>
      <c r="I638" s="22"/>
      <c r="J638" s="108">
        <v>0.02</v>
      </c>
      <c r="K638" s="110">
        <v>3</v>
      </c>
      <c r="L638" s="259">
        <v>0.06</v>
      </c>
      <c r="M638" s="260" t="s">
        <v>578</v>
      </c>
    </row>
    <row r="639" spans="1:13" x14ac:dyDescent="0.25">
      <c r="A639" s="146">
        <v>43690</v>
      </c>
      <c r="B639" s="11" t="s">
        <v>108</v>
      </c>
      <c r="C639" s="11" t="s">
        <v>109</v>
      </c>
      <c r="D639" s="11" t="s">
        <v>115</v>
      </c>
      <c r="E639" s="11" t="s">
        <v>116</v>
      </c>
      <c r="F639" s="11" t="s">
        <v>88</v>
      </c>
      <c r="G639" s="11" t="s">
        <v>89</v>
      </c>
      <c r="H639" s="108">
        <v>0.11</v>
      </c>
      <c r="I639" s="22"/>
      <c r="J639" s="108">
        <v>0.02</v>
      </c>
      <c r="K639" s="110">
        <v>3</v>
      </c>
      <c r="L639" s="259">
        <v>0.06</v>
      </c>
      <c r="M639" s="260" t="s">
        <v>579</v>
      </c>
    </row>
    <row r="640" spans="1:13" x14ac:dyDescent="0.25">
      <c r="A640" s="146">
        <v>43697</v>
      </c>
      <c r="B640" s="11" t="s">
        <v>108</v>
      </c>
      <c r="C640" s="11" t="s">
        <v>109</v>
      </c>
      <c r="D640" s="11" t="s">
        <v>115</v>
      </c>
      <c r="E640" s="11" t="s">
        <v>116</v>
      </c>
      <c r="F640" s="11" t="s">
        <v>88</v>
      </c>
      <c r="G640" s="11" t="s">
        <v>89</v>
      </c>
      <c r="H640" s="108">
        <v>0.15</v>
      </c>
      <c r="I640" s="22"/>
      <c r="J640" s="108">
        <v>0.02</v>
      </c>
      <c r="K640" s="110">
        <v>3</v>
      </c>
      <c r="L640" s="259">
        <v>0.06</v>
      </c>
      <c r="M640" s="260" t="s">
        <v>580</v>
      </c>
    </row>
    <row r="641" spans="1:13" x14ac:dyDescent="0.25">
      <c r="A641" s="146">
        <v>43704</v>
      </c>
      <c r="B641" s="11" t="s">
        <v>108</v>
      </c>
      <c r="C641" s="11" t="s">
        <v>109</v>
      </c>
      <c r="D641" s="11" t="s">
        <v>115</v>
      </c>
      <c r="E641" s="11" t="s">
        <v>116</v>
      </c>
      <c r="F641" s="11" t="s">
        <v>88</v>
      </c>
      <c r="G641" s="11" t="s">
        <v>89</v>
      </c>
      <c r="H641" s="108">
        <v>0.14000000000000001</v>
      </c>
      <c r="I641" s="22"/>
      <c r="J641" s="108">
        <v>0.02</v>
      </c>
      <c r="K641" s="110">
        <v>3</v>
      </c>
      <c r="L641" s="259">
        <v>0.06</v>
      </c>
      <c r="M641" s="260" t="s">
        <v>581</v>
      </c>
    </row>
    <row r="642" spans="1:13" x14ac:dyDescent="0.25">
      <c r="A642" s="146">
        <v>43679</v>
      </c>
      <c r="B642" s="11" t="s">
        <v>108</v>
      </c>
      <c r="C642" s="11" t="s">
        <v>109</v>
      </c>
      <c r="D642" s="11" t="s">
        <v>110</v>
      </c>
      <c r="E642" s="11" t="s">
        <v>117</v>
      </c>
      <c r="F642" s="11" t="s">
        <v>88</v>
      </c>
      <c r="G642" s="11" t="s">
        <v>99</v>
      </c>
      <c r="H642" s="108">
        <v>0.32</v>
      </c>
      <c r="I642" s="22"/>
      <c r="J642" s="108">
        <v>0.15</v>
      </c>
      <c r="K642" s="110">
        <v>2</v>
      </c>
      <c r="L642" s="259">
        <v>0.3</v>
      </c>
      <c r="M642" s="260" t="s">
        <v>577</v>
      </c>
    </row>
    <row r="643" spans="1:13" x14ac:dyDescent="0.25">
      <c r="A643" s="146">
        <v>43686</v>
      </c>
      <c r="B643" s="11" t="s">
        <v>108</v>
      </c>
      <c r="C643" s="11" t="s">
        <v>109</v>
      </c>
      <c r="D643" s="11" t="s">
        <v>110</v>
      </c>
      <c r="E643" s="11" t="s">
        <v>117</v>
      </c>
      <c r="F643" s="11" t="s">
        <v>88</v>
      </c>
      <c r="G643" s="11" t="s">
        <v>99</v>
      </c>
      <c r="H643" s="108">
        <v>0.31</v>
      </c>
      <c r="I643" s="22"/>
      <c r="J643" s="108">
        <v>0.15</v>
      </c>
      <c r="K643" s="110">
        <v>2</v>
      </c>
      <c r="L643" s="259">
        <v>0.3</v>
      </c>
      <c r="M643" s="260" t="s">
        <v>578</v>
      </c>
    </row>
    <row r="644" spans="1:13" x14ac:dyDescent="0.25">
      <c r="A644" s="146">
        <v>43690</v>
      </c>
      <c r="B644" s="11" t="s">
        <v>108</v>
      </c>
      <c r="C644" s="11" t="s">
        <v>109</v>
      </c>
      <c r="D644" s="11" t="s">
        <v>110</v>
      </c>
      <c r="E644" s="11" t="s">
        <v>117</v>
      </c>
      <c r="F644" s="11" t="s">
        <v>88</v>
      </c>
      <c r="G644" s="11" t="s">
        <v>99</v>
      </c>
      <c r="H644" s="108">
        <v>0.32</v>
      </c>
      <c r="I644" s="22"/>
      <c r="J644" s="108">
        <v>0.15</v>
      </c>
      <c r="K644" s="110">
        <v>2</v>
      </c>
      <c r="L644" s="259">
        <v>0.3</v>
      </c>
      <c r="M644" s="260" t="s">
        <v>579</v>
      </c>
    </row>
    <row r="645" spans="1:13" x14ac:dyDescent="0.25">
      <c r="A645" s="146">
        <v>43697</v>
      </c>
      <c r="B645" s="11" t="s">
        <v>108</v>
      </c>
      <c r="C645" s="11" t="s">
        <v>109</v>
      </c>
      <c r="D645" s="11" t="s">
        <v>110</v>
      </c>
      <c r="E645" s="11" t="s">
        <v>117</v>
      </c>
      <c r="F645" s="11" t="s">
        <v>88</v>
      </c>
      <c r="G645" s="11" t="s">
        <v>99</v>
      </c>
      <c r="H645" s="108">
        <v>0.37</v>
      </c>
      <c r="I645" s="22"/>
      <c r="J645" s="108">
        <v>0.15</v>
      </c>
      <c r="K645" s="110">
        <v>2</v>
      </c>
      <c r="L645" s="259">
        <v>0.3</v>
      </c>
      <c r="M645" s="260" t="s">
        <v>580</v>
      </c>
    </row>
    <row r="646" spans="1:13" x14ac:dyDescent="0.25">
      <c r="A646" s="146">
        <v>43704</v>
      </c>
      <c r="B646" s="11" t="s">
        <v>108</v>
      </c>
      <c r="C646" s="11" t="s">
        <v>109</v>
      </c>
      <c r="D646" s="11" t="s">
        <v>110</v>
      </c>
      <c r="E646" s="11" t="s">
        <v>117</v>
      </c>
      <c r="F646" s="11" t="s">
        <v>88</v>
      </c>
      <c r="G646" s="11" t="s">
        <v>99</v>
      </c>
      <c r="H646" s="108">
        <v>0.37</v>
      </c>
      <c r="I646" s="22"/>
      <c r="J646" s="108">
        <v>0.15</v>
      </c>
      <c r="K646" s="110">
        <v>2</v>
      </c>
      <c r="L646" s="259">
        <v>0.3</v>
      </c>
      <c r="M646" s="260" t="s">
        <v>581</v>
      </c>
    </row>
    <row r="647" spans="1:13" x14ac:dyDescent="0.25">
      <c r="A647" s="146">
        <v>43679</v>
      </c>
      <c r="B647" s="11" t="s">
        <v>108</v>
      </c>
      <c r="C647" s="11" t="s">
        <v>109</v>
      </c>
      <c r="D647" s="11" t="s">
        <v>110</v>
      </c>
      <c r="E647" s="11" t="s">
        <v>118</v>
      </c>
      <c r="F647" s="11" t="s">
        <v>88</v>
      </c>
      <c r="G647" s="11" t="s">
        <v>99</v>
      </c>
      <c r="H647" s="108">
        <v>1.9</v>
      </c>
      <c r="I647" s="22"/>
      <c r="J647" s="108">
        <v>0.2</v>
      </c>
      <c r="K647" s="110">
        <v>1</v>
      </c>
      <c r="L647" s="259">
        <v>0.2</v>
      </c>
      <c r="M647" s="260" t="s">
        <v>577</v>
      </c>
    </row>
    <row r="648" spans="1:13" x14ac:dyDescent="0.25">
      <c r="A648" s="146">
        <v>43686</v>
      </c>
      <c r="B648" s="11" t="s">
        <v>108</v>
      </c>
      <c r="C648" s="11" t="s">
        <v>109</v>
      </c>
      <c r="D648" s="11" t="s">
        <v>110</v>
      </c>
      <c r="E648" s="11" t="s">
        <v>118</v>
      </c>
      <c r="F648" s="11" t="s">
        <v>88</v>
      </c>
      <c r="G648" s="11" t="s">
        <v>99</v>
      </c>
      <c r="H648" s="108" t="s">
        <v>258</v>
      </c>
      <c r="I648" s="22">
        <v>-19</v>
      </c>
      <c r="J648" s="108">
        <v>0.2</v>
      </c>
      <c r="K648" s="110">
        <v>1</v>
      </c>
      <c r="L648" s="259">
        <v>0.2</v>
      </c>
      <c r="M648" s="260" t="s">
        <v>578</v>
      </c>
    </row>
    <row r="649" spans="1:13" x14ac:dyDescent="0.25">
      <c r="A649" s="146">
        <v>43690</v>
      </c>
      <c r="B649" s="11" t="s">
        <v>108</v>
      </c>
      <c r="C649" s="11" t="s">
        <v>109</v>
      </c>
      <c r="D649" s="11" t="s">
        <v>110</v>
      </c>
      <c r="E649" s="11" t="s">
        <v>118</v>
      </c>
      <c r="F649" s="11" t="s">
        <v>88</v>
      </c>
      <c r="G649" s="11" t="s">
        <v>99</v>
      </c>
      <c r="H649" s="108">
        <v>2</v>
      </c>
      <c r="I649" s="22"/>
      <c r="J649" s="108">
        <v>0.2</v>
      </c>
      <c r="K649" s="110">
        <v>1</v>
      </c>
      <c r="L649" s="259">
        <v>0.2</v>
      </c>
      <c r="M649" s="260" t="s">
        <v>579</v>
      </c>
    </row>
    <row r="650" spans="1:13" x14ac:dyDescent="0.25">
      <c r="A650" s="146">
        <v>43697</v>
      </c>
      <c r="B650" s="11" t="s">
        <v>108</v>
      </c>
      <c r="C650" s="11" t="s">
        <v>109</v>
      </c>
      <c r="D650" s="11" t="s">
        <v>110</v>
      </c>
      <c r="E650" s="11" t="s">
        <v>118</v>
      </c>
      <c r="F650" s="11" t="s">
        <v>88</v>
      </c>
      <c r="G650" s="11" t="s">
        <v>99</v>
      </c>
      <c r="H650" s="108">
        <v>2.8</v>
      </c>
      <c r="I650" s="22"/>
      <c r="J650" s="108">
        <v>0.2</v>
      </c>
      <c r="K650" s="110">
        <v>1</v>
      </c>
      <c r="L650" s="259">
        <v>0.2</v>
      </c>
      <c r="M650" s="260" t="s">
        <v>580</v>
      </c>
    </row>
    <row r="651" spans="1:13" x14ac:dyDescent="0.25">
      <c r="A651" s="146">
        <v>43704</v>
      </c>
      <c r="B651" s="11" t="s">
        <v>108</v>
      </c>
      <c r="C651" s="11" t="s">
        <v>109</v>
      </c>
      <c r="D651" s="11" t="s">
        <v>110</v>
      </c>
      <c r="E651" s="11" t="s">
        <v>118</v>
      </c>
      <c r="F651" s="11" t="s">
        <v>88</v>
      </c>
      <c r="G651" s="11" t="s">
        <v>99</v>
      </c>
      <c r="H651" s="108">
        <v>2</v>
      </c>
      <c r="I651" s="22"/>
      <c r="J651" s="108">
        <v>0.2</v>
      </c>
      <c r="K651" s="110">
        <v>1</v>
      </c>
      <c r="L651" s="259">
        <v>0.2</v>
      </c>
      <c r="M651" s="260" t="s">
        <v>581</v>
      </c>
    </row>
    <row r="652" spans="1:13" x14ac:dyDescent="0.25">
      <c r="A652" s="146">
        <v>43679</v>
      </c>
      <c r="B652" s="11" t="s">
        <v>108</v>
      </c>
      <c r="C652" s="11" t="s">
        <v>109</v>
      </c>
      <c r="D652" s="11" t="s">
        <v>110</v>
      </c>
      <c r="E652" s="11" t="s">
        <v>119</v>
      </c>
      <c r="F652" s="11" t="s">
        <v>88</v>
      </c>
      <c r="G652" s="11" t="s">
        <v>99</v>
      </c>
      <c r="H652" s="108">
        <v>0.5</v>
      </c>
      <c r="I652" s="22"/>
      <c r="J652" s="108">
        <v>0.3</v>
      </c>
      <c r="K652" s="110">
        <v>3</v>
      </c>
      <c r="L652" s="259">
        <v>0.9</v>
      </c>
      <c r="M652" s="260" t="s">
        <v>577</v>
      </c>
    </row>
    <row r="653" spans="1:13" x14ac:dyDescent="0.25">
      <c r="A653" s="146">
        <v>43686</v>
      </c>
      <c r="B653" s="11" t="s">
        <v>108</v>
      </c>
      <c r="C653" s="11" t="s">
        <v>109</v>
      </c>
      <c r="D653" s="11" t="s">
        <v>110</v>
      </c>
      <c r="E653" s="11" t="s">
        <v>119</v>
      </c>
      <c r="F653" s="11" t="s">
        <v>88</v>
      </c>
      <c r="G653" s="11" t="s">
        <v>99</v>
      </c>
      <c r="H653" s="108">
        <v>0.6</v>
      </c>
      <c r="I653" s="22"/>
      <c r="J653" s="108">
        <v>0.3</v>
      </c>
      <c r="K653" s="110">
        <v>3</v>
      </c>
      <c r="L653" s="259">
        <v>0.9</v>
      </c>
      <c r="M653" s="260" t="s">
        <v>578</v>
      </c>
    </row>
    <row r="654" spans="1:13" x14ac:dyDescent="0.25">
      <c r="A654" s="146">
        <v>43690</v>
      </c>
      <c r="B654" s="11" t="s">
        <v>108</v>
      </c>
      <c r="C654" s="11" t="s">
        <v>109</v>
      </c>
      <c r="D654" s="11" t="s">
        <v>110</v>
      </c>
      <c r="E654" s="11" t="s">
        <v>119</v>
      </c>
      <c r="F654" s="11" t="s">
        <v>88</v>
      </c>
      <c r="G654" s="11" t="s">
        <v>99</v>
      </c>
      <c r="H654" s="108">
        <v>0.5</v>
      </c>
      <c r="I654" s="22"/>
      <c r="J654" s="108">
        <v>0.3</v>
      </c>
      <c r="K654" s="110">
        <v>3</v>
      </c>
      <c r="L654" s="259">
        <v>0.9</v>
      </c>
      <c r="M654" s="260" t="s">
        <v>579</v>
      </c>
    </row>
    <row r="655" spans="1:13" x14ac:dyDescent="0.25">
      <c r="A655" s="146">
        <v>43697</v>
      </c>
      <c r="B655" s="11" t="s">
        <v>108</v>
      </c>
      <c r="C655" s="11" t="s">
        <v>109</v>
      </c>
      <c r="D655" s="11" t="s">
        <v>110</v>
      </c>
      <c r="E655" s="11" t="s">
        <v>119</v>
      </c>
      <c r="F655" s="11" t="s">
        <v>88</v>
      </c>
      <c r="G655" s="11" t="s">
        <v>99</v>
      </c>
      <c r="H655" s="108">
        <v>0.6</v>
      </c>
      <c r="I655" s="22"/>
      <c r="J655" s="108">
        <v>0.3</v>
      </c>
      <c r="K655" s="110">
        <v>3</v>
      </c>
      <c r="L655" s="259">
        <v>0.9</v>
      </c>
      <c r="M655" s="260" t="s">
        <v>580</v>
      </c>
    </row>
    <row r="656" spans="1:13" x14ac:dyDescent="0.25">
      <c r="A656" s="146">
        <v>43704</v>
      </c>
      <c r="B656" s="11" t="s">
        <v>108</v>
      </c>
      <c r="C656" s="11" t="s">
        <v>109</v>
      </c>
      <c r="D656" s="11" t="s">
        <v>110</v>
      </c>
      <c r="E656" s="11" t="s">
        <v>119</v>
      </c>
      <c r="F656" s="11" t="s">
        <v>88</v>
      </c>
      <c r="G656" s="11" t="s">
        <v>99</v>
      </c>
      <c r="H656" s="108">
        <v>0.7</v>
      </c>
      <c r="I656" s="22"/>
      <c r="J656" s="108">
        <v>0.3</v>
      </c>
      <c r="K656" s="110">
        <v>3</v>
      </c>
      <c r="L656" s="259">
        <v>0.9</v>
      </c>
      <c r="M656" s="260" t="s">
        <v>581</v>
      </c>
    </row>
    <row r="657" spans="1:13" x14ac:dyDescent="0.25">
      <c r="A657" s="146">
        <v>43679</v>
      </c>
      <c r="B657" s="11" t="s">
        <v>108</v>
      </c>
      <c r="C657" s="11" t="s">
        <v>109</v>
      </c>
      <c r="D657" s="11" t="s">
        <v>110</v>
      </c>
      <c r="E657" s="11" t="s">
        <v>120</v>
      </c>
      <c r="F657" s="11" t="s">
        <v>88</v>
      </c>
      <c r="G657" s="11" t="s">
        <v>99</v>
      </c>
      <c r="H657" s="108">
        <v>0</v>
      </c>
      <c r="I657" s="22"/>
      <c r="J657" s="108">
        <v>0.05</v>
      </c>
      <c r="K657" s="110">
        <v>3</v>
      </c>
      <c r="L657" s="259">
        <v>0.15</v>
      </c>
      <c r="M657" s="260" t="s">
        <v>577</v>
      </c>
    </row>
    <row r="658" spans="1:13" x14ac:dyDescent="0.25">
      <c r="A658" s="146">
        <v>43686</v>
      </c>
      <c r="B658" s="11" t="s">
        <v>108</v>
      </c>
      <c r="C658" s="11" t="s">
        <v>109</v>
      </c>
      <c r="D658" s="11" t="s">
        <v>110</v>
      </c>
      <c r="E658" s="11" t="s">
        <v>120</v>
      </c>
      <c r="F658" s="11" t="s">
        <v>88</v>
      </c>
      <c r="G658" s="11" t="s">
        <v>99</v>
      </c>
      <c r="H658" s="108">
        <v>0.17</v>
      </c>
      <c r="I658" s="22"/>
      <c r="J658" s="108">
        <v>0.05</v>
      </c>
      <c r="K658" s="110">
        <v>3</v>
      </c>
      <c r="L658" s="259">
        <v>0.15</v>
      </c>
      <c r="M658" s="260" t="s">
        <v>578</v>
      </c>
    </row>
    <row r="659" spans="1:13" x14ac:dyDescent="0.25">
      <c r="A659" s="146">
        <v>43690</v>
      </c>
      <c r="B659" s="11" t="s">
        <v>108</v>
      </c>
      <c r="C659" s="11" t="s">
        <v>109</v>
      </c>
      <c r="D659" s="11" t="s">
        <v>110</v>
      </c>
      <c r="E659" s="11" t="s">
        <v>120</v>
      </c>
      <c r="F659" s="11" t="s">
        <v>88</v>
      </c>
      <c r="G659" s="11" t="s">
        <v>99</v>
      </c>
      <c r="H659" s="108">
        <v>0</v>
      </c>
      <c r="I659" s="22"/>
      <c r="J659" s="108">
        <v>0.05</v>
      </c>
      <c r="K659" s="110">
        <v>3</v>
      </c>
      <c r="L659" s="259">
        <v>0.15</v>
      </c>
      <c r="M659" s="260" t="s">
        <v>579</v>
      </c>
    </row>
    <row r="660" spans="1:13" x14ac:dyDescent="0.25">
      <c r="A660" s="146">
        <v>43697</v>
      </c>
      <c r="B660" s="11" t="s">
        <v>108</v>
      </c>
      <c r="C660" s="11" t="s">
        <v>109</v>
      </c>
      <c r="D660" s="11" t="s">
        <v>110</v>
      </c>
      <c r="E660" s="11" t="s">
        <v>120</v>
      </c>
      <c r="F660" s="11" t="s">
        <v>88</v>
      </c>
      <c r="G660" s="11" t="s">
        <v>99</v>
      </c>
      <c r="H660" s="108">
        <v>0</v>
      </c>
      <c r="I660" s="22"/>
      <c r="J660" s="108">
        <v>0.05</v>
      </c>
      <c r="K660" s="110">
        <v>3</v>
      </c>
      <c r="L660" s="259">
        <v>0.15</v>
      </c>
      <c r="M660" s="260" t="s">
        <v>580</v>
      </c>
    </row>
    <row r="661" spans="1:13" x14ac:dyDescent="0.25">
      <c r="A661" s="146">
        <v>43704</v>
      </c>
      <c r="B661" s="11" t="s">
        <v>108</v>
      </c>
      <c r="C661" s="11" t="s">
        <v>109</v>
      </c>
      <c r="D661" s="11" t="s">
        <v>110</v>
      </c>
      <c r="E661" s="11" t="s">
        <v>120</v>
      </c>
      <c r="F661" s="11" t="s">
        <v>88</v>
      </c>
      <c r="G661" s="11" t="s">
        <v>99</v>
      </c>
      <c r="H661" s="108">
        <v>0</v>
      </c>
      <c r="I661" s="22"/>
      <c r="J661" s="108">
        <v>0.05</v>
      </c>
      <c r="K661" s="110">
        <v>3</v>
      </c>
      <c r="L661" s="259">
        <v>0.15</v>
      </c>
      <c r="M661" s="260" t="s">
        <v>581</v>
      </c>
    </row>
    <row r="662" spans="1:13" x14ac:dyDescent="0.25">
      <c r="A662" s="146">
        <v>43679</v>
      </c>
      <c r="B662" s="11" t="s">
        <v>108</v>
      </c>
      <c r="C662" s="11" t="s">
        <v>109</v>
      </c>
      <c r="D662" s="11" t="s">
        <v>110</v>
      </c>
      <c r="E662" s="11" t="s">
        <v>121</v>
      </c>
      <c r="F662" s="11" t="s">
        <v>88</v>
      </c>
      <c r="G662" s="11" t="s">
        <v>99</v>
      </c>
      <c r="H662" s="108">
        <v>40</v>
      </c>
      <c r="I662" s="22"/>
      <c r="J662" s="108">
        <v>3</v>
      </c>
      <c r="K662" s="110">
        <v>3</v>
      </c>
      <c r="L662" s="259">
        <v>9</v>
      </c>
      <c r="M662" s="260" t="s">
        <v>577</v>
      </c>
    </row>
    <row r="663" spans="1:13" x14ac:dyDescent="0.25">
      <c r="A663" s="146">
        <v>43686</v>
      </c>
      <c r="B663" s="11" t="s">
        <v>108</v>
      </c>
      <c r="C663" s="11" t="s">
        <v>109</v>
      </c>
      <c r="D663" s="11" t="s">
        <v>110</v>
      </c>
      <c r="E663" s="11" t="s">
        <v>121</v>
      </c>
      <c r="F663" s="11" t="s">
        <v>88</v>
      </c>
      <c r="G663" s="11" t="s">
        <v>99</v>
      </c>
      <c r="H663" s="108">
        <v>46.8</v>
      </c>
      <c r="I663" s="22"/>
      <c r="J663" s="108">
        <v>3</v>
      </c>
      <c r="K663" s="110">
        <v>3</v>
      </c>
      <c r="L663" s="259">
        <v>9</v>
      </c>
      <c r="M663" s="260" t="s">
        <v>578</v>
      </c>
    </row>
    <row r="664" spans="1:13" x14ac:dyDescent="0.25">
      <c r="A664" s="146">
        <v>43690</v>
      </c>
      <c r="B664" s="11" t="s">
        <v>108</v>
      </c>
      <c r="C664" s="11" t="s">
        <v>109</v>
      </c>
      <c r="D664" s="11" t="s">
        <v>110</v>
      </c>
      <c r="E664" s="11" t="s">
        <v>121</v>
      </c>
      <c r="F664" s="11" t="s">
        <v>88</v>
      </c>
      <c r="G664" s="11" t="s">
        <v>99</v>
      </c>
      <c r="H664" s="108">
        <v>38.200000000000003</v>
      </c>
      <c r="I664" s="22"/>
      <c r="J664" s="108">
        <v>3</v>
      </c>
      <c r="K664" s="110">
        <v>3</v>
      </c>
      <c r="L664" s="259">
        <v>9</v>
      </c>
      <c r="M664" s="260" t="s">
        <v>579</v>
      </c>
    </row>
    <row r="665" spans="1:13" x14ac:dyDescent="0.25">
      <c r="A665" s="146">
        <v>43697</v>
      </c>
      <c r="B665" s="11" t="s">
        <v>108</v>
      </c>
      <c r="C665" s="11" t="s">
        <v>109</v>
      </c>
      <c r="D665" s="11" t="s">
        <v>110</v>
      </c>
      <c r="E665" s="11" t="s">
        <v>121</v>
      </c>
      <c r="F665" s="11" t="s">
        <v>88</v>
      </c>
      <c r="G665" s="11" t="s">
        <v>99</v>
      </c>
      <c r="H665" s="108">
        <v>45.5</v>
      </c>
      <c r="I665" s="22"/>
      <c r="J665" s="108">
        <v>3</v>
      </c>
      <c r="K665" s="110">
        <v>3</v>
      </c>
      <c r="L665" s="259">
        <v>9</v>
      </c>
      <c r="M665" s="260" t="s">
        <v>580</v>
      </c>
    </row>
    <row r="666" spans="1:13" x14ac:dyDescent="0.25">
      <c r="A666" s="146">
        <v>43704</v>
      </c>
      <c r="B666" s="11" t="s">
        <v>108</v>
      </c>
      <c r="C666" s="11" t="s">
        <v>109</v>
      </c>
      <c r="D666" s="11" t="s">
        <v>110</v>
      </c>
      <c r="E666" s="11" t="s">
        <v>121</v>
      </c>
      <c r="F666" s="11" t="s">
        <v>88</v>
      </c>
      <c r="G666" s="11" t="s">
        <v>99</v>
      </c>
      <c r="H666" s="108">
        <v>47.1</v>
      </c>
      <c r="I666" s="22"/>
      <c r="J666" s="108">
        <v>3</v>
      </c>
      <c r="K666" s="110">
        <v>3</v>
      </c>
      <c r="L666" s="259">
        <v>9</v>
      </c>
      <c r="M666" s="260" t="s">
        <v>581</v>
      </c>
    </row>
    <row r="667" spans="1:13" x14ac:dyDescent="0.25">
      <c r="A667" s="146">
        <v>43674</v>
      </c>
      <c r="B667" s="11" t="s">
        <v>108</v>
      </c>
      <c r="C667" s="11" t="s">
        <v>109</v>
      </c>
      <c r="D667" s="11" t="s">
        <v>122</v>
      </c>
      <c r="E667" s="11" t="s">
        <v>2</v>
      </c>
      <c r="F667" s="11" t="s">
        <v>98</v>
      </c>
      <c r="G667" s="11" t="s">
        <v>123</v>
      </c>
      <c r="H667" s="108">
        <v>7</v>
      </c>
      <c r="I667" s="22"/>
      <c r="J667" s="108">
        <v>0.1</v>
      </c>
      <c r="K667" s="110">
        <v>1</v>
      </c>
      <c r="L667" s="259">
        <v>0.1</v>
      </c>
      <c r="M667" s="260" t="s">
        <v>582</v>
      </c>
    </row>
    <row r="668" spans="1:13" x14ac:dyDescent="0.25">
      <c r="A668" s="146">
        <v>43675</v>
      </c>
      <c r="B668" s="11" t="s">
        <v>108</v>
      </c>
      <c r="C668" s="11" t="s">
        <v>109</v>
      </c>
      <c r="D668" s="11" t="s">
        <v>122</v>
      </c>
      <c r="E668" s="11" t="s">
        <v>2</v>
      </c>
      <c r="F668" s="11" t="s">
        <v>98</v>
      </c>
      <c r="G668" s="11" t="s">
        <v>123</v>
      </c>
      <c r="H668" s="108">
        <v>7</v>
      </c>
      <c r="I668" s="22"/>
      <c r="J668" s="108">
        <v>0.1</v>
      </c>
      <c r="K668" s="110">
        <v>1</v>
      </c>
      <c r="L668" s="259">
        <v>0.1</v>
      </c>
      <c r="M668" s="260" t="s">
        <v>583</v>
      </c>
    </row>
    <row r="669" spans="1:13" x14ac:dyDescent="0.25">
      <c r="A669" s="146">
        <v>43676</v>
      </c>
      <c r="B669" s="11" t="s">
        <v>108</v>
      </c>
      <c r="C669" s="11" t="s">
        <v>109</v>
      </c>
      <c r="D669" s="11" t="s">
        <v>122</v>
      </c>
      <c r="E669" s="11" t="s">
        <v>2</v>
      </c>
      <c r="F669" s="11" t="s">
        <v>98</v>
      </c>
      <c r="G669" s="11" t="s">
        <v>123</v>
      </c>
      <c r="H669" s="108">
        <v>7.1</v>
      </c>
      <c r="I669" s="22"/>
      <c r="J669" s="108">
        <v>0.1</v>
      </c>
      <c r="K669" s="110">
        <v>1</v>
      </c>
      <c r="L669" s="259">
        <v>0.1</v>
      </c>
      <c r="M669" s="260" t="s">
        <v>584</v>
      </c>
    </row>
    <row r="670" spans="1:13" x14ac:dyDescent="0.25">
      <c r="A670" s="146">
        <v>43677</v>
      </c>
      <c r="B670" s="11" t="s">
        <v>108</v>
      </c>
      <c r="C670" s="11" t="s">
        <v>109</v>
      </c>
      <c r="D670" s="11" t="s">
        <v>122</v>
      </c>
      <c r="E670" s="11" t="s">
        <v>2</v>
      </c>
      <c r="F670" s="11" t="s">
        <v>98</v>
      </c>
      <c r="G670" s="11" t="s">
        <v>123</v>
      </c>
      <c r="H670" s="108">
        <v>7.1</v>
      </c>
      <c r="I670" s="22"/>
      <c r="J670" s="108">
        <v>0.1</v>
      </c>
      <c r="K670" s="110">
        <v>1</v>
      </c>
      <c r="L670" s="259">
        <v>0.1</v>
      </c>
      <c r="M670" s="260" t="s">
        <v>585</v>
      </c>
    </row>
    <row r="671" spans="1:13" x14ac:dyDescent="0.25">
      <c r="A671" s="146">
        <v>43678</v>
      </c>
      <c r="B671" s="11" t="s">
        <v>108</v>
      </c>
      <c r="C671" s="11" t="s">
        <v>109</v>
      </c>
      <c r="D671" s="11" t="s">
        <v>122</v>
      </c>
      <c r="E671" s="11" t="s">
        <v>2</v>
      </c>
      <c r="F671" s="11" t="s">
        <v>98</v>
      </c>
      <c r="G671" s="11" t="s">
        <v>123</v>
      </c>
      <c r="H671" s="108">
        <v>7</v>
      </c>
      <c r="I671" s="22"/>
      <c r="J671" s="108">
        <v>0.1</v>
      </c>
      <c r="K671" s="110">
        <v>1</v>
      </c>
      <c r="L671" s="259">
        <v>0.1</v>
      </c>
      <c r="M671" s="260" t="s">
        <v>586</v>
      </c>
    </row>
    <row r="672" spans="1:13" x14ac:dyDescent="0.25">
      <c r="A672" s="146">
        <v>43679</v>
      </c>
      <c r="B672" s="11" t="s">
        <v>108</v>
      </c>
      <c r="C672" s="11" t="s">
        <v>109</v>
      </c>
      <c r="D672" s="11" t="s">
        <v>122</v>
      </c>
      <c r="E672" s="11" t="s">
        <v>2</v>
      </c>
      <c r="F672" s="11" t="s">
        <v>98</v>
      </c>
      <c r="G672" s="11" t="s">
        <v>123</v>
      </c>
      <c r="H672" s="108">
        <v>7.1</v>
      </c>
      <c r="I672" s="22"/>
      <c r="J672" s="108">
        <v>0.1</v>
      </c>
      <c r="K672" s="110">
        <v>1</v>
      </c>
      <c r="L672" s="259">
        <v>0.1</v>
      </c>
      <c r="M672" s="260" t="s">
        <v>587</v>
      </c>
    </row>
    <row r="673" spans="1:13" x14ac:dyDescent="0.25">
      <c r="A673" s="146">
        <v>43680</v>
      </c>
      <c r="B673" s="11" t="s">
        <v>108</v>
      </c>
      <c r="C673" s="11" t="s">
        <v>109</v>
      </c>
      <c r="D673" s="11" t="s">
        <v>122</v>
      </c>
      <c r="E673" s="11" t="s">
        <v>2</v>
      </c>
      <c r="F673" s="11" t="s">
        <v>98</v>
      </c>
      <c r="G673" s="11" t="s">
        <v>123</v>
      </c>
      <c r="H673" s="108">
        <v>7.1</v>
      </c>
      <c r="I673" s="22"/>
      <c r="J673" s="108">
        <v>0.1</v>
      </c>
      <c r="K673" s="110">
        <v>1</v>
      </c>
      <c r="L673" s="259">
        <v>0.1</v>
      </c>
      <c r="M673" s="260" t="s">
        <v>588</v>
      </c>
    </row>
    <row r="674" spans="1:13" x14ac:dyDescent="0.25">
      <c r="A674" s="146">
        <v>43681</v>
      </c>
      <c r="B674" s="11" t="s">
        <v>108</v>
      </c>
      <c r="C674" s="11" t="s">
        <v>109</v>
      </c>
      <c r="D674" s="11" t="s">
        <v>122</v>
      </c>
      <c r="E674" s="11" t="s">
        <v>2</v>
      </c>
      <c r="F674" s="11" t="s">
        <v>98</v>
      </c>
      <c r="G674" s="11" t="s">
        <v>123</v>
      </c>
      <c r="H674" s="108">
        <v>7</v>
      </c>
      <c r="I674" s="22"/>
      <c r="J674" s="108">
        <v>0.1</v>
      </c>
      <c r="K674" s="110">
        <v>1</v>
      </c>
      <c r="L674" s="259">
        <v>0.1</v>
      </c>
      <c r="M674" s="260" t="s">
        <v>589</v>
      </c>
    </row>
    <row r="675" spans="1:13" x14ac:dyDescent="0.25">
      <c r="A675" s="146">
        <v>43682</v>
      </c>
      <c r="B675" s="11" t="s">
        <v>108</v>
      </c>
      <c r="C675" s="11" t="s">
        <v>109</v>
      </c>
      <c r="D675" s="11" t="s">
        <v>122</v>
      </c>
      <c r="E675" s="11" t="s">
        <v>2</v>
      </c>
      <c r="F675" s="11" t="s">
        <v>98</v>
      </c>
      <c r="G675" s="11" t="s">
        <v>123</v>
      </c>
      <c r="H675" s="108">
        <v>7</v>
      </c>
      <c r="I675" s="22"/>
      <c r="J675" s="108">
        <v>0.1</v>
      </c>
      <c r="K675" s="110">
        <v>1</v>
      </c>
      <c r="L675" s="259">
        <v>0.1</v>
      </c>
      <c r="M675" s="260" t="s">
        <v>590</v>
      </c>
    </row>
    <row r="676" spans="1:13" x14ac:dyDescent="0.25">
      <c r="A676" s="146">
        <v>43683</v>
      </c>
      <c r="B676" s="11" t="s">
        <v>108</v>
      </c>
      <c r="C676" s="11" t="s">
        <v>109</v>
      </c>
      <c r="D676" s="11" t="s">
        <v>122</v>
      </c>
      <c r="E676" s="11" t="s">
        <v>2</v>
      </c>
      <c r="F676" s="11" t="s">
        <v>98</v>
      </c>
      <c r="G676" s="11" t="s">
        <v>123</v>
      </c>
      <c r="H676" s="108">
        <v>7.1</v>
      </c>
      <c r="I676" s="22"/>
      <c r="J676" s="108">
        <v>0.1</v>
      </c>
      <c r="K676" s="110">
        <v>1</v>
      </c>
      <c r="L676" s="259">
        <v>0.1</v>
      </c>
      <c r="M676" s="260" t="s">
        <v>591</v>
      </c>
    </row>
    <row r="677" spans="1:13" x14ac:dyDescent="0.25">
      <c r="A677" s="146">
        <v>43684</v>
      </c>
      <c r="B677" s="11" t="s">
        <v>108</v>
      </c>
      <c r="C677" s="11" t="s">
        <v>109</v>
      </c>
      <c r="D677" s="11" t="s">
        <v>122</v>
      </c>
      <c r="E677" s="11" t="s">
        <v>2</v>
      </c>
      <c r="F677" s="11" t="s">
        <v>98</v>
      </c>
      <c r="G677" s="11" t="s">
        <v>123</v>
      </c>
      <c r="H677" s="108">
        <v>7</v>
      </c>
      <c r="I677" s="22"/>
      <c r="J677" s="108">
        <v>0.1</v>
      </c>
      <c r="K677" s="110">
        <v>1</v>
      </c>
      <c r="L677" s="259">
        <v>0.1</v>
      </c>
      <c r="M677" s="260" t="s">
        <v>592</v>
      </c>
    </row>
    <row r="678" spans="1:13" x14ac:dyDescent="0.25">
      <c r="A678" s="146">
        <v>43685</v>
      </c>
      <c r="B678" s="11" t="s">
        <v>108</v>
      </c>
      <c r="C678" s="11" t="s">
        <v>109</v>
      </c>
      <c r="D678" s="11" t="s">
        <v>122</v>
      </c>
      <c r="E678" s="11" t="s">
        <v>2</v>
      </c>
      <c r="F678" s="11" t="s">
        <v>98</v>
      </c>
      <c r="G678" s="11" t="s">
        <v>123</v>
      </c>
      <c r="H678" s="108">
        <v>7.1</v>
      </c>
      <c r="I678" s="22"/>
      <c r="J678" s="108">
        <v>0.1</v>
      </c>
      <c r="K678" s="110">
        <v>1</v>
      </c>
      <c r="L678" s="259">
        <v>0.1</v>
      </c>
      <c r="M678" s="260" t="s">
        <v>593</v>
      </c>
    </row>
    <row r="679" spans="1:13" x14ac:dyDescent="0.25">
      <c r="A679" s="146">
        <v>43686</v>
      </c>
      <c r="B679" s="11" t="s">
        <v>108</v>
      </c>
      <c r="C679" s="11" t="s">
        <v>109</v>
      </c>
      <c r="D679" s="11" t="s">
        <v>122</v>
      </c>
      <c r="E679" s="11" t="s">
        <v>2</v>
      </c>
      <c r="F679" s="11" t="s">
        <v>98</v>
      </c>
      <c r="G679" s="11" t="s">
        <v>123</v>
      </c>
      <c r="H679" s="108">
        <v>7.1</v>
      </c>
      <c r="I679" s="22"/>
      <c r="J679" s="108">
        <v>0.1</v>
      </c>
      <c r="K679" s="110">
        <v>1</v>
      </c>
      <c r="L679" s="259">
        <v>0.1</v>
      </c>
      <c r="M679" s="260" t="s">
        <v>594</v>
      </c>
    </row>
    <row r="680" spans="1:13" x14ac:dyDescent="0.25">
      <c r="A680" s="146">
        <v>43687</v>
      </c>
      <c r="B680" s="11" t="s">
        <v>108</v>
      </c>
      <c r="C680" s="11" t="s">
        <v>109</v>
      </c>
      <c r="D680" s="11" t="s">
        <v>122</v>
      </c>
      <c r="E680" s="11" t="s">
        <v>2</v>
      </c>
      <c r="F680" s="11" t="s">
        <v>98</v>
      </c>
      <c r="G680" s="11" t="s">
        <v>123</v>
      </c>
      <c r="H680" s="108">
        <v>7</v>
      </c>
      <c r="I680" s="22"/>
      <c r="J680" s="108">
        <v>0.1</v>
      </c>
      <c r="K680" s="110">
        <v>1</v>
      </c>
      <c r="L680" s="259">
        <v>0.1</v>
      </c>
      <c r="M680" s="260" t="s">
        <v>595</v>
      </c>
    </row>
    <row r="681" spans="1:13" x14ac:dyDescent="0.25">
      <c r="A681" s="146">
        <v>43688</v>
      </c>
      <c r="B681" s="11" t="s">
        <v>108</v>
      </c>
      <c r="C681" s="11" t="s">
        <v>109</v>
      </c>
      <c r="D681" s="11" t="s">
        <v>122</v>
      </c>
      <c r="E681" s="11" t="s">
        <v>2</v>
      </c>
      <c r="F681" s="11" t="s">
        <v>98</v>
      </c>
      <c r="G681" s="11" t="s">
        <v>123</v>
      </c>
      <c r="H681" s="108">
        <v>7</v>
      </c>
      <c r="I681" s="22"/>
      <c r="J681" s="108">
        <v>0.1</v>
      </c>
      <c r="K681" s="110">
        <v>1</v>
      </c>
      <c r="L681" s="259">
        <v>0.1</v>
      </c>
      <c r="M681" s="260" t="s">
        <v>596</v>
      </c>
    </row>
    <row r="682" spans="1:13" x14ac:dyDescent="0.25">
      <c r="A682" s="146">
        <v>43689</v>
      </c>
      <c r="B682" s="11" t="s">
        <v>108</v>
      </c>
      <c r="C682" s="11" t="s">
        <v>109</v>
      </c>
      <c r="D682" s="11" t="s">
        <v>122</v>
      </c>
      <c r="E682" s="11" t="s">
        <v>2</v>
      </c>
      <c r="F682" s="11" t="s">
        <v>98</v>
      </c>
      <c r="G682" s="11" t="s">
        <v>123</v>
      </c>
      <c r="H682" s="108">
        <v>7.1</v>
      </c>
      <c r="I682" s="22"/>
      <c r="J682" s="108">
        <v>0.1</v>
      </c>
      <c r="K682" s="110">
        <v>1</v>
      </c>
      <c r="L682" s="259">
        <v>0.1</v>
      </c>
      <c r="M682" s="260" t="s">
        <v>597</v>
      </c>
    </row>
    <row r="683" spans="1:13" x14ac:dyDescent="0.25">
      <c r="A683" s="146">
        <v>43690</v>
      </c>
      <c r="B683" s="11" t="s">
        <v>108</v>
      </c>
      <c r="C683" s="11" t="s">
        <v>109</v>
      </c>
      <c r="D683" s="11" t="s">
        <v>122</v>
      </c>
      <c r="E683" s="11" t="s">
        <v>2</v>
      </c>
      <c r="F683" s="11" t="s">
        <v>98</v>
      </c>
      <c r="G683" s="11" t="s">
        <v>123</v>
      </c>
      <c r="H683" s="108">
        <v>7.1</v>
      </c>
      <c r="I683" s="22"/>
      <c r="J683" s="108">
        <v>0.1</v>
      </c>
      <c r="K683" s="110">
        <v>1</v>
      </c>
      <c r="L683" s="259">
        <v>0.1</v>
      </c>
      <c r="M683" s="260" t="s">
        <v>598</v>
      </c>
    </row>
    <row r="684" spans="1:13" x14ac:dyDescent="0.25">
      <c r="A684" s="146">
        <v>43691</v>
      </c>
      <c r="B684" s="11" t="s">
        <v>108</v>
      </c>
      <c r="C684" s="11" t="s">
        <v>109</v>
      </c>
      <c r="D684" s="11" t="s">
        <v>122</v>
      </c>
      <c r="E684" s="11" t="s">
        <v>2</v>
      </c>
      <c r="F684" s="11" t="s">
        <v>98</v>
      </c>
      <c r="G684" s="11" t="s">
        <v>123</v>
      </c>
      <c r="H684" s="108">
        <v>7.1</v>
      </c>
      <c r="I684" s="22"/>
      <c r="J684" s="108">
        <v>0.1</v>
      </c>
      <c r="K684" s="110">
        <v>1</v>
      </c>
      <c r="L684" s="259">
        <v>0.1</v>
      </c>
      <c r="M684" s="260" t="s">
        <v>599</v>
      </c>
    </row>
    <row r="685" spans="1:13" x14ac:dyDescent="0.25">
      <c r="A685" s="146">
        <v>43692</v>
      </c>
      <c r="B685" s="11" t="s">
        <v>108</v>
      </c>
      <c r="C685" s="11" t="s">
        <v>109</v>
      </c>
      <c r="D685" s="11" t="s">
        <v>122</v>
      </c>
      <c r="E685" s="11" t="s">
        <v>2</v>
      </c>
      <c r="F685" s="11" t="s">
        <v>98</v>
      </c>
      <c r="G685" s="11" t="s">
        <v>123</v>
      </c>
      <c r="H685" s="108">
        <v>7</v>
      </c>
      <c r="I685" s="22"/>
      <c r="J685" s="108">
        <v>0.1</v>
      </c>
      <c r="K685" s="110">
        <v>1</v>
      </c>
      <c r="L685" s="259">
        <v>0.1</v>
      </c>
      <c r="M685" s="260" t="s">
        <v>600</v>
      </c>
    </row>
    <row r="686" spans="1:13" x14ac:dyDescent="0.25">
      <c r="A686" s="146">
        <v>43693</v>
      </c>
      <c r="B686" s="11" t="s">
        <v>108</v>
      </c>
      <c r="C686" s="11" t="s">
        <v>109</v>
      </c>
      <c r="D686" s="11" t="s">
        <v>122</v>
      </c>
      <c r="E686" s="11" t="s">
        <v>2</v>
      </c>
      <c r="F686" s="11" t="s">
        <v>98</v>
      </c>
      <c r="G686" s="11" t="s">
        <v>123</v>
      </c>
      <c r="H686" s="108">
        <v>7.1</v>
      </c>
      <c r="I686" s="22"/>
      <c r="J686" s="108">
        <v>0.1</v>
      </c>
      <c r="K686" s="110">
        <v>1</v>
      </c>
      <c r="L686" s="259">
        <v>0.1</v>
      </c>
      <c r="M686" s="260" t="s">
        <v>601</v>
      </c>
    </row>
    <row r="687" spans="1:13" x14ac:dyDescent="0.25">
      <c r="A687" s="146">
        <v>43694</v>
      </c>
      <c r="B687" s="11" t="s">
        <v>108</v>
      </c>
      <c r="C687" s="11" t="s">
        <v>109</v>
      </c>
      <c r="D687" s="11" t="s">
        <v>122</v>
      </c>
      <c r="E687" s="11" t="s">
        <v>2</v>
      </c>
      <c r="F687" s="11" t="s">
        <v>98</v>
      </c>
      <c r="G687" s="11" t="s">
        <v>123</v>
      </c>
      <c r="H687" s="108">
        <v>7.1</v>
      </c>
      <c r="I687" s="22"/>
      <c r="J687" s="108">
        <v>0.1</v>
      </c>
      <c r="K687" s="110">
        <v>1</v>
      </c>
      <c r="L687" s="259">
        <v>0.1</v>
      </c>
      <c r="M687" s="260" t="s">
        <v>602</v>
      </c>
    </row>
    <row r="688" spans="1:13" x14ac:dyDescent="0.25">
      <c r="A688" s="146">
        <v>43695</v>
      </c>
      <c r="B688" s="11" t="s">
        <v>108</v>
      </c>
      <c r="C688" s="11" t="s">
        <v>109</v>
      </c>
      <c r="D688" s="11" t="s">
        <v>122</v>
      </c>
      <c r="E688" s="11" t="s">
        <v>2</v>
      </c>
      <c r="F688" s="11" t="s">
        <v>98</v>
      </c>
      <c r="G688" s="11" t="s">
        <v>123</v>
      </c>
      <c r="H688" s="108">
        <v>7.1</v>
      </c>
      <c r="I688" s="22"/>
      <c r="J688" s="108">
        <v>0.1</v>
      </c>
      <c r="K688" s="110">
        <v>1</v>
      </c>
      <c r="L688" s="259">
        <v>0.1</v>
      </c>
      <c r="M688" s="260" t="s">
        <v>603</v>
      </c>
    </row>
    <row r="689" spans="1:13" x14ac:dyDescent="0.25">
      <c r="A689" s="146">
        <v>43696</v>
      </c>
      <c r="B689" s="11" t="s">
        <v>108</v>
      </c>
      <c r="C689" s="11" t="s">
        <v>109</v>
      </c>
      <c r="D689" s="11" t="s">
        <v>122</v>
      </c>
      <c r="E689" s="11" t="s">
        <v>2</v>
      </c>
      <c r="F689" s="11" t="s">
        <v>98</v>
      </c>
      <c r="G689" s="11" t="s">
        <v>123</v>
      </c>
      <c r="H689" s="108">
        <v>7</v>
      </c>
      <c r="I689" s="22"/>
      <c r="J689" s="108">
        <v>0.1</v>
      </c>
      <c r="K689" s="110">
        <v>1</v>
      </c>
      <c r="L689" s="259">
        <v>0.1</v>
      </c>
      <c r="M689" s="260" t="s">
        <v>604</v>
      </c>
    </row>
    <row r="690" spans="1:13" x14ac:dyDescent="0.25">
      <c r="A690" s="146">
        <v>43697</v>
      </c>
      <c r="B690" s="11" t="s">
        <v>108</v>
      </c>
      <c r="C690" s="11" t="s">
        <v>109</v>
      </c>
      <c r="D690" s="11" t="s">
        <v>122</v>
      </c>
      <c r="E690" s="11" t="s">
        <v>2</v>
      </c>
      <c r="F690" s="11" t="s">
        <v>98</v>
      </c>
      <c r="G690" s="11" t="s">
        <v>123</v>
      </c>
      <c r="H690" s="108">
        <v>7.1</v>
      </c>
      <c r="I690" s="22"/>
      <c r="J690" s="108">
        <v>0.1</v>
      </c>
      <c r="K690" s="110">
        <v>1</v>
      </c>
      <c r="L690" s="259">
        <v>0.1</v>
      </c>
      <c r="M690" s="260" t="s">
        <v>605</v>
      </c>
    </row>
    <row r="691" spans="1:13" x14ac:dyDescent="0.25">
      <c r="A691" s="146">
        <v>43698</v>
      </c>
      <c r="B691" s="11" t="s">
        <v>108</v>
      </c>
      <c r="C691" s="11" t="s">
        <v>109</v>
      </c>
      <c r="D691" s="11" t="s">
        <v>122</v>
      </c>
      <c r="E691" s="11" t="s">
        <v>2</v>
      </c>
      <c r="F691" s="11" t="s">
        <v>98</v>
      </c>
      <c r="G691" s="11" t="s">
        <v>123</v>
      </c>
      <c r="H691" s="108">
        <v>7</v>
      </c>
      <c r="I691" s="22"/>
      <c r="J691" s="108">
        <v>0.1</v>
      </c>
      <c r="K691" s="110">
        <v>1</v>
      </c>
      <c r="L691" s="259">
        <v>0.1</v>
      </c>
      <c r="M691" s="260" t="s">
        <v>606</v>
      </c>
    </row>
    <row r="692" spans="1:13" x14ac:dyDescent="0.25">
      <c r="A692" s="146">
        <v>43699</v>
      </c>
      <c r="B692" s="11" t="s">
        <v>108</v>
      </c>
      <c r="C692" s="11" t="s">
        <v>109</v>
      </c>
      <c r="D692" s="11" t="s">
        <v>122</v>
      </c>
      <c r="E692" s="11" t="s">
        <v>2</v>
      </c>
      <c r="F692" s="11" t="s">
        <v>98</v>
      </c>
      <c r="G692" s="11" t="s">
        <v>123</v>
      </c>
      <c r="H692" s="108">
        <v>7</v>
      </c>
      <c r="I692" s="22"/>
      <c r="J692" s="108">
        <v>0.1</v>
      </c>
      <c r="K692" s="110">
        <v>1</v>
      </c>
      <c r="L692" s="259">
        <v>0.1</v>
      </c>
      <c r="M692" s="260" t="s">
        <v>607</v>
      </c>
    </row>
    <row r="693" spans="1:13" x14ac:dyDescent="0.25">
      <c r="A693" s="146">
        <v>43700</v>
      </c>
      <c r="B693" s="11" t="s">
        <v>108</v>
      </c>
      <c r="C693" s="11" t="s">
        <v>109</v>
      </c>
      <c r="D693" s="11" t="s">
        <v>122</v>
      </c>
      <c r="E693" s="11" t="s">
        <v>2</v>
      </c>
      <c r="F693" s="11" t="s">
        <v>98</v>
      </c>
      <c r="G693" s="11" t="s">
        <v>123</v>
      </c>
      <c r="H693" s="108">
        <v>7.1</v>
      </c>
      <c r="I693" s="22"/>
      <c r="J693" s="108">
        <v>0.1</v>
      </c>
      <c r="K693" s="110">
        <v>1</v>
      </c>
      <c r="L693" s="259">
        <v>0.1</v>
      </c>
      <c r="M693" s="260" t="s">
        <v>608</v>
      </c>
    </row>
    <row r="694" spans="1:13" x14ac:dyDescent="0.25">
      <c r="A694" s="146">
        <v>43701</v>
      </c>
      <c r="B694" s="11" t="s">
        <v>108</v>
      </c>
      <c r="C694" s="11" t="s">
        <v>109</v>
      </c>
      <c r="D694" s="11" t="s">
        <v>122</v>
      </c>
      <c r="E694" s="11" t="s">
        <v>2</v>
      </c>
      <c r="F694" s="11" t="s">
        <v>98</v>
      </c>
      <c r="G694" s="11" t="s">
        <v>123</v>
      </c>
      <c r="H694" s="108">
        <v>7.1</v>
      </c>
      <c r="I694" s="22"/>
      <c r="J694" s="108">
        <v>0.1</v>
      </c>
      <c r="K694" s="110">
        <v>1</v>
      </c>
      <c r="L694" s="259">
        <v>0.1</v>
      </c>
      <c r="M694" s="260" t="s">
        <v>609</v>
      </c>
    </row>
    <row r="695" spans="1:13" x14ac:dyDescent="0.25">
      <c r="A695" s="146">
        <v>43702</v>
      </c>
      <c r="B695" s="11" t="s">
        <v>108</v>
      </c>
      <c r="C695" s="11" t="s">
        <v>109</v>
      </c>
      <c r="D695" s="11" t="s">
        <v>122</v>
      </c>
      <c r="E695" s="11" t="s">
        <v>2</v>
      </c>
      <c r="F695" s="11" t="s">
        <v>98</v>
      </c>
      <c r="G695" s="11" t="s">
        <v>123</v>
      </c>
      <c r="H695" s="108">
        <v>7.1</v>
      </c>
      <c r="I695" s="22"/>
      <c r="J695" s="108">
        <v>0.1</v>
      </c>
      <c r="K695" s="110">
        <v>1</v>
      </c>
      <c r="L695" s="259">
        <v>0.1</v>
      </c>
      <c r="M695" s="260" t="s">
        <v>610</v>
      </c>
    </row>
    <row r="696" spans="1:13" x14ac:dyDescent="0.25">
      <c r="A696" s="146">
        <v>43703</v>
      </c>
      <c r="B696" s="11" t="s">
        <v>108</v>
      </c>
      <c r="C696" s="11" t="s">
        <v>109</v>
      </c>
      <c r="D696" s="11" t="s">
        <v>122</v>
      </c>
      <c r="E696" s="11" t="s">
        <v>2</v>
      </c>
      <c r="F696" s="11" t="s">
        <v>98</v>
      </c>
      <c r="G696" s="11" t="s">
        <v>123</v>
      </c>
      <c r="H696" s="108">
        <v>7</v>
      </c>
      <c r="I696" s="22"/>
      <c r="J696" s="108">
        <v>0.1</v>
      </c>
      <c r="K696" s="110">
        <v>1</v>
      </c>
      <c r="L696" s="259">
        <v>0.1</v>
      </c>
      <c r="M696" s="260" t="s">
        <v>611</v>
      </c>
    </row>
    <row r="697" spans="1:13" x14ac:dyDescent="0.25">
      <c r="A697" s="146">
        <v>43704</v>
      </c>
      <c r="B697" s="11" t="s">
        <v>108</v>
      </c>
      <c r="C697" s="11" t="s">
        <v>109</v>
      </c>
      <c r="D697" s="11" t="s">
        <v>122</v>
      </c>
      <c r="E697" s="11" t="s">
        <v>2</v>
      </c>
      <c r="F697" s="11" t="s">
        <v>98</v>
      </c>
      <c r="G697" s="11" t="s">
        <v>123</v>
      </c>
      <c r="H697" s="108">
        <v>7.1</v>
      </c>
      <c r="I697" s="22"/>
      <c r="J697" s="108">
        <v>0.1</v>
      </c>
      <c r="K697" s="110">
        <v>1</v>
      </c>
      <c r="L697" s="259">
        <v>0.1</v>
      </c>
      <c r="M697" s="260" t="s">
        <v>612</v>
      </c>
    </row>
    <row r="698" spans="1:13" x14ac:dyDescent="0.25">
      <c r="A698" s="146">
        <v>43705</v>
      </c>
      <c r="B698" s="11" t="s">
        <v>108</v>
      </c>
      <c r="C698" s="11" t="s">
        <v>109</v>
      </c>
      <c r="D698" s="11" t="s">
        <v>122</v>
      </c>
      <c r="E698" s="11" t="s">
        <v>2</v>
      </c>
      <c r="F698" s="11" t="s">
        <v>98</v>
      </c>
      <c r="G698" s="11" t="s">
        <v>123</v>
      </c>
      <c r="H698" s="108">
        <v>7</v>
      </c>
      <c r="I698" s="22"/>
      <c r="J698" s="108">
        <v>0.1</v>
      </c>
      <c r="K698" s="110">
        <v>1</v>
      </c>
      <c r="L698" s="259">
        <v>0.1</v>
      </c>
      <c r="M698" s="260" t="s">
        <v>613</v>
      </c>
    </row>
    <row r="699" spans="1:13" x14ac:dyDescent="0.25">
      <c r="A699" s="146">
        <v>43706</v>
      </c>
      <c r="B699" s="11" t="s">
        <v>108</v>
      </c>
      <c r="C699" s="11" t="s">
        <v>109</v>
      </c>
      <c r="D699" s="11" t="s">
        <v>122</v>
      </c>
      <c r="E699" s="11" t="s">
        <v>2</v>
      </c>
      <c r="F699" s="11" t="s">
        <v>98</v>
      </c>
      <c r="G699" s="11" t="s">
        <v>123</v>
      </c>
      <c r="H699" s="108">
        <v>7.1</v>
      </c>
      <c r="I699" s="22"/>
      <c r="J699" s="108">
        <v>0.1</v>
      </c>
      <c r="K699" s="110">
        <v>1</v>
      </c>
      <c r="L699" s="259">
        <v>0.1</v>
      </c>
      <c r="M699" s="260" t="s">
        <v>614</v>
      </c>
    </row>
    <row r="700" spans="1:13" x14ac:dyDescent="0.25">
      <c r="A700" s="146">
        <v>43707</v>
      </c>
      <c r="B700" s="11" t="s">
        <v>108</v>
      </c>
      <c r="C700" s="11" t="s">
        <v>109</v>
      </c>
      <c r="D700" s="11" t="s">
        <v>122</v>
      </c>
      <c r="E700" s="11" t="s">
        <v>2</v>
      </c>
      <c r="F700" s="11" t="s">
        <v>98</v>
      </c>
      <c r="G700" s="11" t="s">
        <v>123</v>
      </c>
      <c r="H700" s="108">
        <v>7.1</v>
      </c>
      <c r="I700" s="22"/>
      <c r="J700" s="108">
        <v>0.1</v>
      </c>
      <c r="K700" s="110">
        <v>1</v>
      </c>
      <c r="L700" s="259">
        <v>0.1</v>
      </c>
      <c r="M700" s="260" t="s">
        <v>615</v>
      </c>
    </row>
    <row r="701" spans="1:13" x14ac:dyDescent="0.25">
      <c r="A701" s="146">
        <v>43708</v>
      </c>
      <c r="B701" s="11" t="s">
        <v>108</v>
      </c>
      <c r="C701" s="11" t="s">
        <v>109</v>
      </c>
      <c r="D701" s="11" t="s">
        <v>122</v>
      </c>
      <c r="E701" s="11" t="s">
        <v>2</v>
      </c>
      <c r="F701" s="11" t="s">
        <v>98</v>
      </c>
      <c r="G701" s="11" t="s">
        <v>123</v>
      </c>
      <c r="H701" s="108">
        <v>7.1</v>
      </c>
      <c r="I701" s="22"/>
      <c r="J701" s="108">
        <v>0.1</v>
      </c>
      <c r="K701" s="110">
        <v>1</v>
      </c>
      <c r="L701" s="259">
        <v>0.1</v>
      </c>
      <c r="M701" s="260" t="s">
        <v>616</v>
      </c>
    </row>
    <row r="702" spans="1:13" x14ac:dyDescent="0.25">
      <c r="A702" s="146">
        <v>43684</v>
      </c>
      <c r="B702" s="11" t="s">
        <v>222</v>
      </c>
      <c r="C702" s="11" t="s">
        <v>283</v>
      </c>
      <c r="D702" s="11" t="s">
        <v>263</v>
      </c>
      <c r="E702" s="11" t="s">
        <v>264</v>
      </c>
      <c r="F702" s="11" t="s">
        <v>280</v>
      </c>
      <c r="G702" s="11" t="s">
        <v>99</v>
      </c>
      <c r="H702" s="108">
        <v>0</v>
      </c>
      <c r="I702" s="22"/>
      <c r="J702" s="108">
        <v>4</v>
      </c>
      <c r="K702" s="110">
        <v>2</v>
      </c>
      <c r="L702" s="259">
        <v>8</v>
      </c>
      <c r="M702" s="260" t="s">
        <v>617</v>
      </c>
    </row>
    <row r="703" spans="1:13" x14ac:dyDescent="0.25">
      <c r="A703" s="146">
        <v>43684</v>
      </c>
      <c r="B703" s="11" t="s">
        <v>222</v>
      </c>
      <c r="C703" s="11" t="s">
        <v>283</v>
      </c>
      <c r="D703" s="11" t="s">
        <v>96</v>
      </c>
      <c r="E703" s="11" t="s">
        <v>97</v>
      </c>
      <c r="F703" s="11" t="s">
        <v>280</v>
      </c>
      <c r="G703" s="11" t="s">
        <v>99</v>
      </c>
      <c r="H703" s="108">
        <v>0</v>
      </c>
      <c r="I703" s="22"/>
      <c r="J703" s="108">
        <v>2</v>
      </c>
      <c r="K703" s="110">
        <v>3</v>
      </c>
      <c r="L703" s="259">
        <v>6</v>
      </c>
      <c r="M703" s="260" t="s">
        <v>617</v>
      </c>
    </row>
    <row r="704" spans="1:13" x14ac:dyDescent="0.25">
      <c r="A704" s="146">
        <v>43684</v>
      </c>
      <c r="B704" s="11" t="s">
        <v>222</v>
      </c>
      <c r="C704" s="11" t="s">
        <v>284</v>
      </c>
      <c r="D704" s="11" t="s">
        <v>103</v>
      </c>
      <c r="E704" s="11" t="s">
        <v>104</v>
      </c>
      <c r="F704" s="11" t="s">
        <v>280</v>
      </c>
      <c r="G704" s="11" t="s">
        <v>99</v>
      </c>
      <c r="H704" s="108">
        <v>1.22</v>
      </c>
      <c r="I704" s="22"/>
      <c r="J704" s="108">
        <v>0.92</v>
      </c>
      <c r="K704" s="110">
        <v>3</v>
      </c>
      <c r="L704" s="259">
        <v>2.76</v>
      </c>
      <c r="M704" s="260" t="s">
        <v>618</v>
      </c>
    </row>
    <row r="705" spans="1:13" x14ac:dyDescent="0.25">
      <c r="A705" s="228">
        <v>43354</v>
      </c>
      <c r="B705" s="229" t="s">
        <v>222</v>
      </c>
      <c r="C705" s="229" t="s">
        <v>260</v>
      </c>
      <c r="D705" s="229" t="s">
        <v>261</v>
      </c>
      <c r="E705" s="229" t="s">
        <v>265</v>
      </c>
      <c r="F705" s="229" t="s">
        <v>88</v>
      </c>
      <c r="G705" s="229" t="s">
        <v>99</v>
      </c>
      <c r="H705" s="230" t="s">
        <v>258</v>
      </c>
      <c r="I705" s="231">
        <v>-8</v>
      </c>
      <c r="J705" s="230">
        <v>4</v>
      </c>
      <c r="K705" s="232">
        <v>2</v>
      </c>
      <c r="L705" s="257"/>
      <c r="M705" s="257"/>
    </row>
  </sheetData>
  <autoFilter ref="A2:M705"/>
  <mergeCells count="2">
    <mergeCell ref="A1:G1"/>
    <mergeCell ref="I1:O1"/>
  </mergeCells>
  <conditionalFormatting sqref="A705:E957">
    <cfRule type="expression" dxfId="5" priority="27">
      <formula>$E705:$E2702="Flow to the River"</formula>
    </cfRule>
    <cfRule type="expression" dxfId="4" priority="28">
      <formula>COUNTIFS($A705:$A2702,$A705,$B705:$B2702,$B705,$E705:$E2702,$E705)&gt;=2</formula>
    </cfRule>
  </conditionalFormatting>
  <conditionalFormatting sqref="A3:E704">
    <cfRule type="expression" dxfId="3" priority="3">
      <formula>$E3:$E2000="Flow to the River"</formula>
    </cfRule>
    <cfRule type="expression" dxfId="2" priority="4">
      <formula>COUNTIFS($A3:$A2000,$A3,$B3:$B2000,$B3,$E3:$E2000,$E3)&gt;=2</formula>
    </cfRule>
  </conditionalFormatting>
  <conditionalFormatting sqref="A2:E2">
    <cfRule type="expression" dxfId="1" priority="1">
      <formula>$E2:$E1993="Flow to the River"</formula>
    </cfRule>
    <cfRule type="expression" dxfId="0" priority="2">
      <formula>COUNTIFS($A2:$A1993,$A2,$B2:$B1993,$B2,$E2:$E1993,$E2)&gt;=2</formula>
    </cfRule>
  </conditionalFormatting>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3313" r:id="rId4" name="CmdBtnParameters">
              <controlPr defaultSize="0" print="0" autoFill="0" autoPict="0" macro="_xll.btnViewParameters_Click">
                <anchor moveWithCells="1" sizeWithCells="1">
                  <from>
                    <xdr:col>7</xdr:col>
                    <xdr:colOff>57150</xdr:colOff>
                    <xdr:row>0</xdr:row>
                    <xdr:rowOff>57150</xdr:rowOff>
                  </from>
                  <to>
                    <xdr:col>7</xdr:col>
                    <xdr:colOff>1200150</xdr:colOff>
                    <xdr:row>0</xdr:row>
                    <xdr:rowOff>257175</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B35"/>
  <sheetViews>
    <sheetView workbookViewId="0"/>
  </sheetViews>
  <sheetFormatPr defaultRowHeight="15" x14ac:dyDescent="0.25"/>
  <cols>
    <col min="2" max="2" width="10.7109375" customWidth="1"/>
  </cols>
  <sheetData>
    <row r="1" spans="1:2" x14ac:dyDescent="0.25">
      <c r="A1" s="2"/>
      <c r="B1" s="2"/>
    </row>
    <row r="2" spans="1:2" x14ac:dyDescent="0.25">
      <c r="A2" s="3"/>
      <c r="B2" s="3"/>
    </row>
    <row r="3" spans="1:2" x14ac:dyDescent="0.25">
      <c r="A3" s="5" t="s">
        <v>18</v>
      </c>
      <c r="B3" s="5" t="s">
        <v>19</v>
      </c>
    </row>
    <row r="5" spans="1:2" x14ac:dyDescent="0.25">
      <c r="A5" t="str">
        <f>'001-C DMR'!A12</f>
        <v>Sun</v>
      </c>
      <c r="B5" s="26">
        <f>'001-C DMR'!B12</f>
        <v>43674</v>
      </c>
    </row>
    <row r="6" spans="1:2" x14ac:dyDescent="0.25">
      <c r="A6" t="str">
        <f>'001-C DMR'!A13</f>
        <v>Mon</v>
      </c>
      <c r="B6" s="26">
        <f>'001-C DMR'!B13</f>
        <v>43675</v>
      </c>
    </row>
    <row r="7" spans="1:2" x14ac:dyDescent="0.25">
      <c r="A7" t="str">
        <f>'001-C DMR'!A14</f>
        <v>Tue</v>
      </c>
      <c r="B7" s="26">
        <f>'001-C DMR'!B14</f>
        <v>43676</v>
      </c>
    </row>
    <row r="8" spans="1:2" x14ac:dyDescent="0.25">
      <c r="A8" t="str">
        <f>'001-C DMR'!A15</f>
        <v>Wed</v>
      </c>
      <c r="B8" s="26">
        <f>'001-C DMR'!B15</f>
        <v>43677</v>
      </c>
    </row>
    <row r="9" spans="1:2" x14ac:dyDescent="0.25">
      <c r="A9" t="str">
        <f>'001-C DMR'!A16</f>
        <v>Thu</v>
      </c>
      <c r="B9" s="26">
        <f>'001-C DMR'!B16</f>
        <v>43678</v>
      </c>
    </row>
    <row r="10" spans="1:2" x14ac:dyDescent="0.25">
      <c r="A10" t="str">
        <f>'001-C DMR'!A17</f>
        <v>Fri</v>
      </c>
      <c r="B10" s="26">
        <f>'001-C DMR'!B17</f>
        <v>43679</v>
      </c>
    </row>
    <row r="11" spans="1:2" x14ac:dyDescent="0.25">
      <c r="A11" t="str">
        <f>'001-C DMR'!A18</f>
        <v>Sat</v>
      </c>
      <c r="B11" s="26">
        <f>'001-C DMR'!B18</f>
        <v>43680</v>
      </c>
    </row>
    <row r="12" spans="1:2" x14ac:dyDescent="0.25">
      <c r="A12" t="str">
        <f>'001-C DMR'!A19</f>
        <v>Sun</v>
      </c>
      <c r="B12" s="26">
        <f>'001-C DMR'!B19</f>
        <v>43681</v>
      </c>
    </row>
    <row r="13" spans="1:2" x14ac:dyDescent="0.25">
      <c r="A13" t="str">
        <f>'001-C DMR'!A20</f>
        <v>Mon</v>
      </c>
      <c r="B13" s="26">
        <f>'001-C DMR'!B20</f>
        <v>43682</v>
      </c>
    </row>
    <row r="14" spans="1:2" x14ac:dyDescent="0.25">
      <c r="A14" t="str">
        <f>'001-C DMR'!A21</f>
        <v>Tue</v>
      </c>
      <c r="B14" s="26">
        <f>'001-C DMR'!B21</f>
        <v>43683</v>
      </c>
    </row>
    <row r="15" spans="1:2" x14ac:dyDescent="0.25">
      <c r="A15" t="str">
        <f>'001-C DMR'!A22</f>
        <v>Wed</v>
      </c>
      <c r="B15" s="26">
        <f>'001-C DMR'!B22</f>
        <v>43684</v>
      </c>
    </row>
    <row r="16" spans="1:2" x14ac:dyDescent="0.25">
      <c r="A16" t="str">
        <f>'001-C DMR'!A23</f>
        <v>Thu</v>
      </c>
      <c r="B16" s="26">
        <f>'001-C DMR'!B23</f>
        <v>43685</v>
      </c>
    </row>
    <row r="17" spans="1:2" x14ac:dyDescent="0.25">
      <c r="A17" t="str">
        <f>'001-C DMR'!A24</f>
        <v>Fri</v>
      </c>
      <c r="B17" s="26">
        <f>'001-C DMR'!B24</f>
        <v>43686</v>
      </c>
    </row>
    <row r="18" spans="1:2" x14ac:dyDescent="0.25">
      <c r="A18" t="str">
        <f>'001-C DMR'!A25</f>
        <v>Sat</v>
      </c>
      <c r="B18" s="26">
        <f>'001-C DMR'!B25</f>
        <v>43687</v>
      </c>
    </row>
    <row r="19" spans="1:2" x14ac:dyDescent="0.25">
      <c r="A19" t="str">
        <f>'001-C DMR'!A26</f>
        <v>Sun</v>
      </c>
      <c r="B19" s="26">
        <f>'001-C DMR'!B26</f>
        <v>43688</v>
      </c>
    </row>
    <row r="20" spans="1:2" x14ac:dyDescent="0.25">
      <c r="A20" t="str">
        <f>'001-C DMR'!A27</f>
        <v>Mon</v>
      </c>
      <c r="B20" s="26">
        <f>'001-C DMR'!B27</f>
        <v>43689</v>
      </c>
    </row>
    <row r="21" spans="1:2" x14ac:dyDescent="0.25">
      <c r="A21" t="str">
        <f>'001-C DMR'!A28</f>
        <v>Tue</v>
      </c>
      <c r="B21" s="26">
        <f>'001-C DMR'!B28</f>
        <v>43690</v>
      </c>
    </row>
    <row r="22" spans="1:2" x14ac:dyDescent="0.25">
      <c r="A22" t="str">
        <f>'001-C DMR'!A29</f>
        <v>Wed</v>
      </c>
      <c r="B22" s="26">
        <f>'001-C DMR'!B29</f>
        <v>43691</v>
      </c>
    </row>
    <row r="23" spans="1:2" x14ac:dyDescent="0.25">
      <c r="A23" t="str">
        <f>'001-C DMR'!A30</f>
        <v>Thu</v>
      </c>
      <c r="B23" s="26">
        <f>'001-C DMR'!B30</f>
        <v>43692</v>
      </c>
    </row>
    <row r="24" spans="1:2" x14ac:dyDescent="0.25">
      <c r="A24" t="str">
        <f>'001-C DMR'!A31</f>
        <v>Fri</v>
      </c>
      <c r="B24" s="26">
        <f>'001-C DMR'!B31</f>
        <v>43693</v>
      </c>
    </row>
    <row r="25" spans="1:2" x14ac:dyDescent="0.25">
      <c r="A25" t="str">
        <f>'001-C DMR'!A32</f>
        <v>Sat</v>
      </c>
      <c r="B25" s="26">
        <f>'001-C DMR'!B32</f>
        <v>43694</v>
      </c>
    </row>
    <row r="26" spans="1:2" x14ac:dyDescent="0.25">
      <c r="A26" t="str">
        <f>'001-C DMR'!A33</f>
        <v>Sun</v>
      </c>
      <c r="B26" s="26">
        <f>'001-C DMR'!B33</f>
        <v>43695</v>
      </c>
    </row>
    <row r="27" spans="1:2" x14ac:dyDescent="0.25">
      <c r="A27" t="str">
        <f>'001-C DMR'!A34</f>
        <v>Mon</v>
      </c>
      <c r="B27" s="26">
        <f>'001-C DMR'!B34</f>
        <v>43696</v>
      </c>
    </row>
    <row r="28" spans="1:2" x14ac:dyDescent="0.25">
      <c r="A28" t="str">
        <f>'001-C DMR'!A35</f>
        <v>Tue</v>
      </c>
      <c r="B28" s="26">
        <f>'001-C DMR'!B35</f>
        <v>43697</v>
      </c>
    </row>
    <row r="29" spans="1:2" x14ac:dyDescent="0.25">
      <c r="A29" t="str">
        <f>'001-C DMR'!A36</f>
        <v>Wed</v>
      </c>
      <c r="B29" s="26">
        <f>'001-C DMR'!B36</f>
        <v>43698</v>
      </c>
    </row>
    <row r="30" spans="1:2" x14ac:dyDescent="0.25">
      <c r="A30" t="str">
        <f>'001-C DMR'!A37</f>
        <v>Thu</v>
      </c>
      <c r="B30" s="26">
        <f>'001-C DMR'!B37</f>
        <v>43699</v>
      </c>
    </row>
    <row r="31" spans="1:2" x14ac:dyDescent="0.25">
      <c r="A31" t="str">
        <f>'001-C DMR'!A38</f>
        <v>Fri</v>
      </c>
      <c r="B31" s="26">
        <f>'001-C DMR'!B38</f>
        <v>43700</v>
      </c>
    </row>
    <row r="32" spans="1:2" x14ac:dyDescent="0.25">
      <c r="A32" t="str">
        <f>'001-C DMR'!A39</f>
        <v>Sat</v>
      </c>
      <c r="B32" s="26">
        <f>'001-C DMR'!B39</f>
        <v>43701</v>
      </c>
    </row>
    <row r="33" spans="1:2" x14ac:dyDescent="0.25">
      <c r="A33" t="str">
        <f>'001-C DMR'!A40</f>
        <v>Sun</v>
      </c>
      <c r="B33" s="26">
        <f>'001-C DMR'!B40</f>
        <v>43702</v>
      </c>
    </row>
    <row r="34" spans="1:2" x14ac:dyDescent="0.25">
      <c r="A34" t="str">
        <f>'001-C DMR'!A41</f>
        <v>Mon</v>
      </c>
      <c r="B34" s="26">
        <f>'001-C DMR'!B41</f>
        <v>43703</v>
      </c>
    </row>
    <row r="35" spans="1:2" x14ac:dyDescent="0.25">
      <c r="A35" t="str">
        <f>'001-C DMR'!A42</f>
        <v>Tue</v>
      </c>
      <c r="B35" s="26">
        <f>'001-C DMR'!B42</f>
        <v>43704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
  <sheetViews>
    <sheetView workbookViewId="0"/>
  </sheetViews>
  <sheetFormatPr defaultRowHeight="15"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BA72"/>
  <sheetViews>
    <sheetView workbookViewId="0">
      <pane ySplit="2" topLeftCell="A3" activePane="bottomLeft" state="frozen"/>
      <selection pane="bottomLeft" activeCell="N43" sqref="N43"/>
    </sheetView>
  </sheetViews>
  <sheetFormatPr defaultRowHeight="15" x14ac:dyDescent="0.25"/>
  <cols>
    <col min="1" max="1" width="11.7109375" bestFit="1" customWidth="1"/>
    <col min="2" max="2" width="6.140625" bestFit="1" customWidth="1"/>
    <col min="3" max="3" width="20" bestFit="1" customWidth="1"/>
    <col min="4" max="4" width="9.85546875" bestFit="1" customWidth="1"/>
    <col min="5" max="5" width="15" bestFit="1" customWidth="1"/>
    <col min="6" max="6" width="9.5703125" bestFit="1" customWidth="1"/>
    <col min="8" max="8" width="19" customWidth="1"/>
    <col min="16277" max="16277" width="0" hidden="1" customWidth="1"/>
  </cols>
  <sheetData>
    <row r="1" spans="1:9 16277:16277" ht="24.95" customHeight="1" x14ac:dyDescent="0.25">
      <c r="A1" s="409" t="s">
        <v>266</v>
      </c>
      <c r="B1" s="409"/>
      <c r="C1" s="409"/>
      <c r="D1" s="409"/>
      <c r="E1" s="409"/>
      <c r="F1" s="409"/>
      <c r="G1" s="409"/>
      <c r="H1" s="148"/>
      <c r="I1" s="256"/>
      <c r="XBA1">
        <v>4165</v>
      </c>
    </row>
    <row r="2" spans="1:9 16277:16277" s="9" customFormat="1" x14ac:dyDescent="0.25">
      <c r="A2" s="14" t="s">
        <v>70</v>
      </c>
      <c r="B2" s="17" t="s">
        <v>71</v>
      </c>
      <c r="C2" s="15" t="s">
        <v>72</v>
      </c>
      <c r="D2" s="16" t="s">
        <v>73</v>
      </c>
      <c r="E2" s="15" t="s">
        <v>74</v>
      </c>
      <c r="F2" s="255" t="s">
        <v>75</v>
      </c>
      <c r="G2" s="13"/>
      <c r="H2" s="13"/>
      <c r="I2" s="13"/>
    </row>
    <row r="3" spans="1:9 16277:16277" x14ac:dyDescent="0.25">
      <c r="A3" s="10">
        <v>43674</v>
      </c>
      <c r="B3" s="11" t="s">
        <v>77</v>
      </c>
      <c r="C3" s="11" t="s">
        <v>78</v>
      </c>
      <c r="D3" s="12">
        <v>54.6066</v>
      </c>
      <c r="E3" s="11" t="s">
        <v>76</v>
      </c>
      <c r="F3" s="23">
        <v>0</v>
      </c>
      <c r="I3" s="256"/>
    </row>
    <row r="4" spans="1:9 16277:16277" x14ac:dyDescent="0.25">
      <c r="A4" s="10">
        <v>43675</v>
      </c>
      <c r="B4" s="11" t="s">
        <v>77</v>
      </c>
      <c r="C4" s="11" t="s">
        <v>78</v>
      </c>
      <c r="D4" s="12">
        <v>54.201000000000001</v>
      </c>
      <c r="E4" s="11" t="s">
        <v>76</v>
      </c>
      <c r="F4" s="23">
        <v>0</v>
      </c>
      <c r="I4" s="256"/>
    </row>
    <row r="5" spans="1:9 16277:16277" x14ac:dyDescent="0.25">
      <c r="A5" s="10">
        <v>43676</v>
      </c>
      <c r="B5" s="11" t="s">
        <v>77</v>
      </c>
      <c r="C5" s="11" t="s">
        <v>78</v>
      </c>
      <c r="D5" s="12">
        <v>48.517600000000002</v>
      </c>
      <c r="E5" s="11" t="s">
        <v>76</v>
      </c>
      <c r="F5" s="23">
        <v>0</v>
      </c>
      <c r="I5" s="256"/>
    </row>
    <row r="6" spans="1:9 16277:16277" x14ac:dyDescent="0.25">
      <c r="A6" s="10">
        <v>43677</v>
      </c>
      <c r="B6" s="11" t="s">
        <v>77</v>
      </c>
      <c r="C6" s="11" t="s">
        <v>78</v>
      </c>
      <c r="D6" s="12">
        <v>49.512799999999999</v>
      </c>
      <c r="E6" s="11" t="s">
        <v>76</v>
      </c>
      <c r="F6" s="23">
        <v>0</v>
      </c>
      <c r="I6" s="256"/>
    </row>
    <row r="7" spans="1:9 16277:16277" x14ac:dyDescent="0.25">
      <c r="A7" s="10">
        <v>43678</v>
      </c>
      <c r="B7" s="11" t="s">
        <v>77</v>
      </c>
      <c r="C7" s="11" t="s">
        <v>78</v>
      </c>
      <c r="D7" s="12">
        <v>56.402900000000002</v>
      </c>
      <c r="E7" s="11" t="s">
        <v>76</v>
      </c>
      <c r="F7" s="23">
        <v>0</v>
      </c>
      <c r="I7" s="256"/>
    </row>
    <row r="8" spans="1:9 16277:16277" x14ac:dyDescent="0.25">
      <c r="A8" s="10">
        <v>43679</v>
      </c>
      <c r="B8" s="11" t="s">
        <v>77</v>
      </c>
      <c r="C8" s="11" t="s">
        <v>78</v>
      </c>
      <c r="D8" s="12">
        <v>54.080399999999997</v>
      </c>
      <c r="E8" s="11" t="s">
        <v>76</v>
      </c>
      <c r="F8" s="23">
        <v>0</v>
      </c>
      <c r="I8" s="256"/>
    </row>
    <row r="9" spans="1:9 16277:16277" x14ac:dyDescent="0.25">
      <c r="A9" s="10">
        <v>43680</v>
      </c>
      <c r="B9" s="11" t="s">
        <v>77</v>
      </c>
      <c r="C9" s="11" t="s">
        <v>78</v>
      </c>
      <c r="D9" s="12">
        <v>53.453699999999998</v>
      </c>
      <c r="E9" s="11" t="s">
        <v>76</v>
      </c>
      <c r="F9" s="23">
        <v>0</v>
      </c>
      <c r="I9" s="256"/>
    </row>
    <row r="10" spans="1:9 16277:16277" x14ac:dyDescent="0.25">
      <c r="A10" s="10">
        <v>43681</v>
      </c>
      <c r="B10" s="11" t="s">
        <v>77</v>
      </c>
      <c r="C10" s="11" t="s">
        <v>78</v>
      </c>
      <c r="D10" s="12">
        <v>54.512</v>
      </c>
      <c r="E10" s="11" t="s">
        <v>76</v>
      </c>
      <c r="F10" s="23">
        <v>0</v>
      </c>
    </row>
    <row r="11" spans="1:9 16277:16277" x14ac:dyDescent="0.25">
      <c r="A11" s="10">
        <v>43682</v>
      </c>
      <c r="B11" s="11" t="s">
        <v>77</v>
      </c>
      <c r="C11" s="11" t="s">
        <v>78</v>
      </c>
      <c r="D11" s="12">
        <v>52.2712</v>
      </c>
      <c r="E11" s="11" t="s">
        <v>76</v>
      </c>
      <c r="F11" s="23">
        <v>0</v>
      </c>
    </row>
    <row r="12" spans="1:9 16277:16277" x14ac:dyDescent="0.25">
      <c r="A12" s="10">
        <v>43683</v>
      </c>
      <c r="B12" s="11" t="s">
        <v>77</v>
      </c>
      <c r="C12" s="11" t="s">
        <v>78</v>
      </c>
      <c r="D12" s="12">
        <v>53.790799999999997</v>
      </c>
      <c r="E12" s="11" t="s">
        <v>76</v>
      </c>
      <c r="F12" s="23">
        <v>0</v>
      </c>
    </row>
    <row r="13" spans="1:9 16277:16277" x14ac:dyDescent="0.25">
      <c r="A13" s="10">
        <v>43684</v>
      </c>
      <c r="B13" s="11" t="s">
        <v>77</v>
      </c>
      <c r="C13" s="11" t="s">
        <v>78</v>
      </c>
      <c r="D13" s="12">
        <v>58.594700000000003</v>
      </c>
      <c r="E13" s="11" t="s">
        <v>76</v>
      </c>
      <c r="F13" s="23">
        <v>0</v>
      </c>
    </row>
    <row r="14" spans="1:9 16277:16277" x14ac:dyDescent="0.25">
      <c r="A14" s="10">
        <v>43685</v>
      </c>
      <c r="B14" s="11" t="s">
        <v>77</v>
      </c>
      <c r="C14" s="11" t="s">
        <v>78</v>
      </c>
      <c r="D14" s="12">
        <v>53.7104</v>
      </c>
      <c r="E14" s="11" t="s">
        <v>76</v>
      </c>
      <c r="F14" s="23">
        <v>0</v>
      </c>
    </row>
    <row r="15" spans="1:9 16277:16277" x14ac:dyDescent="0.25">
      <c r="A15" s="10">
        <v>43686</v>
      </c>
      <c r="B15" s="11" t="s">
        <v>77</v>
      </c>
      <c r="C15" s="11" t="s">
        <v>78</v>
      </c>
      <c r="D15" s="12">
        <v>55.0336</v>
      </c>
      <c r="E15" s="11" t="s">
        <v>76</v>
      </c>
      <c r="F15" s="23">
        <v>0</v>
      </c>
    </row>
    <row r="16" spans="1:9 16277:16277" x14ac:dyDescent="0.25">
      <c r="A16" s="10">
        <v>43687</v>
      </c>
      <c r="B16" s="11" t="s">
        <v>77</v>
      </c>
      <c r="C16" s="11" t="s">
        <v>78</v>
      </c>
      <c r="D16" s="12">
        <v>51.062100000000001</v>
      </c>
      <c r="E16" s="11" t="s">
        <v>76</v>
      </c>
      <c r="F16" s="23">
        <v>0</v>
      </c>
    </row>
    <row r="17" spans="1:6" x14ac:dyDescent="0.25">
      <c r="A17" s="10">
        <v>43688</v>
      </c>
      <c r="B17" s="11" t="s">
        <v>77</v>
      </c>
      <c r="C17" s="11" t="s">
        <v>78</v>
      </c>
      <c r="D17" s="12">
        <v>52.520299999999999</v>
      </c>
      <c r="E17" s="11" t="s">
        <v>76</v>
      </c>
      <c r="F17" s="23">
        <v>0</v>
      </c>
    </row>
    <row r="18" spans="1:6" x14ac:dyDescent="0.25">
      <c r="A18" s="10">
        <v>43689</v>
      </c>
      <c r="B18" s="11" t="s">
        <v>77</v>
      </c>
      <c r="C18" s="11" t="s">
        <v>78</v>
      </c>
      <c r="D18" s="12">
        <v>53.8855</v>
      </c>
      <c r="E18" s="11" t="s">
        <v>76</v>
      </c>
      <c r="F18" s="23">
        <v>0</v>
      </c>
    </row>
    <row r="19" spans="1:6" x14ac:dyDescent="0.25">
      <c r="A19" s="10">
        <v>43690</v>
      </c>
      <c r="B19" s="11" t="s">
        <v>77</v>
      </c>
      <c r="C19" s="11" t="s">
        <v>78</v>
      </c>
      <c r="D19" s="12">
        <v>51.302599999999998</v>
      </c>
      <c r="E19" s="11" t="s">
        <v>76</v>
      </c>
      <c r="F19" s="23">
        <v>0</v>
      </c>
    </row>
    <row r="20" spans="1:6" x14ac:dyDescent="0.25">
      <c r="A20" s="10">
        <v>43691</v>
      </c>
      <c r="B20" s="11" t="s">
        <v>77</v>
      </c>
      <c r="C20" s="11" t="s">
        <v>78</v>
      </c>
      <c r="D20" s="12">
        <v>49.476100000000002</v>
      </c>
      <c r="E20" s="11" t="s">
        <v>76</v>
      </c>
      <c r="F20" s="23">
        <v>0</v>
      </c>
    </row>
    <row r="21" spans="1:6" x14ac:dyDescent="0.25">
      <c r="A21" s="10">
        <v>43692</v>
      </c>
      <c r="B21" s="11" t="s">
        <v>77</v>
      </c>
      <c r="C21" s="11" t="s">
        <v>78</v>
      </c>
      <c r="D21" s="12">
        <v>44.199100000000001</v>
      </c>
      <c r="E21" s="11" t="s">
        <v>76</v>
      </c>
      <c r="F21" s="23">
        <v>0</v>
      </c>
    </row>
    <row r="22" spans="1:6" x14ac:dyDescent="0.25">
      <c r="A22" s="10">
        <v>43693</v>
      </c>
      <c r="B22" s="11" t="s">
        <v>77</v>
      </c>
      <c r="C22" s="11" t="s">
        <v>78</v>
      </c>
      <c r="D22" s="12">
        <v>45.667099999999998</v>
      </c>
      <c r="E22" s="11" t="s">
        <v>76</v>
      </c>
      <c r="F22" s="23">
        <v>0</v>
      </c>
    </row>
    <row r="23" spans="1:6" x14ac:dyDescent="0.25">
      <c r="A23" s="10">
        <v>43694</v>
      </c>
      <c r="B23" s="11" t="s">
        <v>77</v>
      </c>
      <c r="C23" s="11" t="s">
        <v>78</v>
      </c>
      <c r="D23" s="12">
        <v>42.549500000000002</v>
      </c>
      <c r="E23" s="11" t="s">
        <v>76</v>
      </c>
      <c r="F23" s="23">
        <v>0</v>
      </c>
    </row>
    <row r="24" spans="1:6" x14ac:dyDescent="0.25">
      <c r="A24" s="10">
        <v>43695</v>
      </c>
      <c r="B24" s="11" t="s">
        <v>77</v>
      </c>
      <c r="C24" s="11" t="s">
        <v>78</v>
      </c>
      <c r="D24" s="12">
        <v>45.984499999999997</v>
      </c>
      <c r="E24" s="11" t="s">
        <v>76</v>
      </c>
      <c r="F24" s="23">
        <v>0</v>
      </c>
    </row>
    <row r="25" spans="1:6" x14ac:dyDescent="0.25">
      <c r="A25" s="10">
        <v>43696</v>
      </c>
      <c r="B25" s="11" t="s">
        <v>77</v>
      </c>
      <c r="C25" s="11" t="s">
        <v>78</v>
      </c>
      <c r="D25" s="12">
        <v>36.557499999999997</v>
      </c>
      <c r="E25" s="11" t="s">
        <v>76</v>
      </c>
      <c r="F25" s="23">
        <v>0</v>
      </c>
    </row>
    <row r="26" spans="1:6" x14ac:dyDescent="0.25">
      <c r="A26" s="10">
        <v>43697</v>
      </c>
      <c r="B26" s="11" t="s">
        <v>77</v>
      </c>
      <c r="C26" s="11" t="s">
        <v>78</v>
      </c>
      <c r="D26" s="12">
        <v>34.386499999999998</v>
      </c>
      <c r="E26" s="11" t="s">
        <v>76</v>
      </c>
      <c r="F26" s="23">
        <v>0</v>
      </c>
    </row>
    <row r="27" spans="1:6" x14ac:dyDescent="0.25">
      <c r="A27" s="10">
        <v>43698</v>
      </c>
      <c r="B27" s="11" t="s">
        <v>77</v>
      </c>
      <c r="C27" s="11" t="s">
        <v>78</v>
      </c>
      <c r="D27" s="12">
        <v>43.136299999999999</v>
      </c>
      <c r="E27" s="11" t="s">
        <v>76</v>
      </c>
      <c r="F27" s="23">
        <v>0</v>
      </c>
    </row>
    <row r="28" spans="1:6" x14ac:dyDescent="0.25">
      <c r="A28" s="10">
        <v>43699</v>
      </c>
      <c r="B28" s="11" t="s">
        <v>77</v>
      </c>
      <c r="C28" s="11" t="s">
        <v>78</v>
      </c>
      <c r="D28" s="12">
        <v>45.042499999999997</v>
      </c>
      <c r="E28" s="11" t="s">
        <v>76</v>
      </c>
      <c r="F28" s="23">
        <v>0</v>
      </c>
    </row>
    <row r="29" spans="1:6" x14ac:dyDescent="0.25">
      <c r="A29" s="10">
        <v>43700</v>
      </c>
      <c r="B29" s="11" t="s">
        <v>77</v>
      </c>
      <c r="C29" s="11" t="s">
        <v>78</v>
      </c>
      <c r="D29" s="12">
        <v>37.699800000000003</v>
      </c>
      <c r="E29" s="11" t="s">
        <v>76</v>
      </c>
      <c r="F29" s="23">
        <v>0</v>
      </c>
    </row>
    <row r="30" spans="1:6" x14ac:dyDescent="0.25">
      <c r="A30" s="10">
        <v>43701</v>
      </c>
      <c r="B30" s="11" t="s">
        <v>77</v>
      </c>
      <c r="C30" s="11" t="s">
        <v>78</v>
      </c>
      <c r="D30" s="12">
        <v>38.890599999999999</v>
      </c>
      <c r="E30" s="11" t="s">
        <v>76</v>
      </c>
      <c r="F30" s="23">
        <v>0</v>
      </c>
    </row>
    <row r="31" spans="1:6" x14ac:dyDescent="0.25">
      <c r="A31" s="10">
        <v>43702</v>
      </c>
      <c r="B31" s="11" t="s">
        <v>77</v>
      </c>
      <c r="C31" s="11" t="s">
        <v>78</v>
      </c>
      <c r="D31" s="12">
        <v>41.2331</v>
      </c>
      <c r="E31" s="11" t="s">
        <v>76</v>
      </c>
      <c r="F31" s="23">
        <v>0</v>
      </c>
    </row>
    <row r="32" spans="1:6" x14ac:dyDescent="0.25">
      <c r="A32" s="10">
        <v>43703</v>
      </c>
      <c r="B32" s="11" t="s">
        <v>77</v>
      </c>
      <c r="C32" s="11" t="s">
        <v>78</v>
      </c>
      <c r="D32" s="12">
        <v>45.248399999999997</v>
      </c>
      <c r="E32" s="11" t="s">
        <v>76</v>
      </c>
      <c r="F32" s="23">
        <v>0</v>
      </c>
    </row>
    <row r="33" spans="1:6" x14ac:dyDescent="0.25">
      <c r="A33" s="10">
        <v>43704</v>
      </c>
      <c r="B33" s="11" t="s">
        <v>77</v>
      </c>
      <c r="C33" s="11" t="s">
        <v>78</v>
      </c>
      <c r="D33" s="12">
        <v>41.087200000000003</v>
      </c>
      <c r="E33" s="11" t="s">
        <v>76</v>
      </c>
      <c r="F33" s="23">
        <v>0</v>
      </c>
    </row>
    <row r="34" spans="1:6" x14ac:dyDescent="0.25">
      <c r="A34" s="10">
        <v>43705</v>
      </c>
      <c r="B34" s="11" t="s">
        <v>77</v>
      </c>
      <c r="C34" s="11" t="s">
        <v>78</v>
      </c>
      <c r="D34" s="12">
        <v>37.927</v>
      </c>
      <c r="E34" s="11" t="s">
        <v>76</v>
      </c>
      <c r="F34" s="23">
        <v>0</v>
      </c>
    </row>
    <row r="35" spans="1:6" x14ac:dyDescent="0.25">
      <c r="A35" s="10">
        <v>43706</v>
      </c>
      <c r="B35" s="11" t="s">
        <v>77</v>
      </c>
      <c r="C35" s="11" t="s">
        <v>78</v>
      </c>
      <c r="D35" s="12">
        <v>36.269799999999996</v>
      </c>
      <c r="E35" s="11" t="s">
        <v>76</v>
      </c>
      <c r="F35" s="23">
        <v>0</v>
      </c>
    </row>
    <row r="36" spans="1:6" x14ac:dyDescent="0.25">
      <c r="A36" s="10">
        <v>43707</v>
      </c>
      <c r="B36" s="11" t="s">
        <v>77</v>
      </c>
      <c r="C36" s="11" t="s">
        <v>78</v>
      </c>
      <c r="D36" s="12">
        <v>34.502099999999999</v>
      </c>
      <c r="E36" s="11" t="s">
        <v>76</v>
      </c>
      <c r="F36" s="23">
        <v>0</v>
      </c>
    </row>
    <row r="37" spans="1:6" x14ac:dyDescent="0.25">
      <c r="A37" s="10">
        <v>43708</v>
      </c>
      <c r="B37" s="11" t="s">
        <v>77</v>
      </c>
      <c r="C37" s="11" t="s">
        <v>78</v>
      </c>
      <c r="D37" s="12">
        <v>36.171900000000001</v>
      </c>
      <c r="E37" s="11" t="s">
        <v>76</v>
      </c>
      <c r="F37" s="23">
        <v>0</v>
      </c>
    </row>
    <row r="38" spans="1:6" x14ac:dyDescent="0.25">
      <c r="A38" s="10">
        <v>43674</v>
      </c>
      <c r="B38" s="11" t="s">
        <v>79</v>
      </c>
      <c r="C38" s="11" t="s">
        <v>80</v>
      </c>
      <c r="D38" s="12">
        <v>71.099900000000005</v>
      </c>
      <c r="E38" s="11" t="s">
        <v>76</v>
      </c>
      <c r="F38" s="23">
        <v>0</v>
      </c>
    </row>
    <row r="39" spans="1:6" x14ac:dyDescent="0.25">
      <c r="A39" s="10">
        <v>43675</v>
      </c>
      <c r="B39" s="11" t="s">
        <v>79</v>
      </c>
      <c r="C39" s="11" t="s">
        <v>80</v>
      </c>
      <c r="D39" s="12">
        <v>69.071700000000007</v>
      </c>
      <c r="E39" s="11" t="s">
        <v>76</v>
      </c>
      <c r="F39" s="23">
        <v>0</v>
      </c>
    </row>
    <row r="40" spans="1:6" x14ac:dyDescent="0.25">
      <c r="A40" s="10">
        <v>43676</v>
      </c>
      <c r="B40" s="11" t="s">
        <v>79</v>
      </c>
      <c r="C40" s="11" t="s">
        <v>80</v>
      </c>
      <c r="D40" s="12">
        <v>72.546800000000005</v>
      </c>
      <c r="E40" s="11" t="s">
        <v>76</v>
      </c>
      <c r="F40" s="23">
        <v>0</v>
      </c>
    </row>
    <row r="41" spans="1:6" x14ac:dyDescent="0.25">
      <c r="A41" s="10">
        <v>43677</v>
      </c>
      <c r="B41" s="11" t="s">
        <v>79</v>
      </c>
      <c r="C41" s="11" t="s">
        <v>80</v>
      </c>
      <c r="D41" s="12">
        <v>74.994799999999998</v>
      </c>
      <c r="E41" s="11" t="s">
        <v>76</v>
      </c>
      <c r="F41" s="23">
        <v>0</v>
      </c>
    </row>
    <row r="42" spans="1:6" x14ac:dyDescent="0.25">
      <c r="A42" s="10">
        <v>43678</v>
      </c>
      <c r="B42" s="11" t="s">
        <v>79</v>
      </c>
      <c r="C42" s="11" t="s">
        <v>80</v>
      </c>
      <c r="D42" s="12">
        <v>72.420100000000005</v>
      </c>
      <c r="E42" s="11" t="s">
        <v>76</v>
      </c>
      <c r="F42" s="23">
        <v>0</v>
      </c>
    </row>
    <row r="43" spans="1:6" x14ac:dyDescent="0.25">
      <c r="A43" s="10">
        <v>43679</v>
      </c>
      <c r="B43" s="11" t="s">
        <v>79</v>
      </c>
      <c r="C43" s="11" t="s">
        <v>80</v>
      </c>
      <c r="D43" s="12">
        <v>71.528000000000006</v>
      </c>
      <c r="E43" s="11" t="s">
        <v>76</v>
      </c>
      <c r="F43" s="23">
        <v>0</v>
      </c>
    </row>
    <row r="44" spans="1:6" x14ac:dyDescent="0.25">
      <c r="A44" s="10">
        <v>43680</v>
      </c>
      <c r="B44" s="11" t="s">
        <v>79</v>
      </c>
      <c r="C44" s="11" t="s">
        <v>80</v>
      </c>
      <c r="D44" s="12">
        <v>70.555999999999997</v>
      </c>
      <c r="E44" s="11" t="s">
        <v>76</v>
      </c>
      <c r="F44" s="23">
        <v>0</v>
      </c>
    </row>
    <row r="45" spans="1:6" x14ac:dyDescent="0.25">
      <c r="A45" s="10">
        <v>43681</v>
      </c>
      <c r="B45" s="11" t="s">
        <v>79</v>
      </c>
      <c r="C45" s="11" t="s">
        <v>80</v>
      </c>
      <c r="D45" s="12">
        <v>72.327100000000002</v>
      </c>
      <c r="E45" s="11" t="s">
        <v>76</v>
      </c>
      <c r="F45" s="23">
        <v>0</v>
      </c>
    </row>
    <row r="46" spans="1:6" x14ac:dyDescent="0.25">
      <c r="A46" s="10">
        <v>43682</v>
      </c>
      <c r="B46" s="11" t="s">
        <v>79</v>
      </c>
      <c r="C46" s="11" t="s">
        <v>80</v>
      </c>
      <c r="D46" s="12">
        <v>72.749200000000002</v>
      </c>
      <c r="E46" s="11" t="s">
        <v>76</v>
      </c>
      <c r="F46" s="23">
        <v>0</v>
      </c>
    </row>
    <row r="47" spans="1:6" x14ac:dyDescent="0.25">
      <c r="A47" s="10">
        <v>43683</v>
      </c>
      <c r="B47" s="11" t="s">
        <v>79</v>
      </c>
      <c r="C47" s="11" t="s">
        <v>80</v>
      </c>
      <c r="D47" s="12">
        <v>70.638599999999997</v>
      </c>
      <c r="E47" s="11" t="s">
        <v>76</v>
      </c>
      <c r="F47" s="23">
        <v>0</v>
      </c>
    </row>
    <row r="48" spans="1:6" x14ac:dyDescent="0.25">
      <c r="A48" s="10">
        <v>43684</v>
      </c>
      <c r="B48" s="11" t="s">
        <v>79</v>
      </c>
      <c r="C48" s="11" t="s">
        <v>80</v>
      </c>
      <c r="D48" s="12">
        <v>64.610699999999994</v>
      </c>
      <c r="E48" s="11" t="s">
        <v>76</v>
      </c>
      <c r="F48" s="23">
        <v>0</v>
      </c>
    </row>
    <row r="49" spans="1:6" x14ac:dyDescent="0.25">
      <c r="A49" s="10">
        <v>43685</v>
      </c>
      <c r="B49" s="11" t="s">
        <v>79</v>
      </c>
      <c r="C49" s="11" t="s">
        <v>80</v>
      </c>
      <c r="D49" s="12">
        <v>70.550399999999996</v>
      </c>
      <c r="E49" s="11" t="s">
        <v>76</v>
      </c>
      <c r="F49" s="23">
        <v>0</v>
      </c>
    </row>
    <row r="50" spans="1:6" x14ac:dyDescent="0.25">
      <c r="A50" s="10">
        <v>43686</v>
      </c>
      <c r="B50" s="11" t="s">
        <v>79</v>
      </c>
      <c r="C50" s="11" t="s">
        <v>80</v>
      </c>
      <c r="D50" s="12">
        <v>71.215900000000005</v>
      </c>
      <c r="E50" s="11" t="s">
        <v>76</v>
      </c>
      <c r="F50" s="23">
        <v>0</v>
      </c>
    </row>
    <row r="51" spans="1:6" x14ac:dyDescent="0.25">
      <c r="A51" s="10">
        <v>43687</v>
      </c>
      <c r="B51" s="11" t="s">
        <v>79</v>
      </c>
      <c r="C51" s="11" t="s">
        <v>80</v>
      </c>
      <c r="D51" s="12">
        <v>70.581500000000005</v>
      </c>
      <c r="E51" s="11" t="s">
        <v>76</v>
      </c>
      <c r="F51" s="23">
        <v>0</v>
      </c>
    </row>
    <row r="52" spans="1:6" x14ac:dyDescent="0.25">
      <c r="A52" s="10">
        <v>43688</v>
      </c>
      <c r="B52" s="11" t="s">
        <v>79</v>
      </c>
      <c r="C52" s="11" t="s">
        <v>80</v>
      </c>
      <c r="D52" s="12">
        <v>82.240700000000004</v>
      </c>
      <c r="E52" s="11" t="s">
        <v>76</v>
      </c>
      <c r="F52" s="23">
        <v>0</v>
      </c>
    </row>
    <row r="53" spans="1:6" x14ac:dyDescent="0.25">
      <c r="A53" s="10">
        <v>43689</v>
      </c>
      <c r="B53" s="11" t="s">
        <v>79</v>
      </c>
      <c r="C53" s="11" t="s">
        <v>80</v>
      </c>
      <c r="D53" s="12">
        <v>78.660200000000003</v>
      </c>
      <c r="E53" s="11" t="s">
        <v>76</v>
      </c>
      <c r="F53" s="23">
        <v>0</v>
      </c>
    </row>
    <row r="54" spans="1:6" x14ac:dyDescent="0.25">
      <c r="A54" s="10">
        <v>43690</v>
      </c>
      <c r="B54" s="11" t="s">
        <v>79</v>
      </c>
      <c r="C54" s="11" t="s">
        <v>80</v>
      </c>
      <c r="D54" s="12">
        <v>80.340500000000006</v>
      </c>
      <c r="E54" s="11" t="s">
        <v>76</v>
      </c>
      <c r="F54" s="23">
        <v>0</v>
      </c>
    </row>
    <row r="55" spans="1:6" x14ac:dyDescent="0.25">
      <c r="A55" s="10">
        <v>43691</v>
      </c>
      <c r="B55" s="11" t="s">
        <v>79</v>
      </c>
      <c r="C55" s="11" t="s">
        <v>80</v>
      </c>
      <c r="D55" s="12">
        <v>82.647400000000005</v>
      </c>
      <c r="E55" s="11" t="s">
        <v>76</v>
      </c>
      <c r="F55" s="23">
        <v>0</v>
      </c>
    </row>
    <row r="56" spans="1:6" x14ac:dyDescent="0.25">
      <c r="A56" s="10">
        <v>43692</v>
      </c>
      <c r="B56" s="11" t="s">
        <v>79</v>
      </c>
      <c r="C56" s="11" t="s">
        <v>80</v>
      </c>
      <c r="D56" s="12">
        <v>84.138400000000004</v>
      </c>
      <c r="E56" s="11" t="s">
        <v>76</v>
      </c>
      <c r="F56" s="23">
        <v>0</v>
      </c>
    </row>
    <row r="57" spans="1:6" x14ac:dyDescent="0.25">
      <c r="A57" s="10">
        <v>43693</v>
      </c>
      <c r="B57" s="11" t="s">
        <v>79</v>
      </c>
      <c r="C57" s="11" t="s">
        <v>80</v>
      </c>
      <c r="D57" s="12">
        <v>78.309799999999996</v>
      </c>
      <c r="E57" s="11" t="s">
        <v>76</v>
      </c>
      <c r="F57" s="23">
        <v>0</v>
      </c>
    </row>
    <row r="58" spans="1:6" x14ac:dyDescent="0.25">
      <c r="A58" s="10">
        <v>43694</v>
      </c>
      <c r="B58" s="11" t="s">
        <v>79</v>
      </c>
      <c r="C58" s="11" t="s">
        <v>80</v>
      </c>
      <c r="D58" s="12">
        <v>79.905600000000007</v>
      </c>
      <c r="E58" s="11" t="s">
        <v>76</v>
      </c>
      <c r="F58" s="23">
        <v>0</v>
      </c>
    </row>
    <row r="59" spans="1:6" x14ac:dyDescent="0.25">
      <c r="A59" s="10">
        <v>43695</v>
      </c>
      <c r="B59" s="11" t="s">
        <v>79</v>
      </c>
      <c r="C59" s="11" t="s">
        <v>80</v>
      </c>
      <c r="D59" s="12">
        <v>80.689300000000003</v>
      </c>
      <c r="E59" s="11" t="s">
        <v>76</v>
      </c>
      <c r="F59" s="23">
        <v>0</v>
      </c>
    </row>
    <row r="60" spans="1:6" x14ac:dyDescent="0.25">
      <c r="A60" s="10">
        <v>43696</v>
      </c>
      <c r="B60" s="11" t="s">
        <v>79</v>
      </c>
      <c r="C60" s="11" t="s">
        <v>80</v>
      </c>
      <c r="D60" s="12">
        <v>90.935699999999997</v>
      </c>
      <c r="E60" s="11" t="s">
        <v>76</v>
      </c>
      <c r="F60" s="23">
        <v>0</v>
      </c>
    </row>
    <row r="61" spans="1:6" x14ac:dyDescent="0.25">
      <c r="A61" s="10">
        <v>43697</v>
      </c>
      <c r="B61" s="11" t="s">
        <v>79</v>
      </c>
      <c r="C61" s="11" t="s">
        <v>80</v>
      </c>
      <c r="D61" s="12">
        <v>85.290199999999999</v>
      </c>
      <c r="E61" s="11" t="s">
        <v>76</v>
      </c>
      <c r="F61" s="23">
        <v>0</v>
      </c>
    </row>
    <row r="62" spans="1:6" x14ac:dyDescent="0.25">
      <c r="A62" s="10">
        <v>43698</v>
      </c>
      <c r="B62" s="11" t="s">
        <v>79</v>
      </c>
      <c r="C62" s="11" t="s">
        <v>80</v>
      </c>
      <c r="D62" s="12">
        <v>84.528800000000004</v>
      </c>
      <c r="E62" s="11" t="s">
        <v>76</v>
      </c>
      <c r="F62" s="23">
        <v>0</v>
      </c>
    </row>
    <row r="63" spans="1:6" x14ac:dyDescent="0.25">
      <c r="A63" s="10">
        <v>43699</v>
      </c>
      <c r="B63" s="11" t="s">
        <v>79</v>
      </c>
      <c r="C63" s="11" t="s">
        <v>80</v>
      </c>
      <c r="D63" s="12">
        <v>79.455399999999997</v>
      </c>
      <c r="E63" s="11" t="s">
        <v>76</v>
      </c>
      <c r="F63" s="23">
        <v>0</v>
      </c>
    </row>
    <row r="64" spans="1:6" x14ac:dyDescent="0.25">
      <c r="A64" s="10">
        <v>43700</v>
      </c>
      <c r="B64" s="11" t="s">
        <v>79</v>
      </c>
      <c r="C64" s="11" t="s">
        <v>80</v>
      </c>
      <c r="D64" s="12">
        <v>83.436000000000007</v>
      </c>
      <c r="E64" s="11" t="s">
        <v>76</v>
      </c>
      <c r="F64" s="23">
        <v>0</v>
      </c>
    </row>
    <row r="65" spans="1:6" x14ac:dyDescent="0.25">
      <c r="A65" s="10">
        <v>43701</v>
      </c>
      <c r="B65" s="11" t="s">
        <v>79</v>
      </c>
      <c r="C65" s="11" t="s">
        <v>80</v>
      </c>
      <c r="D65" s="12">
        <v>78.685500000000005</v>
      </c>
      <c r="E65" s="11" t="s">
        <v>76</v>
      </c>
      <c r="F65" s="23">
        <v>0</v>
      </c>
    </row>
    <row r="66" spans="1:6" x14ac:dyDescent="0.25">
      <c r="A66" s="10">
        <v>43702</v>
      </c>
      <c r="B66" s="11" t="s">
        <v>79</v>
      </c>
      <c r="C66" s="11" t="s">
        <v>80</v>
      </c>
      <c r="D66" s="12">
        <v>81.317899999999995</v>
      </c>
      <c r="E66" s="11" t="s">
        <v>76</v>
      </c>
      <c r="F66" s="23">
        <v>0</v>
      </c>
    </row>
    <row r="67" spans="1:6" x14ac:dyDescent="0.25">
      <c r="A67" s="10">
        <v>43703</v>
      </c>
      <c r="B67" s="11" t="s">
        <v>79</v>
      </c>
      <c r="C67" s="11" t="s">
        <v>80</v>
      </c>
      <c r="D67" s="12">
        <v>74.948700000000002</v>
      </c>
      <c r="E67" s="11" t="s">
        <v>76</v>
      </c>
      <c r="F67" s="23">
        <v>0</v>
      </c>
    </row>
    <row r="68" spans="1:6" x14ac:dyDescent="0.25">
      <c r="A68" s="10">
        <v>43704</v>
      </c>
      <c r="B68" s="11" t="s">
        <v>79</v>
      </c>
      <c r="C68" s="11" t="s">
        <v>80</v>
      </c>
      <c r="D68" s="12">
        <v>75.825999999999993</v>
      </c>
      <c r="E68" s="11" t="s">
        <v>76</v>
      </c>
      <c r="F68" s="23">
        <v>0</v>
      </c>
    </row>
    <row r="69" spans="1:6" x14ac:dyDescent="0.25">
      <c r="A69" s="10">
        <v>43705</v>
      </c>
      <c r="B69" s="11" t="s">
        <v>79</v>
      </c>
      <c r="C69" s="11" t="s">
        <v>80</v>
      </c>
      <c r="D69" s="12">
        <v>78.948700000000002</v>
      </c>
      <c r="E69" s="11" t="s">
        <v>76</v>
      </c>
      <c r="F69" s="23">
        <v>0</v>
      </c>
    </row>
    <row r="70" spans="1:6" x14ac:dyDescent="0.25">
      <c r="A70" s="10">
        <v>43706</v>
      </c>
      <c r="B70" s="11" t="s">
        <v>79</v>
      </c>
      <c r="C70" s="11" t="s">
        <v>80</v>
      </c>
      <c r="D70" s="12">
        <v>81.897499999999994</v>
      </c>
      <c r="E70" s="11" t="s">
        <v>76</v>
      </c>
      <c r="F70" s="23">
        <v>0</v>
      </c>
    </row>
    <row r="71" spans="1:6" x14ac:dyDescent="0.25">
      <c r="A71" s="10">
        <v>43707</v>
      </c>
      <c r="B71" s="11" t="s">
        <v>79</v>
      </c>
      <c r="C71" s="11" t="s">
        <v>80</v>
      </c>
      <c r="D71" s="12">
        <v>80.421800000000005</v>
      </c>
      <c r="E71" s="11" t="s">
        <v>76</v>
      </c>
      <c r="F71" s="23">
        <v>0</v>
      </c>
    </row>
    <row r="72" spans="1:6" x14ac:dyDescent="0.25">
      <c r="A72" s="10">
        <v>43708</v>
      </c>
      <c r="B72" s="11" t="s">
        <v>79</v>
      </c>
      <c r="C72" s="11" t="s">
        <v>80</v>
      </c>
      <c r="D72" s="12">
        <v>74.007400000000004</v>
      </c>
      <c r="E72" s="11" t="s">
        <v>76</v>
      </c>
      <c r="F72" s="23">
        <v>0</v>
      </c>
    </row>
  </sheetData>
  <sheetProtection algorithmName="SHA-512" hashValue="yfuzlVmjwDlSUcbCzIOIPQQ3cCFalbeGgC4cKHRuE0eLzFUrzxN0O5CUsjHlI5C4KGVcb8PK8M1AYOJeMMecAw==" saltValue="8EmuFyTIEVmBPsFDOJB8UQ==" spinCount="100000" sheet="1" objects="1" scenarios="1"/>
  <autoFilter ref="A2:F72"/>
  <mergeCells count="1">
    <mergeCell ref="A1:G1"/>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649" r:id="rId3" name="CmdBtnParameters">
              <controlPr defaultSize="0" print="0" autoFill="0" autoPict="0" macro="_xll.btnViewParameters_Click">
                <anchor moveWithCells="1" sizeWithCells="1">
                  <from>
                    <xdr:col>7</xdr:col>
                    <xdr:colOff>57150</xdr:colOff>
                    <xdr:row>0</xdr:row>
                    <xdr:rowOff>57150</xdr:rowOff>
                  </from>
                  <to>
                    <xdr:col>7</xdr:col>
                    <xdr:colOff>1200150</xdr:colOff>
                    <xdr:row>0</xdr:row>
                    <xdr:rowOff>257175</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G3"/>
  <sheetViews>
    <sheetView workbookViewId="0"/>
  </sheetViews>
  <sheetFormatPr defaultRowHeight="15" x14ac:dyDescent="0.25"/>
  <cols>
    <col min="1" max="1" width="18.85546875" style="19" bestFit="1" customWidth="1"/>
    <col min="2" max="2" width="21.140625" style="19" bestFit="1" customWidth="1"/>
    <col min="3" max="3" width="20.85546875" style="19" bestFit="1" customWidth="1"/>
    <col min="4" max="4" width="18.85546875" style="19" bestFit="1" customWidth="1"/>
    <col min="5" max="5" width="250.140625" style="19" bestFit="1" customWidth="1"/>
    <col min="6" max="6" width="13.140625" style="19" bestFit="1" customWidth="1"/>
    <col min="7" max="7" width="18.140625" style="19" bestFit="1" customWidth="1"/>
    <col min="8" max="16384" width="9.140625" style="19"/>
  </cols>
  <sheetData>
    <row r="1" spans="1:7" s="18" customFormat="1" x14ac:dyDescent="0.25">
      <c r="A1" s="18" t="s">
        <v>38</v>
      </c>
      <c r="B1" s="18" t="s">
        <v>36</v>
      </c>
      <c r="C1" s="18" t="s">
        <v>37</v>
      </c>
      <c r="D1" s="18" t="s">
        <v>33</v>
      </c>
      <c r="E1" s="18" t="s">
        <v>39</v>
      </c>
      <c r="F1" s="18" t="s">
        <v>81</v>
      </c>
      <c r="G1" s="18" t="s">
        <v>82</v>
      </c>
    </row>
    <row r="2" spans="1:7" ht="150" x14ac:dyDescent="0.25">
      <c r="A2" s="19" t="s">
        <v>244</v>
      </c>
      <c r="B2" s="19" t="s">
        <v>64</v>
      </c>
      <c r="C2" s="19" t="s">
        <v>65</v>
      </c>
      <c r="D2" s="19" t="s">
        <v>244</v>
      </c>
      <c r="E2" s="20" t="s">
        <v>622</v>
      </c>
      <c r="F2" s="19" t="s">
        <v>83</v>
      </c>
      <c r="G2" s="21">
        <v>43724.43545138889</v>
      </c>
    </row>
    <row r="3" spans="1:7" ht="60" x14ac:dyDescent="0.25">
      <c r="A3" s="19" t="s">
        <v>266</v>
      </c>
      <c r="B3" s="19" t="s">
        <v>64</v>
      </c>
      <c r="C3" s="19" t="s">
        <v>65</v>
      </c>
      <c r="D3" s="19" t="s">
        <v>266</v>
      </c>
      <c r="E3" s="20" t="s">
        <v>626</v>
      </c>
      <c r="F3" s="19" t="s">
        <v>83</v>
      </c>
      <c r="G3" s="21">
        <v>43724.435868055552</v>
      </c>
    </row>
  </sheetData>
  <autoFilter ref="A1:G3"/>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RCType xmlns="2d31b7ad-15c6-4894-9733-8fc92f7506c2">Report</RCType>
    <TaxCatchAll xmlns="477fc5ce-41ca-4ff5-9129-50536b89efc1">
      <Value>145</Value>
      <Value>144</Value>
      <Value>619</Value>
      <Value>198</Value>
    </TaxCatchAll>
    <d333ce839c724a3b9cff5445693eeb84 xmlns="477fc5ce-41ca-4ff5-9129-50536b89efc1">
      <Terms xmlns="http://schemas.microsoft.com/office/infopath/2007/PartnerControls">
        <TermInfo xmlns="http://schemas.microsoft.com/office/infopath/2007/PartnerControls">
          <TermName xmlns="http://schemas.microsoft.com/office/infopath/2007/PartnerControls">Regulatory Compliance</TermName>
          <TermId xmlns="http://schemas.microsoft.com/office/infopath/2007/PartnerControls">f34eb512-5677-431a-95f9-e63dbf3ad695</TermId>
        </TermInfo>
      </Terms>
    </d333ce839c724a3b9cff5445693eeb84>
    <je072f8e7a31441ebcc5920b88bf9bf1 xmlns="477fc5ce-41ca-4ff5-9129-50536b89efc1">
      <Terms xmlns="http://schemas.microsoft.com/office/infopath/2007/PartnerControls">
        <TermInfo xmlns="http://schemas.microsoft.com/office/infopath/2007/PartnerControls">
          <TermName xmlns="http://schemas.microsoft.com/office/infopath/2007/PartnerControls">DMR</TermName>
          <TermId xmlns="http://schemas.microsoft.com/office/infopath/2007/PartnerControls">410dcb1f-e35c-4695-b18b-f5b92a5ca392</TermId>
        </TermInfo>
        <TermInfo xmlns="http://schemas.microsoft.com/office/infopath/2007/PartnerControls">
          <TermName xmlns="http://schemas.microsoft.com/office/infopath/2007/PartnerControls">Water</TermName>
          <TermId xmlns="http://schemas.microsoft.com/office/infopath/2007/PartnerControls">ab088ef3-0222-4160-af5e-b2110b4349af</TermId>
        </TermInfo>
        <TermInfo xmlns="http://schemas.microsoft.com/office/infopath/2007/PartnerControls">
          <TermName xmlns="http://schemas.microsoft.com/office/infopath/2007/PartnerControls">RWHTF</TermName>
          <TermId xmlns="http://schemas.microsoft.com/office/infopath/2007/PartnerControls">cf8dc24d-81d1-4dd2-9234-1ce90f4284a8</TermId>
        </TermInfo>
      </Terms>
    </je072f8e7a31441ebcc5920b88bf9bf1>
    <_dlc_DocId xmlns="477fc5ce-41ca-4ff5-9129-50536b89efc1">QYX56EFTVTS7-1850502781-194</_dlc_DocId>
    <_dlc_DocIdUrl xmlns="477fc5ce-41ca-4ff5-9129-50536b89efc1">
      <Url>http://metronet/teamsites/regcomp/wa/_layouts/15/DocIdRedir.aspx?ID=QYX56EFTVTS7-1850502781-194</Url>
      <Description>QYX56EFTVTS7-1850502781-194</Description>
    </_dlc_DocIdUrl>
  </documentManagement>
</p:properti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Regulatory Compliance Document" ma:contentTypeID="0x010100E65D79356CAC69498BF05D510B6A056D021800EF1E6DDD2380F342BF7FFB8B5C81E3A1" ma:contentTypeVersion="3" ma:contentTypeDescription="" ma:contentTypeScope="" ma:versionID="7aca9bdc165668fc6c4a259211556f17">
  <xsd:schema xmlns:xsd="http://www.w3.org/2001/XMLSchema" xmlns:xs="http://www.w3.org/2001/XMLSchema" xmlns:p="http://schemas.microsoft.com/office/2006/metadata/properties" xmlns:ns2="477fc5ce-41ca-4ff5-9129-50536b89efc1" xmlns:ns3="2d31b7ad-15c6-4894-9733-8fc92f7506c2" targetNamespace="http://schemas.microsoft.com/office/2006/metadata/properties" ma:root="true" ma:fieldsID="e120fc4a3ccbff71c03a7e6d61c3425f" ns2:_="" ns3:_="">
    <xsd:import namespace="477fc5ce-41ca-4ff5-9129-50536b89efc1"/>
    <xsd:import namespace="2d31b7ad-15c6-4894-9733-8fc92f7506c2"/>
    <xsd:element name="properties">
      <xsd:complexType>
        <xsd:sequence>
          <xsd:element name="documentManagement">
            <xsd:complexType>
              <xsd:all>
                <xsd:element ref="ns2:_dlc_DocId" minOccurs="0"/>
                <xsd:element ref="ns2:_dlc_DocIdUrl" minOccurs="0"/>
                <xsd:element ref="ns2:_dlc_DocIdPersistId" minOccurs="0"/>
                <xsd:element ref="ns2:d333ce839c724a3b9cff5445693eeb84" minOccurs="0"/>
                <xsd:element ref="ns2:TaxCatchAll" minOccurs="0"/>
                <xsd:element ref="ns2:TaxCatchAllLabel" minOccurs="0"/>
                <xsd:element ref="ns2:je072f8e7a31441ebcc5920b88bf9bf1" minOccurs="0"/>
                <xsd:element ref="ns3:RC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77fc5ce-41ca-4ff5-9129-50536b89efc1"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d333ce839c724a3b9cff5445693eeb84" ma:index="11" ma:taxonomy="true" ma:internalName="d333ce839c724a3b9cff5445693eeb84" ma:taxonomyFieldName="ctmTeam" ma:displayName="Team" ma:default="" ma:fieldId="{d333ce83-9c72-4a3b-9cff-5445693eeb84}" ma:sspId="2249cb8a-0bb6-4900-ba57-876558f55e0e" ma:termSetId="7bb115e1-b33a-4f08-8cf4-75c9d1b0a463" ma:anchorId="00000000-0000-0000-0000-000000000000" ma:open="false" ma:isKeyword="false">
      <xsd:complexType>
        <xsd:sequence>
          <xsd:element ref="pc:Terms" minOccurs="0" maxOccurs="1"/>
        </xsd:sequence>
      </xsd:complexType>
    </xsd:element>
    <xsd:element name="TaxCatchAll" ma:index="12" nillable="true" ma:displayName="Taxonomy Catch All Column" ma:hidden="true" ma:list="{08fd1657-8599-4331-a42a-fc1172614cb3}" ma:internalName="TaxCatchAll" ma:showField="CatchAllData" ma:web="477fc5ce-41ca-4ff5-9129-50536b89efc1">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08fd1657-8599-4331-a42a-fc1172614cb3}" ma:internalName="TaxCatchAllLabel" ma:readOnly="true" ma:showField="CatchAllDataLabel" ma:web="477fc5ce-41ca-4ff5-9129-50536b89efc1">
      <xsd:complexType>
        <xsd:complexContent>
          <xsd:extension base="dms:MultiChoiceLookup">
            <xsd:sequence>
              <xsd:element name="Value" type="dms:Lookup" maxOccurs="unbounded" minOccurs="0" nillable="true"/>
            </xsd:sequence>
          </xsd:extension>
        </xsd:complexContent>
      </xsd:complexType>
    </xsd:element>
    <xsd:element name="je072f8e7a31441ebcc5920b88bf9bf1" ma:index="15" nillable="true" ma:taxonomy="true" ma:internalName="je072f8e7a31441ebcc5920b88bf9bf1" ma:taxonomyFieldName="Regulatory_x0020_Compliance_x0020_Document_x0020_Type" ma:displayName="Regulatory Compliance Document Type" ma:default="" ma:fieldId="{3e072f8e-7a31-441e-bcc5-920b88bf9bf1}" ma:taxonomyMulti="true" ma:sspId="2249cb8a-0bb6-4900-ba57-876558f55e0e" ma:termSetId="07c7fde7-d28d-45d1-9106-2f529c7cf509"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2d31b7ad-15c6-4894-9733-8fc92f7506c2" elementFormDefault="qualified">
    <xsd:import namespace="http://schemas.microsoft.com/office/2006/documentManagement/types"/>
    <xsd:import namespace="http://schemas.microsoft.com/office/infopath/2007/PartnerControls"/>
    <xsd:element name="RCType" ma:index="17" nillable="true" ma:displayName="RCType" ma:format="Dropdown" ma:internalName="RCType">
      <xsd:simpleType>
        <xsd:restriction base="dms:Choice">
          <xsd:enumeration value="Plan"/>
          <xsd:enumeration value="Permit"/>
          <xsd:enumeration value="Report"/>
          <xsd:enumeration value="Recordkeeping"/>
          <xsd:enumeration value="Other"/>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8D15BFB-CD69-432D-9AF6-E5CAD976CB7A}">
  <ds:schemaRefs>
    <ds:schemaRef ds:uri="http://schemas.microsoft.com/sharepoint/v3/contenttype/forms"/>
  </ds:schemaRefs>
</ds:datastoreItem>
</file>

<file path=customXml/itemProps2.xml><?xml version="1.0" encoding="utf-8"?>
<ds:datastoreItem xmlns:ds="http://schemas.openxmlformats.org/officeDocument/2006/customXml" ds:itemID="{EE7EBEEB-CEFF-4EE5-A59D-42FE0215F1A3}">
  <ds:schemaRefs>
    <ds:schemaRef ds:uri="2d31b7ad-15c6-4894-9733-8fc92f7506c2"/>
    <ds:schemaRef ds:uri="http://purl.org/dc/elements/1.1/"/>
    <ds:schemaRef ds:uri="http://schemas.microsoft.com/office/2006/documentManagement/types"/>
    <ds:schemaRef ds:uri="http://schemas.microsoft.com/office/2006/metadata/properties"/>
    <ds:schemaRef ds:uri="http://purl.org/dc/dcmitype/"/>
    <ds:schemaRef ds:uri="http://purl.org/dc/terms/"/>
    <ds:schemaRef ds:uri="477fc5ce-41ca-4ff5-9129-50536b89efc1"/>
    <ds:schemaRef ds:uri="http://schemas.microsoft.com/office/infopath/2007/PartnerControls"/>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4338408E-1BD1-4471-8B88-0762F42D3D54}">
  <ds:schemaRefs>
    <ds:schemaRef ds:uri="http://schemas.microsoft.com/sharepoint/events"/>
  </ds:schemaRefs>
</ds:datastoreItem>
</file>

<file path=customXml/itemProps4.xml><?xml version="1.0" encoding="utf-8"?>
<ds:datastoreItem xmlns:ds="http://schemas.openxmlformats.org/officeDocument/2006/customXml" ds:itemID="{92DDE33E-22F4-45E6-92E0-398ED6362B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77fc5ce-41ca-4ff5-9129-50536b89efc1"/>
    <ds:schemaRef ds:uri="2d31b7ad-15c6-4894-9733-8fc92f7506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7</vt:i4>
      </vt:variant>
    </vt:vector>
  </HeadingPairs>
  <TitlesOfParts>
    <vt:vector size="17" baseType="lpstr">
      <vt:lpstr>CSV-Monthly</vt:lpstr>
      <vt:lpstr>001-C DMR</vt:lpstr>
      <vt:lpstr>pH Grabs</vt:lpstr>
      <vt:lpstr>E.Coli Calculations</vt:lpstr>
      <vt:lpstr>Parameters</vt:lpstr>
      <vt:lpstr>DMR 001C NEW</vt:lpstr>
      <vt:lpstr>TRC Calculations</vt:lpstr>
      <vt:lpstr>Reg 85</vt:lpstr>
      <vt:lpstr>DMR Flows-Effluent</vt:lpstr>
      <vt:lpstr>Report Parameters</vt:lpstr>
      <vt:lpstr>'DMR 001C NEW'!_4164_1</vt:lpstr>
      <vt:lpstr>'DMR Flows-Effluent'!_4165_1</vt:lpstr>
      <vt:lpstr>'DMR 001C NEW'!drilldown</vt:lpstr>
      <vt:lpstr>'DMR Flows-Effluent'!drilldown</vt:lpstr>
      <vt:lpstr>'001-C DMR'!Print_Area</vt:lpstr>
      <vt:lpstr>'E.Coli Calculations'!Print_Area</vt:lpstr>
      <vt:lpstr>'001-C DMR'!Print_Titles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Koplitz, Katie</cp:lastModifiedBy>
  <dcterms:modified xsi:type="dcterms:W3CDTF">2019-09-19T17:26:21Z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Regulatory Compliance Document Type">
    <vt:lpwstr>619;#DMR|410dcb1f-e35c-4695-b18b-f5b92a5ca392;#145;#Water|ab088ef3-0222-4160-af5e-b2110b4349af;#198;#RWHTF|cf8dc24d-81d1-4dd2-9234-1ce90f4284a8</vt:lpwstr>
  </property>
  <property fmtid="{D5CDD505-2E9C-101B-9397-08002B2CF9AE}" pid="3" name="ctmTeam">
    <vt:lpwstr>144;#Regulatory Compliance|f34eb512-5677-431a-95f9-e63dbf3ad695</vt:lpwstr>
  </property>
  <property fmtid="{D5CDD505-2E9C-101B-9397-08002B2CF9AE}" pid="4" name="ContentTypeId">
    <vt:lpwstr>0x010100E65D79356CAC69498BF05D510B6A056D021800EF1E6DDD2380F342BF7FFB8B5C81E3A1</vt:lpwstr>
  </property>
  <property fmtid="{D5CDD505-2E9C-101B-9397-08002B2CF9AE}" pid="5" name="_dlc_DocIdItemGuid">
    <vt:lpwstr>2cdc40a2-a3c2-40f6-ac1a-35bd2656b5b1</vt:lpwstr>
  </property>
</Properties>
</file>